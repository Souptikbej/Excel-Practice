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5DDA1852-E76C-48DE-A5DF-B4CF75910C64}" xr6:coauthVersionLast="47" xr6:coauthVersionMax="47" xr10:uidLastSave="{00000000-0000-0000-0000-000000000000}"/>
  <bookViews>
    <workbookView xWindow="28680" yWindow="-120" windowWidth="29040" windowHeight="16440" xr2:uid="{5045C85E-49E9-4B8E-A98A-077DDCC6BF2D}"/>
  </bookViews>
  <sheets>
    <sheet name="raw-data" sheetId="1" r:id="rId1"/>
    <sheet name="LEFT" sheetId="2" r:id="rId2"/>
    <sheet name="RIGHT" sheetId="3" r:id="rId3"/>
    <sheet name="MID" sheetId="4" r:id="rId4"/>
    <sheet name="LEN" sheetId="5" r:id="rId5"/>
    <sheet name="TRIM" sheetId="6" r:id="rId6"/>
    <sheet name="UPPER-LOWER-PROPER" sheetId="7" r:id="rId7"/>
    <sheet name="SEARCH-FIND" sheetId="8" r:id="rId8"/>
    <sheet name="SUBSTITUTE" sheetId="9" r:id="rId9"/>
    <sheet name="CONCAT-TEXTJOIN-&amp;" sheetId="10" r:id="rId10"/>
  </sheets>
  <definedNames>
    <definedName name="_xlnm.Print_Area" localSheetId="9">Table9[#All]</definedName>
    <definedName name="_xlnm.Print_Area" localSheetId="1">Table1[#All]</definedName>
    <definedName name="_xlnm.Print_Area" localSheetId="4">Table4[#All]</definedName>
    <definedName name="_xlnm.Print_Area" localSheetId="3">Table3[#All]</definedName>
    <definedName name="_xlnm.Print_Area" localSheetId="2">Table2[#All]</definedName>
    <definedName name="_xlnm.Print_Area" localSheetId="7">'SEARCH-FIND'!$H$1:$O$9</definedName>
    <definedName name="_xlnm.Print_Area" localSheetId="8">Table8[#All]</definedName>
    <definedName name="_xlnm.Print_Area" localSheetId="5">Table5[#All]</definedName>
    <definedName name="_xlnm.Print_Area" localSheetId="6">Table6[#All]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2" i="4"/>
  <c r="L3" i="7"/>
  <c r="L4" i="7"/>
  <c r="L5" i="7"/>
  <c r="L6" i="7"/>
  <c r="L7" i="7"/>
  <c r="L2" i="7"/>
  <c r="L2" i="5"/>
  <c r="M3" i="3"/>
  <c r="M4" i="3"/>
  <c r="M5" i="3"/>
  <c r="M6" i="3"/>
  <c r="M7" i="3"/>
  <c r="M2" i="3"/>
  <c r="L3" i="3"/>
  <c r="L4" i="3"/>
  <c r="L5" i="3"/>
  <c r="L6" i="3"/>
  <c r="L7" i="3"/>
  <c r="L2" i="3"/>
  <c r="K3" i="3"/>
  <c r="K2" i="3"/>
  <c r="K4" i="3"/>
  <c r="K5" i="3"/>
  <c r="K6" i="3"/>
  <c r="K7" i="3"/>
  <c r="M2" i="2"/>
  <c r="M3" i="2"/>
  <c r="M4" i="2"/>
  <c r="M5" i="2"/>
  <c r="M6" i="2"/>
  <c r="M7" i="2"/>
  <c r="L2" i="2"/>
  <c r="L3" i="2"/>
  <c r="L4" i="2"/>
  <c r="L5" i="2"/>
  <c r="L6" i="2"/>
  <c r="L7" i="2"/>
  <c r="M3" i="10"/>
  <c r="M4" i="10"/>
  <c r="M5" i="10"/>
  <c r="M6" i="10"/>
  <c r="M7" i="10"/>
  <c r="M2" i="10"/>
  <c r="L3" i="10"/>
  <c r="L4" i="10"/>
  <c r="L5" i="10"/>
  <c r="L6" i="10"/>
  <c r="L7" i="10"/>
  <c r="L2" i="10"/>
  <c r="K2" i="10"/>
  <c r="K3" i="10"/>
  <c r="K4" i="10"/>
  <c r="K5" i="10"/>
  <c r="K6" i="10"/>
  <c r="K7" i="10"/>
  <c r="J3" i="10"/>
  <c r="J4" i="10"/>
  <c r="J5" i="10"/>
  <c r="J6" i="10"/>
  <c r="J7" i="10"/>
  <c r="J2" i="10"/>
  <c r="I3" i="10"/>
  <c r="I4" i="10"/>
  <c r="I5" i="10"/>
  <c r="I6" i="10"/>
  <c r="I7" i="10"/>
  <c r="I2" i="10"/>
  <c r="H2" i="10"/>
  <c r="H3" i="10"/>
  <c r="H4" i="10"/>
  <c r="H5" i="10"/>
  <c r="H6" i="10"/>
  <c r="H7" i="10"/>
  <c r="M3" i="9"/>
  <c r="M4" i="9"/>
  <c r="M5" i="9"/>
  <c r="M6" i="9"/>
  <c r="M7" i="9"/>
  <c r="M2" i="9"/>
  <c r="L2" i="9"/>
  <c r="L3" i="9"/>
  <c r="L4" i="9"/>
  <c r="L5" i="9"/>
  <c r="L6" i="9"/>
  <c r="L7" i="9"/>
  <c r="K2" i="9"/>
  <c r="K3" i="9"/>
  <c r="K4" i="9"/>
  <c r="K5" i="9"/>
  <c r="K6" i="9"/>
  <c r="K7" i="9"/>
  <c r="J3" i="9"/>
  <c r="J4" i="9"/>
  <c r="J5" i="9"/>
  <c r="J6" i="9"/>
  <c r="J7" i="9"/>
  <c r="J2" i="9"/>
  <c r="I3" i="9"/>
  <c r="I4" i="9"/>
  <c r="I5" i="9"/>
  <c r="I6" i="9"/>
  <c r="I7" i="9"/>
  <c r="I2" i="9"/>
  <c r="H3" i="9"/>
  <c r="H4" i="9"/>
  <c r="H5" i="9"/>
  <c r="H6" i="9"/>
  <c r="H7" i="9"/>
  <c r="H2" i="9"/>
  <c r="O2" i="8"/>
  <c r="N2" i="8"/>
  <c r="M3" i="8"/>
  <c r="M4" i="8"/>
  <c r="M5" i="8"/>
  <c r="M6" i="8"/>
  <c r="M7" i="8"/>
  <c r="M2" i="8"/>
  <c r="L3" i="8"/>
  <c r="L4" i="8"/>
  <c r="L5" i="8"/>
  <c r="L6" i="8"/>
  <c r="L7" i="8"/>
  <c r="L2" i="8"/>
  <c r="K3" i="8"/>
  <c r="K4" i="8"/>
  <c r="K5" i="8"/>
  <c r="K6" i="8"/>
  <c r="K7" i="8"/>
  <c r="K2" i="8"/>
  <c r="J3" i="8"/>
  <c r="J4" i="8"/>
  <c r="J5" i="8"/>
  <c r="J6" i="8"/>
  <c r="J7" i="8"/>
  <c r="J2" i="8"/>
  <c r="I3" i="8"/>
  <c r="I4" i="8"/>
  <c r="I5" i="8"/>
  <c r="I6" i="8"/>
  <c r="I7" i="8"/>
  <c r="I2" i="8"/>
  <c r="H2" i="8"/>
  <c r="H3" i="8"/>
  <c r="H4" i="8"/>
  <c r="H5" i="8"/>
  <c r="H6" i="8"/>
  <c r="H7" i="8"/>
  <c r="M3" i="7"/>
  <c r="M4" i="7"/>
  <c r="M5" i="7"/>
  <c r="M6" i="7"/>
  <c r="M7" i="7"/>
  <c r="M2" i="7"/>
  <c r="K2" i="7"/>
  <c r="K3" i="7"/>
  <c r="K4" i="7"/>
  <c r="K5" i="7"/>
  <c r="K6" i="7"/>
  <c r="K7" i="7"/>
  <c r="J3" i="7"/>
  <c r="J4" i="7"/>
  <c r="J5" i="7"/>
  <c r="J6" i="7"/>
  <c r="J7" i="7"/>
  <c r="J2" i="7"/>
  <c r="I3" i="7"/>
  <c r="I4" i="7"/>
  <c r="I5" i="7"/>
  <c r="I6" i="7"/>
  <c r="I7" i="7"/>
  <c r="I2" i="7"/>
  <c r="H2" i="7"/>
  <c r="H3" i="7"/>
  <c r="H4" i="7"/>
  <c r="H5" i="7"/>
  <c r="H6" i="7"/>
  <c r="H7" i="7"/>
  <c r="I3" i="6"/>
  <c r="I4" i="6"/>
  <c r="I5" i="6"/>
  <c r="I6" i="6"/>
  <c r="I7" i="6"/>
  <c r="J3" i="6"/>
  <c r="J4" i="6"/>
  <c r="J5" i="6"/>
  <c r="J6" i="6"/>
  <c r="J7" i="6"/>
  <c r="J2" i="6"/>
  <c r="I2" i="6"/>
  <c r="H3" i="6"/>
  <c r="H4" i="6"/>
  <c r="H5" i="6"/>
  <c r="H6" i="6"/>
  <c r="H7" i="6"/>
  <c r="H2" i="6"/>
  <c r="L3" i="5"/>
  <c r="L4" i="5"/>
  <c r="L5" i="5"/>
  <c r="L6" i="5"/>
  <c r="L7" i="5"/>
  <c r="K2" i="5"/>
  <c r="K3" i="5"/>
  <c r="K4" i="5"/>
  <c r="K5" i="5"/>
  <c r="K6" i="5"/>
  <c r="K7" i="5"/>
  <c r="J3" i="5"/>
  <c r="J4" i="5"/>
  <c r="J5" i="5"/>
  <c r="J6" i="5"/>
  <c r="J7" i="5"/>
  <c r="J2" i="5"/>
  <c r="I2" i="5"/>
  <c r="I3" i="5"/>
  <c r="I4" i="5"/>
  <c r="I5" i="5"/>
  <c r="I6" i="5"/>
  <c r="I7" i="5"/>
  <c r="H3" i="5"/>
  <c r="H4" i="5"/>
  <c r="H5" i="5"/>
  <c r="H6" i="5"/>
  <c r="H7" i="5"/>
  <c r="H2" i="5"/>
  <c r="L7" i="4"/>
  <c r="M3" i="4"/>
  <c r="K2" i="4"/>
  <c r="K3" i="4"/>
  <c r="K4" i="4"/>
  <c r="K5" i="4"/>
  <c r="K6" i="4"/>
  <c r="K7" i="4"/>
  <c r="I3" i="4"/>
  <c r="I4" i="4"/>
  <c r="I5" i="4"/>
  <c r="I6" i="4"/>
  <c r="I7" i="4"/>
  <c r="I2" i="4"/>
  <c r="H2" i="4"/>
  <c r="H3" i="4"/>
  <c r="H4" i="4"/>
  <c r="H5" i="4"/>
  <c r="H6" i="4"/>
  <c r="H7" i="4"/>
  <c r="J2" i="3"/>
  <c r="J3" i="3"/>
  <c r="J4" i="3"/>
  <c r="J5" i="3"/>
  <c r="J6" i="3"/>
  <c r="J7" i="3"/>
  <c r="I3" i="3"/>
  <c r="I4" i="3"/>
  <c r="I5" i="3"/>
  <c r="I6" i="3"/>
  <c r="I7" i="3"/>
  <c r="I2" i="3"/>
  <c r="H3" i="3"/>
  <c r="H4" i="3"/>
  <c r="H5" i="3"/>
  <c r="H6" i="3"/>
  <c r="H7" i="3"/>
  <c r="H2" i="3"/>
  <c r="K2" i="2"/>
  <c r="K3" i="2"/>
  <c r="K4" i="2"/>
  <c r="K5" i="2"/>
  <c r="K6" i="2"/>
  <c r="K7" i="2"/>
  <c r="J3" i="2"/>
  <c r="J4" i="2"/>
  <c r="J5" i="2"/>
  <c r="J6" i="2"/>
  <c r="J7" i="2"/>
  <c r="J2" i="2"/>
  <c r="I3" i="2"/>
  <c r="I4" i="2"/>
  <c r="I5" i="2"/>
  <c r="I6" i="2"/>
  <c r="I7" i="2"/>
  <c r="I2" i="2"/>
  <c r="H3" i="2"/>
  <c r="H4" i="2"/>
  <c r="H5" i="2"/>
  <c r="H6" i="2"/>
  <c r="H7" i="2"/>
  <c r="H2" i="2"/>
</calcChain>
</file>

<file path=xl/sharedStrings.xml><?xml version="1.0" encoding="utf-8"?>
<sst xmlns="http://schemas.openxmlformats.org/spreadsheetml/2006/main" count="544" uniqueCount="104">
  <si>
    <t>Employee_ID</t>
  </si>
  <si>
    <t>Full_Name</t>
  </si>
  <si>
    <t>Email</t>
  </si>
  <si>
    <t>Department</t>
  </si>
  <si>
    <t>City</t>
  </si>
  <si>
    <t>Employee_Code</t>
  </si>
  <si>
    <t>Remarks</t>
  </si>
  <si>
    <t>EMP001</t>
  </si>
  <si>
    <t>souptik bej</t>
  </si>
  <si>
    <t>souptik.bej@company.com</t>
  </si>
  <si>
    <t>Data Analytics</t>
  </si>
  <si>
    <t>Kolkata</t>
  </si>
  <si>
    <t>DA-2026-001</t>
  </si>
  <si>
    <t>Excellent Performer</t>
  </si>
  <si>
    <t>EMP002</t>
  </si>
  <si>
    <t>rahul SHARMA</t>
  </si>
  <si>
    <t>rahul.sharma@company.com</t>
  </si>
  <si>
    <t>Sales</t>
  </si>
  <si>
    <t>Mumbai</t>
  </si>
  <si>
    <t>SA-2025-015</t>
  </si>
  <si>
    <t>Needs Improvement</t>
  </si>
  <si>
    <t>EMP003</t>
  </si>
  <si>
    <t>PRIYA das</t>
  </si>
  <si>
    <t>priya.das@company.com</t>
  </si>
  <si>
    <t>HR</t>
  </si>
  <si>
    <t>Delhi</t>
  </si>
  <si>
    <t>HR-2024-110</t>
  </si>
  <si>
    <t>Promoted Recently</t>
  </si>
  <si>
    <t>EMP004</t>
  </si>
  <si>
    <t>ankit roy</t>
  </si>
  <si>
    <t>ankit.roy@company.com</t>
  </si>
  <si>
    <t>Finance</t>
  </si>
  <si>
    <t>Pune</t>
  </si>
  <si>
    <t>FI-2026-021</t>
  </si>
  <si>
    <t>On Probation</t>
  </si>
  <si>
    <t>EMP005</t>
  </si>
  <si>
    <t>Sneha Ghosh</t>
  </si>
  <si>
    <t>sneha.ghosh@company.com</t>
  </si>
  <si>
    <t>Marketing</t>
  </si>
  <si>
    <t>Bangalore</t>
  </si>
  <si>
    <t>MA-2023-205</t>
  </si>
  <si>
    <t>Top Performer</t>
  </si>
  <si>
    <t>EMP006</t>
  </si>
  <si>
    <t>Rohit SEN</t>
  </si>
  <si>
    <t>rohit.sen@company.com</t>
  </si>
  <si>
    <t>IT Support</t>
  </si>
  <si>
    <t>Hyderabad</t>
  </si>
  <si>
    <t>IT-2025-078</t>
  </si>
  <si>
    <t>Work From Home</t>
  </si>
  <si>
    <t>First 3 Letter of Emp name</t>
  </si>
  <si>
    <t>First 4 characters of Employee_ID</t>
  </si>
  <si>
    <t>First 2 letters of the city</t>
  </si>
  <si>
    <t>First word of Department</t>
  </si>
  <si>
    <t>Extract the last 3 characters of Employee_ID.</t>
  </si>
  <si>
    <t>Extract the email extension (.com)</t>
  </si>
  <si>
    <t>Extract the last 5 characters from Remarks</t>
  </si>
  <si>
    <r>
      <t xml:space="preserve">Extract the year from </t>
    </r>
    <r>
      <rPr>
        <b/>
        <sz val="10"/>
        <color theme="1"/>
        <rFont val="Arial Unicode MS"/>
      </rPr>
      <t>Employee_Code</t>
    </r>
  </si>
  <si>
    <t>Extract the middle 3 characters from Employee_ID</t>
  </si>
  <si>
    <t>Extract the username from Email (without domain).</t>
  </si>
  <si>
    <t>Extract only the department code from Employee_Code</t>
  </si>
  <si>
    <t>Extract "Support" from IT Support</t>
  </si>
  <si>
    <t>Extract the word "Improvement" from Remarks</t>
  </si>
  <si>
    <t>Count the number of characters in Full_Name</t>
  </si>
  <si>
    <t>Find employees whose name length is greater than 12</t>
  </si>
  <si>
    <t>Count the length of every email address</t>
  </si>
  <si>
    <t>Count the characters in each remark.</t>
  </si>
  <si>
    <t>Count characters before cleaning spaces using TRIM</t>
  </si>
  <si>
    <t>Remove leading and trailing spaces from Full_Name</t>
  </si>
  <si>
    <t>souptik   bej</t>
  </si>
  <si>
    <t xml:space="preserve"> rahul SHARMA  </t>
  </si>
  <si>
    <t xml:space="preserve"> PRIYA  das</t>
  </si>
  <si>
    <t>Count the name length before TRIM</t>
  </si>
  <si>
    <t>Count the name length after TRIM</t>
  </si>
  <si>
    <t>UPPERCASE</t>
  </si>
  <si>
    <t>Propercase</t>
  </si>
  <si>
    <t>Lowercase</t>
  </si>
  <si>
    <t>Department names to uppercase</t>
  </si>
  <si>
    <t>Email usernames to lowercase</t>
  </si>
  <si>
    <t>Standardize all employee names into proper case after applying TRIM</t>
  </si>
  <si>
    <t>Find the position of @ in every email</t>
  </si>
  <si>
    <t>Find the Data word exists in Department</t>
  </si>
  <si>
    <t>Find the position of - in Employee_Code</t>
  </si>
  <si>
    <t>Find the position of Performer in Remarks</t>
  </si>
  <si>
    <t>Find the position of Support in Department</t>
  </si>
  <si>
    <t>Find the first occurrence of the letter a in Full_Name</t>
  </si>
  <si>
    <t>Searching for "data" in "Data Analytics" using SEARCH</t>
  </si>
  <si>
    <t>Searching for "data" in "Data Analytics" using FIND</t>
  </si>
  <si>
    <t>IF text not found , both return #VALUE</t>
  </si>
  <si>
    <t>Here we are all know SEARCH is Case INSENSITIVE and FIND is Case SENSITIVE</t>
  </si>
  <si>
    <t>Replace .com with .in in email addresses</t>
  </si>
  <si>
    <t>Replace spaces in names with underscores.</t>
  </si>
  <si>
    <t>Replace "Performer" with "Employee" in Remarks</t>
  </si>
  <si>
    <t>Replace "-" with "/" in Employee_Code.</t>
  </si>
  <si>
    <t>Replace "Data" with "Business" in Department</t>
  </si>
  <si>
    <t>Replace "Work From Home" with "Remote"</t>
  </si>
  <si>
    <t>Display Name</t>
  </si>
  <si>
    <t>Create Full_Name (Department)</t>
  </si>
  <si>
    <t>Create an email signature</t>
  </si>
  <si>
    <t>Combine City - Department</t>
  </si>
  <si>
    <t>Create ID|Name|City</t>
  </si>
  <si>
    <t>Create a complete employee profile using TEXTJOIN().</t>
  </si>
  <si>
    <t>Create an abbreviation using the first 3 letters of the department</t>
  </si>
  <si>
    <t>Get the last name from Full_Name</t>
  </si>
  <si>
    <t>Extract the joining year from Employee_Code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</si>
</sst>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  <font>
      <b/>
      <sz val="10"/>
      <color theme="1"/>
      <name val="Arial Unicode MS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" borderId="0" xfId="2" applyAlignment="1">
      <alignment horizontal="center"/>
    </xf>
    <xf numFmtId="0" fontId="5" fillId="2" borderId="0" xfId="2" applyAlignment="1">
      <alignment horizont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8" xfId="1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/>
    <xf numFmtId="0" fontId="2" fillId="0" borderId="1" xfId="0" applyFont="1" applyBorder="1" applyAlignment="1"/>
    <xf numFmtId="0" fontId="3" fillId="0" borderId="1" xfId="1" applyBorder="1" applyAlignment="1"/>
    <xf numFmtId="0" fontId="0" fillId="0" borderId="5" xfId="0" applyBorder="1" applyAlignment="1"/>
    <xf numFmtId="0" fontId="0" fillId="0" borderId="7" xfId="0" applyBorder="1" applyAlignment="1"/>
    <xf numFmtId="0" fontId="2" fillId="0" borderId="8" xfId="0" applyFont="1" applyBorder="1" applyAlignment="1"/>
    <xf numFmtId="0" fontId="3" fillId="0" borderId="8" xfId="1" applyBorder="1" applyAlignment="1"/>
    <xf numFmtId="0" fontId="0" fillId="0" borderId="8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0" borderId="8" xfId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vertical="center" wrapText="1"/>
    </xf>
    <xf numFmtId="0" fontId="0" fillId="0" borderId="17" xfId="0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 applyAlignment="1">
      <alignment vertical="center"/>
    </xf>
    <xf numFmtId="0" fontId="3" fillId="0" borderId="16" xfId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</cellXfs>
  <cellStyles count="3">
    <cellStyle name="Bad" xfId="2" builtinId="27"/>
    <cellStyle name="Hyperlink" xfId="1" builtinId="8"/>
    <cellStyle name="Normal" xfId="0" builtinId="0"/>
  </cellStyles>
  <dxfs count="10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top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E936E2-35A1-4AB6-B128-DECF6889049A}" name="Table10" displayName="Table10" ref="A1:G7" totalsRowShown="0" headerRowDxfId="0" dataDxfId="11" headerRowBorderDxfId="9" tableBorderDxfId="10" totalsRowBorderDxfId="8">
  <autoFilter ref="A1:G7" xr:uid="{1BE936E2-35A1-4AB6-B128-DECF688904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FE51B93-7BB0-4798-B0CB-BC73E88BBEFB}" name="Employee_ID" dataDxfId="7"/>
    <tableColumn id="2" xr3:uid="{7BB0BFB9-5141-4A22-AE02-E61C1D7117FE}" name="Full_Name" dataDxfId="6"/>
    <tableColumn id="3" xr3:uid="{B19A23A7-7647-4FC6-AC7C-609DE302F85F}" name="Email" dataDxfId="5" dataCellStyle="Hyperlink"/>
    <tableColumn id="4" xr3:uid="{ED47B4F9-6729-4E19-BCE3-B56AA0198FD7}" name="Department" dataDxfId="4"/>
    <tableColumn id="5" xr3:uid="{C492AC98-E74D-449A-92F3-4F106C75E712}" name="City" dataDxfId="3"/>
    <tableColumn id="6" xr3:uid="{61E7C026-137F-4F4A-9AF1-32FCDE947790}" name="Employee_Code" dataDxfId="2"/>
    <tableColumn id="7" xr3:uid="{EAF21C2F-70CD-43A2-826A-86C44C94043D}" name="Remarks" dataDxfId="1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D98F7-489C-46EF-8704-BD329DA2BB77}" name="Table1" displayName="Table1" ref="H1:M7" totalsRowShown="0" headerRowDxfId="97" dataDxfId="104">
  <autoFilter ref="H1:M7" xr:uid="{726D98F7-489C-46EF-8704-BD329DA2BB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50BC3E3-0432-467D-933C-92088B87EA70}" name="Employee_Code" dataDxfId="103">
      <calculatedColumnFormula>LEFT(F2,2)</calculatedColumnFormula>
    </tableColumn>
    <tableColumn id="2" xr3:uid="{3B19F611-2C3D-4086-83B9-F470B8B9FCAF}" name="First 3 Letter of Emp name" dataDxfId="102">
      <calculatedColumnFormula>LEFT(B2,3)</calculatedColumnFormula>
    </tableColumn>
    <tableColumn id="3" xr3:uid="{C31D28D9-5A34-41CF-80D4-12E35A0E8837}" name="First 4 characters of Employee_ID" dataDxfId="101">
      <calculatedColumnFormula>LEFT(A2,4)</calculatedColumnFormula>
    </tableColumn>
    <tableColumn id="4" xr3:uid="{E27F2D6E-3DAB-4D00-BF28-24A647C74AB5}" name="First 2 letters of the city" dataDxfId="100">
      <calculatedColumnFormula>LEFT(E2,2)</calculatedColumnFormula>
    </tableColumn>
    <tableColumn id="5" xr3:uid="{D045715C-FDCF-4B91-963B-DC1572012C4A}" name="First word of Department" dataDxfId="99">
      <calculatedColumnFormula>LEFT(D2,FIND(" ",D2)-1)</calculatedColumnFormula>
    </tableColumn>
    <tableColumn id="6" xr3:uid="{0DDE0E04-FFAF-4592-8DBF-5255FFAE3B42}" name="Create an abbreviation using the first 3 letters of the department" dataDxfId="98">
      <calculatedColumnFormula>UPPER(LEFT(TRIM(D2),3))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171336-AD9E-489A-A88C-C302EAB82E7A}" name="Table2" displayName="Table2" ref="H1:M7" headerRowDxfId="80" dataDxfId="87" headerRowBorderDxfId="95" tableBorderDxfId="96" totalsRowBorderDxfId="94">
  <autoFilter ref="H1:M7" xr:uid="{5A171336-AD9E-489A-A88C-C302EAB82E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F409CC8-AA18-4412-93F8-32966F579B76}" name="Employee_Code" totalsRowLabel="Total" dataDxfId="93" totalsRowDxfId="81">
      <calculatedColumnFormula>RIGHT(F2,3)</calculatedColumnFormula>
    </tableColumn>
    <tableColumn id="2" xr3:uid="{C66AA4D9-21F6-4DA9-A26D-DFF2502E3464}" name="Extract the last 3 characters of Employee_ID." dataDxfId="92" totalsRowDxfId="82">
      <calculatedColumnFormula>RIGHT(A2,3)</calculatedColumnFormula>
    </tableColumn>
    <tableColumn id="3" xr3:uid="{50BB8C37-05AD-4442-8994-7BD53FF5C91E}" name="Extract the email extension (.com)" dataDxfId="91" totalsRowDxfId="83">
      <calculatedColumnFormula>RIGHT(C2,4)</calculatedColumnFormula>
    </tableColumn>
    <tableColumn id="4" xr3:uid="{0C083CBE-E0F5-4270-B850-C47F8B269DAA}" name="Get the last name from Full_Name" dataDxfId="90" totalsRowDxfId="84">
      <calculatedColumnFormula>RIGHT(B2,LEN(B2)-FIND(" ",B2))</calculatedColumnFormula>
    </tableColumn>
    <tableColumn id="5" xr3:uid="{FA4D8532-113E-4D14-AC26-DDEFC3D8A9EB}" name="Extract the joining year from Employee_Code" dataDxfId="89" totalsRowDxfId="85">
      <calculatedColumnFormula>MID(F2,FIND("-",F2)+1,4)</calculatedColumnFormula>
    </tableColumn>
    <tableColumn id="6" xr3:uid="{6AA2A27D-DC62-4BAD-ABAE-9F76B133E1FB}" name="Extract the last 5 characters from Remarks" totalsRowFunction="count" dataDxfId="88" totalsRowDxfId="86">
      <calculatedColumnFormula>RIGHT(G2,5)</calculatedColumnFormula>
    </tableColumn>
  </tableColumns>
  <tableStyleInfo name="TableStyleLight14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35F463-23D1-4E89-95E1-0BAB24F63C84}" name="Table3" displayName="Table3" ref="H1:M7" totalsRowShown="0" headerRowDxfId="70" headerRowBorderDxfId="78" tableBorderDxfId="79" totalsRowBorderDxfId="77">
  <autoFilter ref="H1:M7" xr:uid="{D135F463-23D1-4E89-95E1-0BAB24F63C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1F0795F-8E69-4D3F-8F54-F14C1EE3344A}" name="Extract the year from Employee_Code" dataDxfId="76">
      <calculatedColumnFormula>MID(F2,4,4)</calculatedColumnFormula>
    </tableColumn>
    <tableColumn id="2" xr3:uid="{DE044C5A-907E-4D94-A962-5160DEC5F18E}" name="Extract the middle 3 characters from Employee_ID" dataDxfId="75">
      <calculatedColumnFormula>MID(A2,2,3)</calculatedColumnFormula>
    </tableColumn>
    <tableColumn id="3" xr3:uid="{347D780F-C8A6-4366-A155-D3095A35D11B}" name="Extract the username from Email (without domain)." dataDxfId="74">
      <calculatedColumnFormula>MID(C2,1,SEARCH("@",C2)-1)</calculatedColumnFormula>
    </tableColumn>
    <tableColumn id="4" xr3:uid="{6720EDB4-F88E-417B-9B20-9FCC5386253E}" name="Extract only the department code from Employee_Code" dataDxfId="73">
      <calculatedColumnFormula>MID(F2,1,2)</calculatedColumnFormula>
    </tableColumn>
    <tableColumn id="5" xr3:uid="{C2D37BB3-60BC-4874-B5BC-256BFEF7025C}" name="Extract &quot;Support&quot; from IT Support" dataDxfId="72"/>
    <tableColumn id="6" xr3:uid="{D57DAC0C-A60D-4838-9193-91D54FFB7B2A}" name="Extract the word &quot;Improvement&quot; from Remarks" dataDxfId="71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903A56-9302-4896-9779-870441A9BE89}" name="Table4" displayName="Table4" ref="H1:L7" totalsRowShown="0" headerRowDxfId="61" headerRowBorderDxfId="68" tableBorderDxfId="69" totalsRowBorderDxfId="67">
  <autoFilter ref="H1:L7" xr:uid="{A4903A56-9302-4896-9779-870441A9BE8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00D0E23-9044-4A46-8E30-6F6E8FBE1D51}" name="Count the number of characters in Full_Name" dataDxfId="66">
      <calculatedColumnFormula>LEN(B2)</calculatedColumnFormula>
    </tableColumn>
    <tableColumn id="2" xr3:uid="{A5DD66BA-CC23-4C1E-8FF6-3A2CDE95D5EC}" name="Find employees whose name length is greater than 12" dataDxfId="65">
      <calculatedColumnFormula>IF(LEN(B2)&gt;12,B2)</calculatedColumnFormula>
    </tableColumn>
    <tableColumn id="3" xr3:uid="{BEA4C26B-4729-4C88-84A3-678E8B80A001}" name="Count the length of every email address" dataDxfId="64">
      <calculatedColumnFormula>LEN(C2)</calculatedColumnFormula>
    </tableColumn>
    <tableColumn id="4" xr3:uid="{619C9C8D-BD3F-485F-8AA8-4843002ADD37}" name="Count the characters in each remark." dataDxfId="63">
      <calculatedColumnFormula>LEN(G2)</calculatedColumnFormula>
    </tableColumn>
    <tableColumn id="5" xr3:uid="{21372950-BDC2-4E78-8B05-98958B67C645}" name="Count characters before cleaning spaces using TRIM" dataDxfId="62">
      <calculatedColumnFormula>LEN(TRIM(B2))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42F715-43B0-4D22-9E4D-6EC953B80252}" name="Table5" displayName="Table5" ref="H1:J7" totalsRowShown="0" headerRowDxfId="54" headerRowBorderDxfId="59" tableBorderDxfId="60" totalsRowBorderDxfId="58">
  <autoFilter ref="H1:J7" xr:uid="{C842F715-43B0-4D22-9E4D-6EC953B80252}">
    <filterColumn colId="0" hiddenButton="1"/>
    <filterColumn colId="1" hiddenButton="1"/>
    <filterColumn colId="2" hiddenButton="1"/>
  </autoFilter>
  <tableColumns count="3">
    <tableColumn id="1" xr3:uid="{5494858A-8D43-4CAF-AD19-B77B3C221DB0}" name="Remove leading and trailing spaces from Full_Name" dataDxfId="57">
      <calculatedColumnFormula>TRIM(B2)</calculatedColumnFormula>
    </tableColumn>
    <tableColumn id="2" xr3:uid="{2B78874F-BA94-4AF8-8EAD-06AB6F9DCDA8}" name="Count the name length before TRIM" dataDxfId="56">
      <calculatedColumnFormula>LEN(B2)</calculatedColumnFormula>
    </tableColumn>
    <tableColumn id="3" xr3:uid="{627264E3-2DA9-4E27-A1E7-96783ECBA525}" name="Count the name length after TRIM" dataDxfId="55">
      <calculatedColumnFormula>LEN(TRIM(B2))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E617DD-EA60-438E-83C6-1DDA907E0E9D}" name="Table6" displayName="Table6" ref="H1:M7" totalsRowShown="0" headerRowDxfId="44" headerRowBorderDxfId="52" tableBorderDxfId="53" totalsRowBorderDxfId="51">
  <autoFilter ref="H1:M7" xr:uid="{25E617DD-EA60-438E-83C6-1DDA907E0E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61EF298-4742-4E86-9345-0AAB8601A832}" name="UPPERCASE" dataDxfId="50">
      <calculatedColumnFormula>UPPER(B2)</calculatedColumnFormula>
    </tableColumn>
    <tableColumn id="2" xr3:uid="{A2762CCA-2116-41E6-9C75-45650F110EE2}" name="Lowercase" dataDxfId="49">
      <calculatedColumnFormula>LOWER(B2)</calculatedColumnFormula>
    </tableColumn>
    <tableColumn id="3" xr3:uid="{CA8D64B2-44D3-4C19-8F60-9470D7E8B215}" name="Propercase" dataDxfId="48">
      <calculatedColumnFormula>PROPER(B2)</calculatedColumnFormula>
    </tableColumn>
    <tableColumn id="4" xr3:uid="{C586EC8B-2A04-4441-A6D4-C86DA33F21CB}" name="Department names to uppercase" dataDxfId="47">
      <calculatedColumnFormula>UPPER(D2)</calculatedColumnFormula>
    </tableColumn>
    <tableColumn id="5" xr3:uid="{E14FB8ED-7328-4076-B864-B4E9DC62E7BA}" name="Email usernames to lowercase" dataDxfId="46">
      <calculatedColumnFormula>LOWER(MID(C2,1,FIND("@",C2)-1))&amp;MID(C2,SEARCH("@",C2),LEN(C2))</calculatedColumnFormula>
    </tableColumn>
    <tableColumn id="6" xr3:uid="{2438C888-0D07-4F0C-B83B-9F99B9B2FB23}" name="Standardize all employee names into proper case after applying TRIM" dataDxfId="45">
      <calculatedColumnFormula>TRIM(PROPER(B2))</calculatedColumnFormula>
    </tableColumn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4809FA-74A2-40E3-8507-99794A902E01}" name="Table7" displayName="Table7" ref="H1:O7" totalsRowShown="0" headerRowDxfId="32" headerRowBorderDxfId="42" tableBorderDxfId="43" totalsRowBorderDxfId="41">
  <autoFilter ref="H1:O7" xr:uid="{274809FA-74A2-40E3-8507-99794A902E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C8940F3-98AA-4FBB-B35A-2C7540694E1F}" name="Find the position of @ in every email" dataDxfId="40">
      <calculatedColumnFormula>FIND("@",C2)</calculatedColumnFormula>
    </tableColumn>
    <tableColumn id="2" xr3:uid="{407E2372-43F5-4DC9-B2F2-AA5C13E0101B}" name="Find the position of - in Employee_Code" dataDxfId="39">
      <calculatedColumnFormula>FIND("-",F2)</calculatedColumnFormula>
    </tableColumn>
    <tableColumn id="3" xr3:uid="{504A188F-F5C7-47F8-B850-2DC4CE6585BA}" name="Find the Data word exists in Department" dataDxfId="38">
      <calculatedColumnFormula>FIND("Data",D2)</calculatedColumnFormula>
    </tableColumn>
    <tableColumn id="4" xr3:uid="{DBB9C881-C7ED-476B-9AFB-4AAC1D7FE3BC}" name="Find the position of Performer in Remarks" dataDxfId="37">
      <calculatedColumnFormula>SEARCH("Performer",G2)</calculatedColumnFormula>
    </tableColumn>
    <tableColumn id="5" xr3:uid="{C718DD3C-FA66-46C7-A518-73E5C3A5315B}" name="Find the position of Support in Department" dataDxfId="36">
      <calculatedColumnFormula>SEARCH("Support",D2)</calculatedColumnFormula>
    </tableColumn>
    <tableColumn id="6" xr3:uid="{66AB281B-228E-46A6-B710-A4296A092962}" name="Find the first occurrence of the letter a in Full_Name" dataDxfId="35">
      <calculatedColumnFormula>SEARCH("a",B2)</calculatedColumnFormula>
    </tableColumn>
    <tableColumn id="7" xr3:uid="{E5F2081D-6A0F-4B85-85EC-BDADA2FA369B}" name="Searching for &quot;data&quot; in &quot;Data Analytics&quot; using SEARCH" dataDxfId="34"/>
    <tableColumn id="8" xr3:uid="{D7F46ECD-B05F-4843-9B3E-093549104324}" name="Searching for &quot;data&quot; in &quot;Data Analytics&quot; using FIND" dataDxfId="33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9A8875-E821-4234-9928-88D3612E5CB9}" name="Table8" displayName="Table8" ref="H1:M7" totalsRowShown="0" headerRowDxfId="22" headerRowBorderDxfId="30" tableBorderDxfId="31" totalsRowBorderDxfId="29">
  <autoFilter ref="H1:M7" xr:uid="{EC9A8875-E821-4234-9928-88D3612E5C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21BB67F-DB2B-491A-94B2-E1AC04C9A1CC}" name="Replace .com with .in in email addresses" dataDxfId="28">
      <calculatedColumnFormula>SUBSTITUTE(C2,".com",".in")</calculatedColumnFormula>
    </tableColumn>
    <tableColumn id="2" xr3:uid="{2ED7210F-CB37-4669-A289-332D49E666BC}" name="Replace spaces in names with underscores." dataDxfId="27">
      <calculatedColumnFormula>SUBSTITUTE(B2," ","_")</calculatedColumnFormula>
    </tableColumn>
    <tableColumn id="3" xr3:uid="{D59D6B99-A25E-4CD6-8AD0-18F2977AE3DE}" name="Replace &quot;Performer&quot; with &quot;Employee&quot; in Remarks" dataDxfId="26">
      <calculatedColumnFormula>SUBSTITUTE(G2,"Performer","Employee")</calculatedColumnFormula>
    </tableColumn>
    <tableColumn id="4" xr3:uid="{AFB8DB2A-AB08-4D01-8C86-31C389C41906}" name="Replace &quot;-&quot; with &quot;/&quot; in Employee_Code." dataDxfId="25">
      <calculatedColumnFormula>SUBSTITUTE(F2,"-","/")</calculatedColumnFormula>
    </tableColumn>
    <tableColumn id="5" xr3:uid="{A76B750B-1311-45F0-9593-1292B622D120}" name="Replace &quot;Data&quot; with &quot;Business&quot; in Department" dataDxfId="24">
      <calculatedColumnFormula>SUBSTITUTE(D2,"Data","Business")</calculatedColumnFormula>
    </tableColumn>
    <tableColumn id="6" xr3:uid="{2194DF68-1764-4CAB-AAA2-96E120D21CC0}" name="Replace &quot;Work From Home&quot; with &quot;Remote&quot;" dataDxfId="23">
      <calculatedColumnFormula>SUBSTITUTE(G2,"Work From Home","Remote")</calculatedColumnFormula>
    </tableColumn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1ACF65-0038-46A5-A580-99112C95E44B}" name="Table9" displayName="Table9" ref="H1:M7" totalsRowShown="0" headerRowDxfId="12" headerRowBorderDxfId="20" tableBorderDxfId="21" totalsRowBorderDxfId="19">
  <autoFilter ref="H1:M7" xr:uid="{0F1ACF65-0038-46A5-A580-99112C95E4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2F1F152-0E0C-4D65-A3A6-0471AE4FDA4B}" name="Display Name" dataDxfId="18">
      <calculatedColumnFormula>_xlfn.CONCAT(A2," - ",B2)</calculatedColumnFormula>
    </tableColumn>
    <tableColumn id="2" xr3:uid="{BA340AA6-63C8-42B6-AAD9-F1B7C9FE0615}" name="Create Full_Name (Department)" dataDxfId="17">
      <calculatedColumnFormula>_xlfn.CONCAT(B2," (",D2,")")</calculatedColumnFormula>
    </tableColumn>
    <tableColumn id="3" xr3:uid="{3E05C257-B868-4B82-BF80-EDA8DB4D5DD1}" name="Create an email signature" dataDxfId="16">
      <calculatedColumnFormula>"Regards, "&amp;B2&amp;" "&amp;D2</calculatedColumnFormula>
    </tableColumn>
    <tableColumn id="4" xr3:uid="{CA8EC0C0-F45D-451C-9B58-23760F354657}" name="Combine City - Department" dataDxfId="15">
      <calculatedColumnFormula>_xlfn.TEXTJOIN(" - ",TRUE,E2,D2)</calculatedColumnFormula>
    </tableColumn>
    <tableColumn id="5" xr3:uid="{138F59AE-EC4B-41C4-94C0-46D174F9B29D}" name="Create ID|Name|City" dataDxfId="14">
      <calculatedColumnFormula>_xlfn.TEXTJOIN(" | ",TRUE,A2,B2,E2)</calculatedColumnFormula>
    </tableColumn>
    <tableColumn id="6" xr3:uid="{F2FFD2BA-31C4-43EA-B97F-4F071D2ED980}" name="Create a complete employee profile using TEXTJOIN()." dataDxfId="13">
      <calculatedColumnFormula>_xlfn.TEXTJOIN(" | ",TRUE,A2,TRIM(B2),D2,E2,C2)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priya.das@company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ahul.sharma@company.com" TargetMode="External"/><Relationship Id="rId1" Type="http://schemas.openxmlformats.org/officeDocument/2006/relationships/hyperlink" Target="mailto:souptik.bej@company.com" TargetMode="External"/><Relationship Id="rId6" Type="http://schemas.openxmlformats.org/officeDocument/2006/relationships/hyperlink" Target="mailto:rohit.sen@company.com" TargetMode="External"/><Relationship Id="rId5" Type="http://schemas.openxmlformats.org/officeDocument/2006/relationships/hyperlink" Target="mailto:sneha.ghosh@company.com" TargetMode="External"/><Relationship Id="rId4" Type="http://schemas.openxmlformats.org/officeDocument/2006/relationships/hyperlink" Target="mailto:ankit.roy@company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priya.das@company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rahul.sharma@company.com" TargetMode="External"/><Relationship Id="rId1" Type="http://schemas.openxmlformats.org/officeDocument/2006/relationships/hyperlink" Target="mailto:souptik.bej@company.com" TargetMode="External"/><Relationship Id="rId6" Type="http://schemas.openxmlformats.org/officeDocument/2006/relationships/hyperlink" Target="mailto:rohit.sen@company.com" TargetMode="External"/><Relationship Id="rId5" Type="http://schemas.openxmlformats.org/officeDocument/2006/relationships/hyperlink" Target="mailto:sneha.ghosh@company.com" TargetMode="External"/><Relationship Id="rId4" Type="http://schemas.openxmlformats.org/officeDocument/2006/relationships/hyperlink" Target="mailto:ankit.roy@company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priya.das@company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rahul.sharma@company.com" TargetMode="External"/><Relationship Id="rId1" Type="http://schemas.openxmlformats.org/officeDocument/2006/relationships/hyperlink" Target="mailto:souptik.bej@company.com" TargetMode="External"/><Relationship Id="rId6" Type="http://schemas.openxmlformats.org/officeDocument/2006/relationships/hyperlink" Target="mailto:rohit.sen@company.com" TargetMode="External"/><Relationship Id="rId5" Type="http://schemas.openxmlformats.org/officeDocument/2006/relationships/hyperlink" Target="mailto:sneha.ghosh@company.com" TargetMode="External"/><Relationship Id="rId4" Type="http://schemas.openxmlformats.org/officeDocument/2006/relationships/hyperlink" Target="mailto:ankit.roy@company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mailto:priya.das@company.com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rahul.sharma@company.com" TargetMode="External"/><Relationship Id="rId1" Type="http://schemas.openxmlformats.org/officeDocument/2006/relationships/hyperlink" Target="mailto:souptik.bej@company.com" TargetMode="External"/><Relationship Id="rId6" Type="http://schemas.openxmlformats.org/officeDocument/2006/relationships/hyperlink" Target="mailto:rohit.sen@company.com" TargetMode="External"/><Relationship Id="rId5" Type="http://schemas.openxmlformats.org/officeDocument/2006/relationships/hyperlink" Target="mailto:sneha.ghosh@company.com" TargetMode="External"/><Relationship Id="rId4" Type="http://schemas.openxmlformats.org/officeDocument/2006/relationships/hyperlink" Target="mailto:ankit.roy@company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hyperlink" Target="mailto:priya.das@company.com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rahul.sharma@company.com" TargetMode="External"/><Relationship Id="rId1" Type="http://schemas.openxmlformats.org/officeDocument/2006/relationships/hyperlink" Target="mailto:souptik.bej@company.com" TargetMode="External"/><Relationship Id="rId6" Type="http://schemas.openxmlformats.org/officeDocument/2006/relationships/hyperlink" Target="mailto:rohit.sen@company.com" TargetMode="External"/><Relationship Id="rId5" Type="http://schemas.openxmlformats.org/officeDocument/2006/relationships/hyperlink" Target="mailto:sneha.ghosh@company.com" TargetMode="External"/><Relationship Id="rId4" Type="http://schemas.openxmlformats.org/officeDocument/2006/relationships/hyperlink" Target="mailto:ankit.roy@company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hyperlink" Target="mailto:priya.das@company.com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mailto:rahul.sharma@company.com" TargetMode="External"/><Relationship Id="rId1" Type="http://schemas.openxmlformats.org/officeDocument/2006/relationships/hyperlink" Target="mailto:souptik.bej@company.com" TargetMode="External"/><Relationship Id="rId6" Type="http://schemas.openxmlformats.org/officeDocument/2006/relationships/hyperlink" Target="mailto:rohit.sen@company.com" TargetMode="External"/><Relationship Id="rId5" Type="http://schemas.openxmlformats.org/officeDocument/2006/relationships/hyperlink" Target="mailto:sneha.ghosh@company.com" TargetMode="External"/><Relationship Id="rId4" Type="http://schemas.openxmlformats.org/officeDocument/2006/relationships/hyperlink" Target="mailto:ankit.roy@company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hyperlink" Target="mailto:priya.das@company.com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mailto:rahul.sharma@company.com" TargetMode="External"/><Relationship Id="rId1" Type="http://schemas.openxmlformats.org/officeDocument/2006/relationships/hyperlink" Target="mailto:souptik.bej@company.com" TargetMode="External"/><Relationship Id="rId6" Type="http://schemas.openxmlformats.org/officeDocument/2006/relationships/hyperlink" Target="mailto:rohit.sen@company.com" TargetMode="External"/><Relationship Id="rId5" Type="http://schemas.openxmlformats.org/officeDocument/2006/relationships/hyperlink" Target="mailto:sneha.ghosh@company.com" TargetMode="External"/><Relationship Id="rId4" Type="http://schemas.openxmlformats.org/officeDocument/2006/relationships/hyperlink" Target="mailto:ankit.roy@company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hyperlink" Target="mailto:priya.das@company.com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mailto:rahul.sharma@company.com" TargetMode="External"/><Relationship Id="rId1" Type="http://schemas.openxmlformats.org/officeDocument/2006/relationships/hyperlink" Target="mailto:souptik.bej@company.com" TargetMode="External"/><Relationship Id="rId6" Type="http://schemas.openxmlformats.org/officeDocument/2006/relationships/hyperlink" Target="mailto:rohit.sen@company.com" TargetMode="External"/><Relationship Id="rId5" Type="http://schemas.openxmlformats.org/officeDocument/2006/relationships/hyperlink" Target="mailto:sneha.ghosh@company.com" TargetMode="External"/><Relationship Id="rId4" Type="http://schemas.openxmlformats.org/officeDocument/2006/relationships/hyperlink" Target="mailto:ankit.roy@company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hyperlink" Target="mailto:priya.das@company.com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mailto:rahul.sharma@company.com" TargetMode="External"/><Relationship Id="rId1" Type="http://schemas.openxmlformats.org/officeDocument/2006/relationships/hyperlink" Target="mailto:souptik.bej@company.com" TargetMode="External"/><Relationship Id="rId6" Type="http://schemas.openxmlformats.org/officeDocument/2006/relationships/hyperlink" Target="mailto:rohit.sen@company.com" TargetMode="External"/><Relationship Id="rId5" Type="http://schemas.openxmlformats.org/officeDocument/2006/relationships/hyperlink" Target="mailto:sneha.ghosh@company.com" TargetMode="External"/><Relationship Id="rId4" Type="http://schemas.openxmlformats.org/officeDocument/2006/relationships/hyperlink" Target="mailto:ankit.roy@company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hyperlink" Target="mailto:priya.das@company.com" TargetMode="External"/><Relationship Id="rId7" Type="http://schemas.openxmlformats.org/officeDocument/2006/relationships/printerSettings" Target="../printerSettings/printerSettings10.bin"/><Relationship Id="rId2" Type="http://schemas.openxmlformats.org/officeDocument/2006/relationships/hyperlink" Target="mailto:rahul.sharma@company.com" TargetMode="External"/><Relationship Id="rId1" Type="http://schemas.openxmlformats.org/officeDocument/2006/relationships/hyperlink" Target="mailto:souptik.bej@company.com" TargetMode="External"/><Relationship Id="rId6" Type="http://schemas.openxmlformats.org/officeDocument/2006/relationships/hyperlink" Target="mailto:rohit.sen@company.com" TargetMode="External"/><Relationship Id="rId5" Type="http://schemas.openxmlformats.org/officeDocument/2006/relationships/hyperlink" Target="mailto:sneha.ghosh@company.com" TargetMode="External"/><Relationship Id="rId4" Type="http://schemas.openxmlformats.org/officeDocument/2006/relationships/hyperlink" Target="mailto:ankit.roy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C497-D0ED-474C-80EF-FD2D5299AD25}">
  <dimension ref="A1:G7"/>
  <sheetViews>
    <sheetView tabSelected="1" zoomScale="160" zoomScaleNormal="160" workbookViewId="0">
      <selection activeCell="H9" sqref="H9"/>
    </sheetView>
  </sheetViews>
  <sheetFormatPr defaultRowHeight="14.4"/>
  <cols>
    <col min="1" max="1" width="12.6640625" customWidth="1"/>
    <col min="2" max="2" width="13.21875" bestFit="1" customWidth="1"/>
    <col min="3" max="3" width="25.21875" bestFit="1" customWidth="1"/>
    <col min="4" max="4" width="12.33203125" bestFit="1" customWidth="1"/>
    <col min="5" max="5" width="9.77734375" bestFit="1" customWidth="1"/>
    <col min="6" max="6" width="15.33203125" customWidth="1"/>
    <col min="7" max="7" width="17.33203125" bestFit="1" customWidth="1"/>
  </cols>
  <sheetData>
    <row r="1" spans="1:7">
      <c r="A1" s="3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2" t="s">
        <v>6</v>
      </c>
    </row>
    <row r="2" spans="1:7">
      <c r="A2" s="54" t="s">
        <v>7</v>
      </c>
      <c r="B2" s="7" t="s">
        <v>8</v>
      </c>
      <c r="C2" s="40" t="s">
        <v>9</v>
      </c>
      <c r="D2" s="6" t="s">
        <v>10</v>
      </c>
      <c r="E2" s="6" t="s">
        <v>11</v>
      </c>
      <c r="F2" s="6" t="s">
        <v>12</v>
      </c>
      <c r="G2" s="55" t="s">
        <v>13</v>
      </c>
    </row>
    <row r="3" spans="1:7">
      <c r="A3" s="54" t="s">
        <v>14</v>
      </c>
      <c r="B3" s="7" t="s">
        <v>15</v>
      </c>
      <c r="C3" s="40" t="s">
        <v>16</v>
      </c>
      <c r="D3" s="6" t="s">
        <v>17</v>
      </c>
      <c r="E3" s="6" t="s">
        <v>18</v>
      </c>
      <c r="F3" s="6" t="s">
        <v>19</v>
      </c>
      <c r="G3" s="55" t="s">
        <v>20</v>
      </c>
    </row>
    <row r="4" spans="1:7">
      <c r="A4" s="54" t="s">
        <v>21</v>
      </c>
      <c r="B4" s="7" t="s">
        <v>22</v>
      </c>
      <c r="C4" s="40" t="s">
        <v>23</v>
      </c>
      <c r="D4" s="6" t="s">
        <v>24</v>
      </c>
      <c r="E4" s="6" t="s">
        <v>25</v>
      </c>
      <c r="F4" s="6" t="s">
        <v>26</v>
      </c>
      <c r="G4" s="55" t="s">
        <v>27</v>
      </c>
    </row>
    <row r="5" spans="1:7">
      <c r="A5" s="54" t="s">
        <v>28</v>
      </c>
      <c r="B5" s="7" t="s">
        <v>29</v>
      </c>
      <c r="C5" s="40" t="s">
        <v>30</v>
      </c>
      <c r="D5" s="6" t="s">
        <v>31</v>
      </c>
      <c r="E5" s="6" t="s">
        <v>32</v>
      </c>
      <c r="F5" s="6" t="s">
        <v>33</v>
      </c>
      <c r="G5" s="55" t="s">
        <v>34</v>
      </c>
    </row>
    <row r="6" spans="1:7">
      <c r="A6" s="54" t="s">
        <v>35</v>
      </c>
      <c r="B6" s="7" t="s">
        <v>36</v>
      </c>
      <c r="C6" s="40" t="s">
        <v>37</v>
      </c>
      <c r="D6" s="6" t="s">
        <v>38</v>
      </c>
      <c r="E6" s="6" t="s">
        <v>39</v>
      </c>
      <c r="F6" s="6" t="s">
        <v>40</v>
      </c>
      <c r="G6" s="55" t="s">
        <v>41</v>
      </c>
    </row>
    <row r="7" spans="1:7">
      <c r="A7" s="56" t="s">
        <v>42</v>
      </c>
      <c r="B7" s="57" t="s">
        <v>43</v>
      </c>
      <c r="C7" s="58" t="s">
        <v>44</v>
      </c>
      <c r="D7" s="59" t="s">
        <v>45</v>
      </c>
      <c r="E7" s="59" t="s">
        <v>46</v>
      </c>
      <c r="F7" s="59" t="s">
        <v>47</v>
      </c>
      <c r="G7" s="60" t="s">
        <v>48</v>
      </c>
    </row>
  </sheetData>
  <hyperlinks>
    <hyperlink ref="C2" r:id="rId1" display="mailto:souptik.bej@company.com" xr:uid="{76C23AB5-C010-429A-8DB9-5E957715E36A}"/>
    <hyperlink ref="C3" r:id="rId2" display="mailto:rahul.sharma@company.com" xr:uid="{2A298535-BD08-4924-86BF-A11AC8C32C4E}"/>
    <hyperlink ref="C4" r:id="rId3" display="mailto:priya.das@company.com" xr:uid="{5CFBF63C-A70C-41AF-83B9-2AEA342D5A19}"/>
    <hyperlink ref="C5" r:id="rId4" display="mailto:ankit.roy@company.com" xr:uid="{3E21BA93-4E9F-47A7-8B3F-72AA4E39A489}"/>
    <hyperlink ref="C6" r:id="rId5" display="mailto:sneha.ghosh@company.com" xr:uid="{61BA7CC8-EEAF-4E55-A2FC-776FF538A059}"/>
    <hyperlink ref="C7" r:id="rId6" display="mailto:rohit.sen@company.com" xr:uid="{4DF91D44-7BAF-4114-8210-59A742BA9754}"/>
  </hyperlinks>
  <pageMargins left="0.7" right="0.7" top="0.75" bottom="0.75" header="0.3" footer="0.3"/>
  <pageSetup orientation="portrait"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33F2-EA0A-4BE5-9807-19C7D4E8F92D}">
  <dimension ref="A1:M7"/>
  <sheetViews>
    <sheetView topLeftCell="D1" zoomScale="130" zoomScaleNormal="130" workbookViewId="0">
      <selection activeCell="H1" sqref="H1:M7"/>
    </sheetView>
  </sheetViews>
  <sheetFormatPr defaultRowHeight="14.4"/>
  <cols>
    <col min="1" max="1" width="12.44140625" bestFit="1" customWidth="1"/>
    <col min="2" max="2" width="13.33203125" bestFit="1" customWidth="1"/>
    <col min="3" max="3" width="27.21875" bestFit="1" customWidth="1"/>
    <col min="4" max="4" width="13.33203125" bestFit="1" customWidth="1"/>
    <col min="5" max="5" width="10.21875" bestFit="1" customWidth="1"/>
    <col min="6" max="6" width="15.44140625" bestFit="1" customWidth="1"/>
    <col min="7" max="7" width="18.33203125" bestFit="1" customWidth="1"/>
    <col min="8" max="8" width="16" customWidth="1"/>
    <col min="9" max="9" width="23.88671875" customWidth="1"/>
    <col min="10" max="10" width="29.88671875" customWidth="1"/>
    <col min="11" max="11" width="21.6640625" customWidth="1"/>
    <col min="12" max="12" width="22.88671875" customWidth="1"/>
    <col min="13" max="13" width="27.6640625" customWidth="1"/>
  </cols>
  <sheetData>
    <row r="1" spans="1:13" s="2" customFormat="1" ht="43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5</v>
      </c>
      <c r="I1" s="19" t="s">
        <v>49</v>
      </c>
      <c r="J1" s="19" t="s">
        <v>50</v>
      </c>
      <c r="K1" s="19" t="s">
        <v>51</v>
      </c>
      <c r="L1" s="19" t="s">
        <v>52</v>
      </c>
      <c r="M1" s="20" t="s">
        <v>101</v>
      </c>
    </row>
    <row r="2" spans="1:13">
      <c r="A2" s="12" t="s">
        <v>7</v>
      </c>
      <c r="B2" s="7" t="s">
        <v>8</v>
      </c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tr">
        <f>LEFT(F2,2)</f>
        <v>DA</v>
      </c>
      <c r="I2" s="9" t="str">
        <f>LEFT(B2,3)</f>
        <v>sou</v>
      </c>
      <c r="J2" s="9" t="str">
        <f>LEFT(A2,4)</f>
        <v>EMP0</v>
      </c>
      <c r="K2" s="9" t="str">
        <f>LEFT(E2,2)</f>
        <v>Ko</v>
      </c>
      <c r="L2" s="9" t="str">
        <f>LEFT(D2,FIND(" ",D2)-1)</f>
        <v>Data</v>
      </c>
      <c r="M2" s="13" t="str">
        <f>UPPER(LEFT(TRIM(D2),3))</f>
        <v>DAT</v>
      </c>
    </row>
    <row r="3" spans="1:13">
      <c r="A3" s="12" t="s">
        <v>14</v>
      </c>
      <c r="B3" s="7" t="s">
        <v>15</v>
      </c>
      <c r="C3" s="8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tr">
        <f t="shared" ref="H3:H7" si="0">LEFT(F3,2)</f>
        <v>SA</v>
      </c>
      <c r="I3" s="9" t="str">
        <f t="shared" ref="I3:I7" si="1">LEFT(B3,3)</f>
        <v>rah</v>
      </c>
      <c r="J3" s="9" t="str">
        <f t="shared" ref="J3:J7" si="2">LEFT(A3,4)</f>
        <v>EMP0</v>
      </c>
      <c r="K3" s="9" t="str">
        <f t="shared" ref="K3:K7" si="3">LEFT(E3,2)</f>
        <v>Mu</v>
      </c>
      <c r="L3" s="9" t="e">
        <f t="shared" ref="L3:L7" si="4">LEFT(D3,FIND(" ",D3)-1)</f>
        <v>#VALUE!</v>
      </c>
      <c r="M3" s="13" t="str">
        <f t="shared" ref="M3:M7" si="5">UPPER(LEFT(TRIM(D3),3))</f>
        <v>SAL</v>
      </c>
    </row>
    <row r="4" spans="1:13">
      <c r="A4" s="12" t="s">
        <v>21</v>
      </c>
      <c r="B4" s="7" t="s">
        <v>22</v>
      </c>
      <c r="C4" s="8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tr">
        <f t="shared" si="0"/>
        <v>HR</v>
      </c>
      <c r="I4" s="9" t="str">
        <f t="shared" si="1"/>
        <v>PRI</v>
      </c>
      <c r="J4" s="9" t="str">
        <f t="shared" si="2"/>
        <v>EMP0</v>
      </c>
      <c r="K4" s="9" t="str">
        <f t="shared" si="3"/>
        <v>De</v>
      </c>
      <c r="L4" s="9" t="e">
        <f t="shared" si="4"/>
        <v>#VALUE!</v>
      </c>
      <c r="M4" s="13" t="str">
        <f t="shared" si="5"/>
        <v>HR</v>
      </c>
    </row>
    <row r="5" spans="1:13">
      <c r="A5" s="12" t="s">
        <v>28</v>
      </c>
      <c r="B5" s="7" t="s">
        <v>29</v>
      </c>
      <c r="C5" s="8" t="s">
        <v>30</v>
      </c>
      <c r="D5" s="9" t="s">
        <v>31</v>
      </c>
      <c r="E5" s="9" t="s">
        <v>32</v>
      </c>
      <c r="F5" s="9" t="s">
        <v>33</v>
      </c>
      <c r="G5" s="9" t="s">
        <v>34</v>
      </c>
      <c r="H5" s="9" t="str">
        <f t="shared" si="0"/>
        <v>FI</v>
      </c>
      <c r="I5" s="9" t="str">
        <f t="shared" si="1"/>
        <v>ank</v>
      </c>
      <c r="J5" s="9" t="str">
        <f t="shared" si="2"/>
        <v>EMP0</v>
      </c>
      <c r="K5" s="9" t="str">
        <f t="shared" si="3"/>
        <v>Pu</v>
      </c>
      <c r="L5" s="9" t="e">
        <f t="shared" si="4"/>
        <v>#VALUE!</v>
      </c>
      <c r="M5" s="13" t="str">
        <f t="shared" si="5"/>
        <v>FIN</v>
      </c>
    </row>
    <row r="6" spans="1:13">
      <c r="A6" s="12" t="s">
        <v>35</v>
      </c>
      <c r="B6" s="7" t="s">
        <v>36</v>
      </c>
      <c r="C6" s="8" t="s">
        <v>37</v>
      </c>
      <c r="D6" s="9" t="s">
        <v>38</v>
      </c>
      <c r="E6" s="9" t="s">
        <v>39</v>
      </c>
      <c r="F6" s="9" t="s">
        <v>40</v>
      </c>
      <c r="G6" s="9" t="s">
        <v>41</v>
      </c>
      <c r="H6" s="9" t="str">
        <f t="shared" si="0"/>
        <v>MA</v>
      </c>
      <c r="I6" s="9" t="str">
        <f t="shared" si="1"/>
        <v>Sne</v>
      </c>
      <c r="J6" s="9" t="str">
        <f t="shared" si="2"/>
        <v>EMP0</v>
      </c>
      <c r="K6" s="9" t="str">
        <f t="shared" si="3"/>
        <v>Ba</v>
      </c>
      <c r="L6" s="9" t="e">
        <f t="shared" si="4"/>
        <v>#VALUE!</v>
      </c>
      <c r="M6" s="13" t="str">
        <f t="shared" si="5"/>
        <v>MAR</v>
      </c>
    </row>
    <row r="7" spans="1:13" ht="15" thickBot="1">
      <c r="A7" s="14" t="s">
        <v>42</v>
      </c>
      <c r="B7" s="15" t="s">
        <v>43</v>
      </c>
      <c r="C7" s="16" t="s">
        <v>44</v>
      </c>
      <c r="D7" s="17" t="s">
        <v>45</v>
      </c>
      <c r="E7" s="17" t="s">
        <v>46</v>
      </c>
      <c r="F7" s="17" t="s">
        <v>47</v>
      </c>
      <c r="G7" s="17" t="s">
        <v>48</v>
      </c>
      <c r="H7" s="17" t="str">
        <f t="shared" si="0"/>
        <v>IT</v>
      </c>
      <c r="I7" s="17" t="str">
        <f t="shared" si="1"/>
        <v>Roh</v>
      </c>
      <c r="J7" s="17" t="str">
        <f t="shared" si="2"/>
        <v>EMP0</v>
      </c>
      <c r="K7" s="17" t="str">
        <f t="shared" si="3"/>
        <v>Hy</v>
      </c>
      <c r="L7" s="17" t="str">
        <f t="shared" si="4"/>
        <v>IT</v>
      </c>
      <c r="M7" s="18" t="str">
        <f t="shared" si="5"/>
        <v xml:space="preserve">IT </v>
      </c>
    </row>
  </sheetData>
  <hyperlinks>
    <hyperlink ref="C2" r:id="rId1" display="mailto:souptik.bej@company.com" xr:uid="{1918913A-455C-4224-90B8-6B73C043D30F}"/>
    <hyperlink ref="C3" r:id="rId2" display="mailto:rahul.sharma@company.com" xr:uid="{B32FC301-1BFF-4FFB-BB1E-2E07C5BDDB87}"/>
    <hyperlink ref="C4" r:id="rId3" display="mailto:priya.das@company.com" xr:uid="{3A48A558-A813-4148-B81E-E4A3BE873155}"/>
    <hyperlink ref="C5" r:id="rId4" display="mailto:ankit.roy@company.com" xr:uid="{5AE07ABA-30AC-4EFE-BF6D-BCC7D674BC17}"/>
    <hyperlink ref="C6" r:id="rId5" display="mailto:sneha.ghosh@company.com" xr:uid="{C747C67F-43A1-4C16-AFFF-974A7BFDF653}"/>
    <hyperlink ref="C7" r:id="rId6" display="mailto:rohit.sen@company.com" xr:uid="{63088BCD-1C79-48EC-909D-5006A58C196C}"/>
  </hyperlinks>
  <pageMargins left="0.25" right="0.25" top="0.75" bottom="0.75" header="0.3" footer="0.3"/>
  <pageSetup paperSize="9" orientation="landscape"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BD39-6B1C-45B4-8F75-0D201BD2CF40}">
  <dimension ref="A1:M7"/>
  <sheetViews>
    <sheetView topLeftCell="E1" zoomScale="130" zoomScaleNormal="130" workbookViewId="0">
      <selection activeCell="J12" sqref="J12"/>
    </sheetView>
  </sheetViews>
  <sheetFormatPr defaultRowHeight="14.4"/>
  <cols>
    <col min="1" max="1" width="11.88671875" bestFit="1" customWidth="1"/>
    <col min="2" max="2" width="13.21875" bestFit="1" customWidth="1"/>
    <col min="3" max="3" width="25.21875" bestFit="1" customWidth="1"/>
    <col min="4" max="4" width="12.33203125" bestFit="1" customWidth="1"/>
    <col min="5" max="5" width="9.77734375" bestFit="1" customWidth="1"/>
    <col min="6" max="6" width="14.5546875" bestFit="1" customWidth="1"/>
    <col min="7" max="7" width="17.33203125" bestFit="1" customWidth="1"/>
    <col min="8" max="8" width="16" customWidth="1"/>
    <col min="9" max="9" width="23.44140625" customWidth="1"/>
    <col min="10" max="10" width="23.33203125" customWidth="1"/>
    <col min="11" max="11" width="18.77734375" customWidth="1"/>
    <col min="12" max="12" width="22.77734375" customWidth="1"/>
    <col min="13" max="13" width="22.88671875" customWidth="1"/>
  </cols>
  <sheetData>
    <row r="1" spans="1:13" s="3" customFormat="1" ht="43.2">
      <c r="A1" s="37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38" t="s">
        <v>5</v>
      </c>
      <c r="I1" s="32" t="s">
        <v>53</v>
      </c>
      <c r="J1" s="32" t="s">
        <v>54</v>
      </c>
      <c r="K1" s="32" t="s">
        <v>102</v>
      </c>
      <c r="L1" s="32" t="s">
        <v>103</v>
      </c>
      <c r="M1" s="33" t="s">
        <v>55</v>
      </c>
    </row>
    <row r="2" spans="1:13">
      <c r="A2" s="24" t="s">
        <v>7</v>
      </c>
      <c r="B2" s="22" t="s">
        <v>8</v>
      </c>
      <c r="C2" s="23" t="s">
        <v>9</v>
      </c>
      <c r="D2" s="21" t="s">
        <v>10</v>
      </c>
      <c r="E2" s="21" t="s">
        <v>11</v>
      </c>
      <c r="F2" s="21" t="s">
        <v>12</v>
      </c>
      <c r="G2" s="21" t="s">
        <v>13</v>
      </c>
      <c r="H2" s="29" t="str">
        <f>RIGHT(F2,3)</f>
        <v>001</v>
      </c>
      <c r="I2" s="21" t="str">
        <f>RIGHT(A2,3)</f>
        <v>001</v>
      </c>
      <c r="J2" s="21" t="str">
        <f>RIGHT(C2,4)</f>
        <v>.com</v>
      </c>
      <c r="K2" s="21" t="str">
        <f>RIGHT(B2,LEN(B2)-FIND(" ",B2))</f>
        <v>bej</v>
      </c>
      <c r="L2" s="21" t="str">
        <f>MID(F2,FIND("-",F2)+1,4)</f>
        <v>2026</v>
      </c>
      <c r="M2" s="30" t="str">
        <f>RIGHT(G2,5)</f>
        <v>ormer</v>
      </c>
    </row>
    <row r="3" spans="1:13">
      <c r="A3" s="24" t="s">
        <v>14</v>
      </c>
      <c r="B3" s="22" t="s">
        <v>15</v>
      </c>
      <c r="C3" s="23" t="s">
        <v>16</v>
      </c>
      <c r="D3" s="21" t="s">
        <v>17</v>
      </c>
      <c r="E3" s="21" t="s">
        <v>18</v>
      </c>
      <c r="F3" s="21" t="s">
        <v>19</v>
      </c>
      <c r="G3" s="21" t="s">
        <v>20</v>
      </c>
      <c r="H3" s="29" t="str">
        <f t="shared" ref="H3:H7" si="0">RIGHT(F3,3)</f>
        <v>015</v>
      </c>
      <c r="I3" s="21" t="str">
        <f t="shared" ref="I3:I7" si="1">RIGHT(A3,3)</f>
        <v>002</v>
      </c>
      <c r="J3" s="21" t="str">
        <f t="shared" ref="J3:J7" si="2">RIGHT(C3,4)</f>
        <v>.com</v>
      </c>
      <c r="K3" s="21" t="str">
        <f>RIGHT(B3,LEN(B3)-FIND(" ",B3))</f>
        <v>SHARMA</v>
      </c>
      <c r="L3" s="21" t="str">
        <f t="shared" ref="L3:L7" si="3">MID(F3,FIND("-",F3)+1,4)</f>
        <v>2025</v>
      </c>
      <c r="M3" s="30" t="str">
        <f t="shared" ref="M3:M7" si="4">RIGHT(G3,5)</f>
        <v>ement</v>
      </c>
    </row>
    <row r="4" spans="1:13">
      <c r="A4" s="24" t="s">
        <v>21</v>
      </c>
      <c r="B4" s="22" t="s">
        <v>22</v>
      </c>
      <c r="C4" s="23" t="s">
        <v>23</v>
      </c>
      <c r="D4" s="21" t="s">
        <v>24</v>
      </c>
      <c r="E4" s="21" t="s">
        <v>25</v>
      </c>
      <c r="F4" s="21" t="s">
        <v>26</v>
      </c>
      <c r="G4" s="21" t="s">
        <v>27</v>
      </c>
      <c r="H4" s="29" t="str">
        <f t="shared" si="0"/>
        <v>110</v>
      </c>
      <c r="I4" s="21" t="str">
        <f t="shared" si="1"/>
        <v>003</v>
      </c>
      <c r="J4" s="21" t="str">
        <f t="shared" si="2"/>
        <v>.com</v>
      </c>
      <c r="K4" s="21" t="str">
        <f t="shared" ref="K4:K7" si="5">RIGHT(B4,LEN(B4)-FIND(" ",B4))</f>
        <v>das</v>
      </c>
      <c r="L4" s="21" t="str">
        <f t="shared" si="3"/>
        <v>2024</v>
      </c>
      <c r="M4" s="30" t="str">
        <f t="shared" si="4"/>
        <v>ently</v>
      </c>
    </row>
    <row r="5" spans="1:13">
      <c r="A5" s="24" t="s">
        <v>28</v>
      </c>
      <c r="B5" s="22" t="s">
        <v>29</v>
      </c>
      <c r="C5" s="23" t="s">
        <v>30</v>
      </c>
      <c r="D5" s="21" t="s">
        <v>31</v>
      </c>
      <c r="E5" s="21" t="s">
        <v>32</v>
      </c>
      <c r="F5" s="21" t="s">
        <v>33</v>
      </c>
      <c r="G5" s="21" t="s">
        <v>34</v>
      </c>
      <c r="H5" s="29" t="str">
        <f t="shared" si="0"/>
        <v>021</v>
      </c>
      <c r="I5" s="21" t="str">
        <f t="shared" si="1"/>
        <v>004</v>
      </c>
      <c r="J5" s="21" t="str">
        <f t="shared" si="2"/>
        <v>.com</v>
      </c>
      <c r="K5" s="21" t="str">
        <f t="shared" si="5"/>
        <v>roy</v>
      </c>
      <c r="L5" s="21" t="str">
        <f t="shared" si="3"/>
        <v>2026</v>
      </c>
      <c r="M5" s="30" t="str">
        <f t="shared" si="4"/>
        <v>ation</v>
      </c>
    </row>
    <row r="6" spans="1:13">
      <c r="A6" s="24" t="s">
        <v>35</v>
      </c>
      <c r="B6" s="22" t="s">
        <v>36</v>
      </c>
      <c r="C6" s="23" t="s">
        <v>37</v>
      </c>
      <c r="D6" s="21" t="s">
        <v>38</v>
      </c>
      <c r="E6" s="21" t="s">
        <v>39</v>
      </c>
      <c r="F6" s="21" t="s">
        <v>40</v>
      </c>
      <c r="G6" s="21" t="s">
        <v>41</v>
      </c>
      <c r="H6" s="29" t="str">
        <f t="shared" si="0"/>
        <v>205</v>
      </c>
      <c r="I6" s="21" t="str">
        <f t="shared" si="1"/>
        <v>005</v>
      </c>
      <c r="J6" s="21" t="str">
        <f t="shared" si="2"/>
        <v>.com</v>
      </c>
      <c r="K6" s="21" t="str">
        <f t="shared" si="5"/>
        <v>Ghosh</v>
      </c>
      <c r="L6" s="21" t="str">
        <f t="shared" si="3"/>
        <v>2023</v>
      </c>
      <c r="M6" s="30" t="str">
        <f t="shared" si="4"/>
        <v>ormer</v>
      </c>
    </row>
    <row r="7" spans="1:13" ht="15" thickBot="1">
      <c r="A7" s="25" t="s">
        <v>42</v>
      </c>
      <c r="B7" s="26" t="s">
        <v>43</v>
      </c>
      <c r="C7" s="27" t="s">
        <v>44</v>
      </c>
      <c r="D7" s="28" t="s">
        <v>45</v>
      </c>
      <c r="E7" s="28" t="s">
        <v>46</v>
      </c>
      <c r="F7" s="28" t="s">
        <v>47</v>
      </c>
      <c r="G7" s="28" t="s">
        <v>48</v>
      </c>
      <c r="H7" s="34" t="str">
        <f t="shared" si="0"/>
        <v>078</v>
      </c>
      <c r="I7" s="35" t="str">
        <f t="shared" si="1"/>
        <v>006</v>
      </c>
      <c r="J7" s="35" t="str">
        <f t="shared" si="2"/>
        <v>.com</v>
      </c>
      <c r="K7" s="35" t="str">
        <f t="shared" si="5"/>
        <v>SEN</v>
      </c>
      <c r="L7" s="35" t="str">
        <f t="shared" si="3"/>
        <v>2025</v>
      </c>
      <c r="M7" s="36" t="str">
        <f t="shared" si="4"/>
        <v xml:space="preserve"> Home</v>
      </c>
    </row>
  </sheetData>
  <hyperlinks>
    <hyperlink ref="C2" r:id="rId1" display="mailto:souptik.bej@company.com" xr:uid="{2CE0E146-E337-43D6-A2BE-FBB2089515D3}"/>
    <hyperlink ref="C3" r:id="rId2" display="mailto:rahul.sharma@company.com" xr:uid="{54942F53-5354-4794-99DA-5776B652641D}"/>
    <hyperlink ref="C4" r:id="rId3" display="mailto:priya.das@company.com" xr:uid="{6FDBB879-5A2A-4C70-9547-2D96F861FF2C}"/>
    <hyperlink ref="C5" r:id="rId4" display="mailto:ankit.roy@company.com" xr:uid="{DB8E7671-C3BD-4E1A-B28D-BB68932056FD}"/>
    <hyperlink ref="C6" r:id="rId5" display="mailto:sneha.ghosh@company.com" xr:uid="{E5D979EA-34DE-423C-A040-C9ED35ED8C9F}"/>
    <hyperlink ref="C7" r:id="rId6" display="mailto:rohit.sen@company.com" xr:uid="{9CB08CEE-2021-4E82-9963-F9E96CBF649D}"/>
  </hyperlinks>
  <pageMargins left="0.25" right="0.25" top="0.75" bottom="0.75" header="0.3" footer="0.3"/>
  <pageSetup paperSize="9" orientation="landscape" r:id="rId7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5327-E3DE-4E87-8998-D7B66CB48684}">
  <dimension ref="A1:M7"/>
  <sheetViews>
    <sheetView topLeftCell="C1" zoomScaleNormal="100" workbookViewId="0">
      <selection activeCell="H1" sqref="H1:M7"/>
    </sheetView>
  </sheetViews>
  <sheetFormatPr defaultRowHeight="14.4"/>
  <cols>
    <col min="1" max="1" width="12.44140625" bestFit="1" customWidth="1"/>
    <col min="2" max="2" width="13.33203125" bestFit="1" customWidth="1"/>
    <col min="3" max="3" width="27.21875" bestFit="1" customWidth="1"/>
    <col min="4" max="4" width="13.33203125" bestFit="1" customWidth="1"/>
    <col min="5" max="5" width="10.21875" bestFit="1" customWidth="1"/>
    <col min="6" max="6" width="15.44140625" bestFit="1" customWidth="1"/>
    <col min="7" max="7" width="18.33203125" bestFit="1" customWidth="1"/>
    <col min="8" max="8" width="20.44140625" customWidth="1"/>
    <col min="9" max="9" width="22.44140625" customWidth="1"/>
    <col min="10" max="10" width="25.33203125" customWidth="1"/>
    <col min="11" max="11" width="26.44140625" customWidth="1"/>
    <col min="12" max="12" width="17.44140625" customWidth="1"/>
    <col min="13" max="13" width="29.88671875" customWidth="1"/>
  </cols>
  <sheetData>
    <row r="1" spans="1:13" ht="43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38" t="s">
        <v>56</v>
      </c>
      <c r="I1" s="32" t="s">
        <v>57</v>
      </c>
      <c r="J1" s="32" t="s">
        <v>58</v>
      </c>
      <c r="K1" s="32" t="s">
        <v>59</v>
      </c>
      <c r="L1" s="32" t="s">
        <v>60</v>
      </c>
      <c r="M1" s="33" t="s">
        <v>61</v>
      </c>
    </row>
    <row r="2" spans="1:13">
      <c r="A2" s="12" t="s">
        <v>7</v>
      </c>
      <c r="B2" s="7" t="s">
        <v>8</v>
      </c>
      <c r="C2" s="40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45" t="str">
        <f>MID(F2,4,4)</f>
        <v>2026</v>
      </c>
      <c r="I2" s="41" t="str">
        <f>MID(A2,2,3)</f>
        <v>MP0</v>
      </c>
      <c r="J2" s="41" t="str">
        <f>MID(C2,1,SEARCH("@",C2)-1)</f>
        <v>souptik.bej</v>
      </c>
      <c r="K2" s="42" t="str">
        <f>MID(F2,1,2)</f>
        <v>DA</v>
      </c>
      <c r="L2" s="41"/>
      <c r="M2" s="46"/>
    </row>
    <row r="3" spans="1:13">
      <c r="A3" s="12" t="s">
        <v>14</v>
      </c>
      <c r="B3" s="7" t="s">
        <v>15</v>
      </c>
      <c r="C3" s="40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45" t="str">
        <f t="shared" ref="H3:H7" si="0">MID(F3,4,4)</f>
        <v>2025</v>
      </c>
      <c r="I3" s="41" t="str">
        <f t="shared" ref="I3:I7" si="1">MID(A3,2,3)</f>
        <v>MP0</v>
      </c>
      <c r="J3" s="41" t="str">
        <f t="shared" ref="J3:J7" si="2">MID(C3,1,SEARCH("@",C3)-1)</f>
        <v>rahul.sharma</v>
      </c>
      <c r="K3" s="42" t="str">
        <f t="shared" ref="K3:K7" si="3">MID(F3,1,2)</f>
        <v>SA</v>
      </c>
      <c r="L3" s="41"/>
      <c r="M3" s="46" t="str">
        <f>MID(G3,7,LEN(G3))</f>
        <v>Improvement</v>
      </c>
    </row>
    <row r="4" spans="1:13">
      <c r="A4" s="12" t="s">
        <v>21</v>
      </c>
      <c r="B4" s="7" t="s">
        <v>22</v>
      </c>
      <c r="C4" s="40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45" t="str">
        <f t="shared" si="0"/>
        <v>2024</v>
      </c>
      <c r="I4" s="41" t="str">
        <f t="shared" si="1"/>
        <v>MP0</v>
      </c>
      <c r="J4" s="41" t="str">
        <f t="shared" si="2"/>
        <v>priya.das</v>
      </c>
      <c r="K4" s="42" t="str">
        <f t="shared" si="3"/>
        <v>HR</v>
      </c>
      <c r="L4" s="41"/>
      <c r="M4" s="46"/>
    </row>
    <row r="5" spans="1:13">
      <c r="A5" s="12" t="s">
        <v>28</v>
      </c>
      <c r="B5" s="7" t="s">
        <v>29</v>
      </c>
      <c r="C5" s="40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45" t="str">
        <f t="shared" si="0"/>
        <v>2026</v>
      </c>
      <c r="I5" s="41" t="str">
        <f t="shared" si="1"/>
        <v>MP0</v>
      </c>
      <c r="J5" s="41" t="str">
        <f t="shared" si="2"/>
        <v>ankit.roy</v>
      </c>
      <c r="K5" s="42" t="str">
        <f t="shared" si="3"/>
        <v>FI</v>
      </c>
      <c r="L5" s="41"/>
      <c r="M5" s="46"/>
    </row>
    <row r="6" spans="1:13">
      <c r="A6" s="12" t="s">
        <v>35</v>
      </c>
      <c r="B6" s="7" t="s">
        <v>36</v>
      </c>
      <c r="C6" s="40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45" t="str">
        <f t="shared" si="0"/>
        <v>2023</v>
      </c>
      <c r="I6" s="41" t="str">
        <f t="shared" si="1"/>
        <v>MP0</v>
      </c>
      <c r="J6" s="41" t="str">
        <f t="shared" si="2"/>
        <v>sneha.ghosh</v>
      </c>
      <c r="K6" s="42" t="str">
        <f t="shared" si="3"/>
        <v>MA</v>
      </c>
      <c r="L6" s="41"/>
      <c r="M6" s="46"/>
    </row>
    <row r="7" spans="1:13" ht="15" thickBot="1">
      <c r="A7" s="14" t="s">
        <v>42</v>
      </c>
      <c r="B7" s="15" t="s">
        <v>43</v>
      </c>
      <c r="C7" s="43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7" t="str">
        <f t="shared" si="0"/>
        <v>2025</v>
      </c>
      <c r="I7" s="48" t="str">
        <f t="shared" si="1"/>
        <v>MP0</v>
      </c>
      <c r="J7" s="48" t="str">
        <f t="shared" si="2"/>
        <v>rohit.sen</v>
      </c>
      <c r="K7" s="49" t="str">
        <f t="shared" si="3"/>
        <v>IT</v>
      </c>
      <c r="L7" s="48" t="str">
        <f>MID(D7,4,LEN(D7))</f>
        <v>Support</v>
      </c>
      <c r="M7" s="50"/>
    </row>
  </sheetData>
  <hyperlinks>
    <hyperlink ref="C2" r:id="rId1" display="mailto:souptik.bej@company.com" xr:uid="{968C644E-0DC5-4402-A1CE-09630EC1C583}"/>
    <hyperlink ref="C3" r:id="rId2" display="mailto:rahul.sharma@company.com" xr:uid="{3FFD4991-A168-41B7-8B2B-9925865A4223}"/>
    <hyperlink ref="C4" r:id="rId3" display="mailto:priya.das@company.com" xr:uid="{42713B71-0745-4C3D-8F4C-3CC9B40C1EA6}"/>
    <hyperlink ref="C5" r:id="rId4" display="mailto:ankit.roy@company.com" xr:uid="{6F0656E8-679A-4B79-A041-25FD5C8823A3}"/>
    <hyperlink ref="C6" r:id="rId5" display="mailto:sneha.ghosh@company.com" xr:uid="{7ABD1032-05FD-40E8-8648-C60A7713A8F3}"/>
    <hyperlink ref="C7" r:id="rId6" display="mailto:rohit.sen@company.com" xr:uid="{D1730AD9-6AB4-46B7-83AD-5E99B534ACDB}"/>
  </hyperlinks>
  <pageMargins left="0.25" right="0.25" top="0.75" bottom="0.75" header="0.3" footer="0.3"/>
  <pageSetup paperSize="9" orientation="landscape" r:id="rId7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C653-4FD7-470A-9079-4862CAAAD021}">
  <dimension ref="A1:L7"/>
  <sheetViews>
    <sheetView zoomScale="115" zoomScaleNormal="115" workbookViewId="0">
      <selection activeCell="H1" sqref="H1:L7"/>
    </sheetView>
  </sheetViews>
  <sheetFormatPr defaultRowHeight="14.4"/>
  <cols>
    <col min="1" max="1" width="12.44140625" bestFit="1" customWidth="1"/>
    <col min="2" max="2" width="13.33203125" bestFit="1" customWidth="1"/>
    <col min="3" max="3" width="27.21875" bestFit="1" customWidth="1"/>
    <col min="4" max="4" width="13.33203125" bestFit="1" customWidth="1"/>
    <col min="5" max="5" width="10.21875" bestFit="1" customWidth="1"/>
    <col min="6" max="6" width="15.44140625" bestFit="1" customWidth="1"/>
    <col min="7" max="7" width="18.33203125" bestFit="1" customWidth="1"/>
    <col min="8" max="8" width="22.77734375" customWidth="1"/>
    <col min="9" max="9" width="25.77734375" customWidth="1"/>
    <col min="10" max="10" width="18.33203125" customWidth="1"/>
    <col min="11" max="11" width="19.5546875" customWidth="1"/>
    <col min="12" max="12" width="24.77734375" customWidth="1"/>
  </cols>
  <sheetData>
    <row r="1" spans="1:12" ht="43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38" t="s">
        <v>62</v>
      </c>
      <c r="I1" s="32" t="s">
        <v>63</v>
      </c>
      <c r="J1" s="32" t="s">
        <v>64</v>
      </c>
      <c r="K1" s="32" t="s">
        <v>65</v>
      </c>
      <c r="L1" s="33" t="s">
        <v>66</v>
      </c>
    </row>
    <row r="2" spans="1:12">
      <c r="A2" s="12" t="s">
        <v>7</v>
      </c>
      <c r="B2" s="7" t="s">
        <v>8</v>
      </c>
      <c r="C2" s="40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45">
        <f>LEN(B2)</f>
        <v>11</v>
      </c>
      <c r="I2" s="41" t="b">
        <f>IF(LEN(B2)&gt;12,B2)</f>
        <v>0</v>
      </c>
      <c r="J2" s="41">
        <f>LEN(C2)</f>
        <v>23</v>
      </c>
      <c r="K2" s="41">
        <f>LEN(G2)</f>
        <v>19</v>
      </c>
      <c r="L2" s="46">
        <f>LEN(TRIM(B2))</f>
        <v>11</v>
      </c>
    </row>
    <row r="3" spans="1:12">
      <c r="A3" s="12" t="s">
        <v>14</v>
      </c>
      <c r="B3" s="7" t="s">
        <v>15</v>
      </c>
      <c r="C3" s="40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45">
        <f t="shared" ref="H3:H7" si="0">LEN(B3)</f>
        <v>12</v>
      </c>
      <c r="I3" s="41" t="b">
        <f t="shared" ref="I3:I7" si="1">IF(LEN(B3)&gt;12,B3)</f>
        <v>0</v>
      </c>
      <c r="J3" s="41">
        <f t="shared" ref="J3:J7" si="2">LEN(C3)</f>
        <v>24</v>
      </c>
      <c r="K3" s="41">
        <f t="shared" ref="K3:K7" si="3">LEN(G3)</f>
        <v>17</v>
      </c>
      <c r="L3" s="46">
        <f t="shared" ref="L3:L7" si="4">LEN(TRIM(B3))</f>
        <v>12</v>
      </c>
    </row>
    <row r="4" spans="1:12">
      <c r="A4" s="12" t="s">
        <v>21</v>
      </c>
      <c r="B4" s="7" t="s">
        <v>22</v>
      </c>
      <c r="C4" s="40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45">
        <f t="shared" si="0"/>
        <v>9</v>
      </c>
      <c r="I4" s="41" t="b">
        <f t="shared" si="1"/>
        <v>0</v>
      </c>
      <c r="J4" s="41">
        <f t="shared" si="2"/>
        <v>21</v>
      </c>
      <c r="K4" s="41">
        <f t="shared" si="3"/>
        <v>17</v>
      </c>
      <c r="L4" s="46">
        <f t="shared" si="4"/>
        <v>9</v>
      </c>
    </row>
    <row r="5" spans="1:12">
      <c r="A5" s="12" t="s">
        <v>28</v>
      </c>
      <c r="B5" s="7" t="s">
        <v>29</v>
      </c>
      <c r="C5" s="40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45">
        <f t="shared" si="0"/>
        <v>9</v>
      </c>
      <c r="I5" s="41" t="b">
        <f t="shared" si="1"/>
        <v>0</v>
      </c>
      <c r="J5" s="41">
        <f t="shared" si="2"/>
        <v>21</v>
      </c>
      <c r="K5" s="41">
        <f t="shared" si="3"/>
        <v>12</v>
      </c>
      <c r="L5" s="46">
        <f t="shared" si="4"/>
        <v>9</v>
      </c>
    </row>
    <row r="6" spans="1:12">
      <c r="A6" s="12" t="s">
        <v>35</v>
      </c>
      <c r="B6" s="7" t="s">
        <v>36</v>
      </c>
      <c r="C6" s="40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45">
        <f t="shared" si="0"/>
        <v>11</v>
      </c>
      <c r="I6" s="41" t="b">
        <f t="shared" si="1"/>
        <v>0</v>
      </c>
      <c r="J6" s="41">
        <f t="shared" si="2"/>
        <v>23</v>
      </c>
      <c r="K6" s="41">
        <f t="shared" si="3"/>
        <v>13</v>
      </c>
      <c r="L6" s="46">
        <f t="shared" si="4"/>
        <v>11</v>
      </c>
    </row>
    <row r="7" spans="1:12" ht="15" thickBot="1">
      <c r="A7" s="14" t="s">
        <v>42</v>
      </c>
      <c r="B7" s="15" t="s">
        <v>43</v>
      </c>
      <c r="C7" s="43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7">
        <f t="shared" si="0"/>
        <v>9</v>
      </c>
      <c r="I7" s="48" t="b">
        <f t="shared" si="1"/>
        <v>0</v>
      </c>
      <c r="J7" s="48">
        <f t="shared" si="2"/>
        <v>21</v>
      </c>
      <c r="K7" s="48">
        <f t="shared" si="3"/>
        <v>14</v>
      </c>
      <c r="L7" s="50">
        <f t="shared" si="4"/>
        <v>9</v>
      </c>
    </row>
  </sheetData>
  <hyperlinks>
    <hyperlink ref="C2" r:id="rId1" display="mailto:souptik.bej@company.com" xr:uid="{CB7C35CD-6A7B-4D21-AE72-1AC482172E48}"/>
    <hyperlink ref="C3" r:id="rId2" display="mailto:rahul.sharma@company.com" xr:uid="{9F660927-A2F2-4BE6-A871-DDD39DCC3016}"/>
    <hyperlink ref="C4" r:id="rId3" display="mailto:priya.das@company.com" xr:uid="{0BA1298C-9341-4ED0-B4A0-221F34B6B73C}"/>
    <hyperlink ref="C5" r:id="rId4" display="mailto:ankit.roy@company.com" xr:uid="{5BB7A03D-C57D-46AA-A334-70CA8BDB63FA}"/>
    <hyperlink ref="C6" r:id="rId5" display="mailto:sneha.ghosh@company.com" xr:uid="{BC4BAFF8-D709-40B9-83B0-3ADC525B72BB}"/>
    <hyperlink ref="C7" r:id="rId6" display="mailto:rohit.sen@company.com" xr:uid="{02881063-A227-4DEF-8978-381135F4B03C}"/>
  </hyperlinks>
  <pageMargins left="0.25" right="0.25" top="0.75" bottom="0.75" header="0.3" footer="0.3"/>
  <pageSetup paperSize="9" orientation="landscape" r:id="rId7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9FA2-2CAD-4E48-B708-FF2BD0ACFC5C}">
  <dimension ref="A1:J7"/>
  <sheetViews>
    <sheetView zoomScale="115" zoomScaleNormal="115" workbookViewId="0">
      <selection activeCell="H1" sqref="H1:J7"/>
    </sheetView>
  </sheetViews>
  <sheetFormatPr defaultRowHeight="14.4"/>
  <cols>
    <col min="1" max="1" width="12.44140625" bestFit="1" customWidth="1"/>
    <col min="2" max="2" width="13.33203125" bestFit="1" customWidth="1"/>
    <col min="3" max="3" width="27.21875" bestFit="1" customWidth="1"/>
    <col min="4" max="4" width="13.33203125" bestFit="1" customWidth="1"/>
    <col min="5" max="5" width="10.21875" bestFit="1" customWidth="1"/>
    <col min="6" max="6" width="15.44140625" bestFit="1" customWidth="1"/>
    <col min="7" max="7" width="18.33203125" bestFit="1" customWidth="1"/>
    <col min="8" max="8" width="31.77734375" customWidth="1"/>
    <col min="9" max="9" width="32.5546875" customWidth="1"/>
    <col min="10" max="10" width="30.88671875" customWidth="1"/>
  </cols>
  <sheetData>
    <row r="1" spans="1:10" s="3" customFormat="1" ht="28.8">
      <c r="A1" s="37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38" t="s">
        <v>67</v>
      </c>
      <c r="I1" s="32" t="s">
        <v>71</v>
      </c>
      <c r="J1" s="33" t="s">
        <v>72</v>
      </c>
    </row>
    <row r="2" spans="1:10">
      <c r="A2" s="12" t="s">
        <v>7</v>
      </c>
      <c r="B2" s="7" t="s">
        <v>68</v>
      </c>
      <c r="C2" s="40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45" t="str">
        <f>TRIM(B2)</f>
        <v>souptik bej</v>
      </c>
      <c r="I2" s="41">
        <f>LEN(B2)</f>
        <v>13</v>
      </c>
      <c r="J2" s="46">
        <f>LEN(TRIM(B2))</f>
        <v>11</v>
      </c>
    </row>
    <row r="3" spans="1:10">
      <c r="A3" s="12" t="s">
        <v>14</v>
      </c>
      <c r="B3" s="7" t="s">
        <v>69</v>
      </c>
      <c r="C3" s="40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45" t="str">
        <f t="shared" ref="H3:H7" si="0">TRIM(B3)</f>
        <v>rahul SHARMA</v>
      </c>
      <c r="I3" s="41">
        <f t="shared" ref="I3:I7" si="1">LEN(B3)</f>
        <v>15</v>
      </c>
      <c r="J3" s="46">
        <f t="shared" ref="J3:J7" si="2">LEN(TRIM(B3))</f>
        <v>12</v>
      </c>
    </row>
    <row r="4" spans="1:10">
      <c r="A4" s="12" t="s">
        <v>21</v>
      </c>
      <c r="B4" s="7" t="s">
        <v>70</v>
      </c>
      <c r="C4" s="40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45" t="str">
        <f t="shared" si="0"/>
        <v>PRIYA das</v>
      </c>
      <c r="I4" s="41">
        <f t="shared" si="1"/>
        <v>11</v>
      </c>
      <c r="J4" s="46">
        <f t="shared" si="2"/>
        <v>9</v>
      </c>
    </row>
    <row r="5" spans="1:10">
      <c r="A5" s="12" t="s">
        <v>28</v>
      </c>
      <c r="B5" s="7" t="s">
        <v>29</v>
      </c>
      <c r="C5" s="40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45" t="str">
        <f t="shared" si="0"/>
        <v>ankit roy</v>
      </c>
      <c r="I5" s="41">
        <f t="shared" si="1"/>
        <v>9</v>
      </c>
      <c r="J5" s="46">
        <f t="shared" si="2"/>
        <v>9</v>
      </c>
    </row>
    <row r="6" spans="1:10">
      <c r="A6" s="12" t="s">
        <v>35</v>
      </c>
      <c r="B6" s="7" t="s">
        <v>36</v>
      </c>
      <c r="C6" s="40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45" t="str">
        <f t="shared" si="0"/>
        <v>Sneha Ghosh</v>
      </c>
      <c r="I6" s="41">
        <f t="shared" si="1"/>
        <v>11</v>
      </c>
      <c r="J6" s="46">
        <f t="shared" si="2"/>
        <v>11</v>
      </c>
    </row>
    <row r="7" spans="1:10" ht="15" thickBot="1">
      <c r="A7" s="14" t="s">
        <v>42</v>
      </c>
      <c r="B7" s="15" t="s">
        <v>43</v>
      </c>
      <c r="C7" s="43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7" t="str">
        <f t="shared" si="0"/>
        <v>Rohit SEN</v>
      </c>
      <c r="I7" s="48">
        <f t="shared" si="1"/>
        <v>9</v>
      </c>
      <c r="J7" s="50">
        <f t="shared" si="2"/>
        <v>9</v>
      </c>
    </row>
  </sheetData>
  <hyperlinks>
    <hyperlink ref="C2" r:id="rId1" display="mailto:souptik.bej@company.com" xr:uid="{D4462F36-E228-4C5B-ABAF-650CF07C107D}"/>
    <hyperlink ref="C3" r:id="rId2" display="mailto:rahul.sharma@company.com" xr:uid="{958A400B-E104-4420-96A5-DE1F69E0EB21}"/>
    <hyperlink ref="C4" r:id="rId3" display="mailto:priya.das@company.com" xr:uid="{6CE9FA42-9BCD-453C-9820-500FCEE0716D}"/>
    <hyperlink ref="C5" r:id="rId4" display="mailto:ankit.roy@company.com" xr:uid="{3B47AFA1-7D63-403A-83B3-CDCC8F123277}"/>
    <hyperlink ref="C6" r:id="rId5" display="mailto:sneha.ghosh@company.com" xr:uid="{D5969BE4-7C7A-4F43-821A-057807283C47}"/>
    <hyperlink ref="C7" r:id="rId6" display="mailto:rohit.sen@company.com" xr:uid="{1C3BD2FA-9B6C-4598-B175-E852811A1B13}"/>
  </hyperlinks>
  <pageMargins left="0.25" right="0.25" top="0.75" bottom="0.75" header="0.3" footer="0.3"/>
  <pageSetup paperSize="9" orientation="landscape" r:id="rId7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99A8-AB67-4C58-B041-C354622035B8}">
  <dimension ref="A1:M7"/>
  <sheetViews>
    <sheetView topLeftCell="C1" zoomScaleNormal="100" workbookViewId="0">
      <selection activeCell="H1" sqref="H1:M7"/>
    </sheetView>
  </sheetViews>
  <sheetFormatPr defaultRowHeight="14.4"/>
  <cols>
    <col min="1" max="1" width="12.44140625" bestFit="1" customWidth="1"/>
    <col min="2" max="2" width="13.33203125" bestFit="1" customWidth="1"/>
    <col min="3" max="3" width="27.21875" bestFit="1" customWidth="1"/>
    <col min="4" max="4" width="13.33203125" bestFit="1" customWidth="1"/>
    <col min="5" max="5" width="10.21875" bestFit="1" customWidth="1"/>
    <col min="6" max="6" width="15.44140625" bestFit="1" customWidth="1"/>
    <col min="7" max="7" width="18.33203125" bestFit="1" customWidth="1"/>
    <col min="8" max="8" width="14.21875" bestFit="1" customWidth="1"/>
    <col min="9" max="9" width="12.77734375" bestFit="1" customWidth="1"/>
    <col min="10" max="10" width="13.21875" bestFit="1" customWidth="1"/>
    <col min="11" max="11" width="31.109375" customWidth="1"/>
    <col min="12" max="12" width="31.88671875" customWidth="1"/>
    <col min="13" max="13" width="32.33203125" customWidth="1"/>
  </cols>
  <sheetData>
    <row r="1" spans="1:13" ht="43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31" t="s">
        <v>73</v>
      </c>
      <c r="I1" s="51" t="s">
        <v>75</v>
      </c>
      <c r="J1" s="51" t="s">
        <v>74</v>
      </c>
      <c r="K1" s="32" t="s">
        <v>76</v>
      </c>
      <c r="L1" s="32" t="s">
        <v>77</v>
      </c>
      <c r="M1" s="33" t="s">
        <v>78</v>
      </c>
    </row>
    <row r="2" spans="1:13">
      <c r="A2" s="12" t="s">
        <v>7</v>
      </c>
      <c r="B2" s="7" t="s">
        <v>8</v>
      </c>
      <c r="C2" s="40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45" t="str">
        <f>UPPER(B2)</f>
        <v>SOUPTIK BEJ</v>
      </c>
      <c r="I2" s="41" t="str">
        <f>LOWER(B2)</f>
        <v>souptik bej</v>
      </c>
      <c r="J2" s="41" t="str">
        <f>PROPER(B2)</f>
        <v>Souptik Bej</v>
      </c>
      <c r="K2" s="41" t="str">
        <f>UPPER(D2)</f>
        <v>DATA ANALYTICS</v>
      </c>
      <c r="L2" s="41" t="str">
        <f>LOWER(MID(C2,1,FIND("@",C2)-1))&amp;MID(C2,SEARCH("@",C2),LEN(C2))</f>
        <v>souptik.bej@company.com</v>
      </c>
      <c r="M2" s="46" t="str">
        <f>TRIM(PROPER(B2))</f>
        <v>Souptik Bej</v>
      </c>
    </row>
    <row r="3" spans="1:13">
      <c r="A3" s="12" t="s">
        <v>14</v>
      </c>
      <c r="B3" s="7" t="s">
        <v>15</v>
      </c>
      <c r="C3" s="40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45" t="str">
        <f t="shared" ref="H3:H7" si="0">UPPER(B3)</f>
        <v>RAHUL SHARMA</v>
      </c>
      <c r="I3" s="41" t="str">
        <f t="shared" ref="I3:I7" si="1">LOWER(B3)</f>
        <v>rahul sharma</v>
      </c>
      <c r="J3" s="41" t="str">
        <f t="shared" ref="J3:J7" si="2">PROPER(B3)</f>
        <v>Rahul Sharma</v>
      </c>
      <c r="K3" s="41" t="str">
        <f t="shared" ref="K3:K7" si="3">UPPER(D3)</f>
        <v>SALES</v>
      </c>
      <c r="L3" s="41" t="str">
        <f t="shared" ref="L3:L7" si="4">LOWER(MID(C3,1,FIND("@",C3)-1))&amp;MID(C3,SEARCH("@",C3),LEN(C3))</f>
        <v>rahul.sharma@company.com</v>
      </c>
      <c r="M3" s="46" t="str">
        <f t="shared" ref="M3:M7" si="5">TRIM(PROPER(B3))</f>
        <v>Rahul Sharma</v>
      </c>
    </row>
    <row r="4" spans="1:13">
      <c r="A4" s="12" t="s">
        <v>21</v>
      </c>
      <c r="B4" s="7" t="s">
        <v>22</v>
      </c>
      <c r="C4" s="40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45" t="str">
        <f t="shared" si="0"/>
        <v>PRIYA DAS</v>
      </c>
      <c r="I4" s="41" t="str">
        <f t="shared" si="1"/>
        <v>priya das</v>
      </c>
      <c r="J4" s="41" t="str">
        <f t="shared" si="2"/>
        <v>Priya Das</v>
      </c>
      <c r="K4" s="41" t="str">
        <f t="shared" si="3"/>
        <v>HR</v>
      </c>
      <c r="L4" s="41" t="str">
        <f t="shared" si="4"/>
        <v>priya.das@company.com</v>
      </c>
      <c r="M4" s="46" t="str">
        <f t="shared" si="5"/>
        <v>Priya Das</v>
      </c>
    </row>
    <row r="5" spans="1:13">
      <c r="A5" s="12" t="s">
        <v>28</v>
      </c>
      <c r="B5" s="7" t="s">
        <v>29</v>
      </c>
      <c r="C5" s="40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45" t="str">
        <f t="shared" si="0"/>
        <v>ANKIT ROY</v>
      </c>
      <c r="I5" s="41" t="str">
        <f t="shared" si="1"/>
        <v>ankit roy</v>
      </c>
      <c r="J5" s="41" t="str">
        <f t="shared" si="2"/>
        <v>Ankit Roy</v>
      </c>
      <c r="K5" s="41" t="str">
        <f t="shared" si="3"/>
        <v>FINANCE</v>
      </c>
      <c r="L5" s="41" t="str">
        <f t="shared" si="4"/>
        <v>ankit.roy@company.com</v>
      </c>
      <c r="M5" s="46" t="str">
        <f t="shared" si="5"/>
        <v>Ankit Roy</v>
      </c>
    </row>
    <row r="6" spans="1:13">
      <c r="A6" s="12" t="s">
        <v>35</v>
      </c>
      <c r="B6" s="7" t="s">
        <v>36</v>
      </c>
      <c r="C6" s="40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45" t="str">
        <f t="shared" si="0"/>
        <v>SNEHA GHOSH</v>
      </c>
      <c r="I6" s="41" t="str">
        <f t="shared" si="1"/>
        <v>sneha ghosh</v>
      </c>
      <c r="J6" s="41" t="str">
        <f t="shared" si="2"/>
        <v>Sneha Ghosh</v>
      </c>
      <c r="K6" s="41" t="str">
        <f t="shared" si="3"/>
        <v>MARKETING</v>
      </c>
      <c r="L6" s="41" t="str">
        <f t="shared" si="4"/>
        <v>sneha.ghosh@company.com</v>
      </c>
      <c r="M6" s="46" t="str">
        <f t="shared" si="5"/>
        <v>Sneha Ghosh</v>
      </c>
    </row>
    <row r="7" spans="1:13" ht="15" thickBot="1">
      <c r="A7" s="14" t="s">
        <v>42</v>
      </c>
      <c r="B7" s="15" t="s">
        <v>43</v>
      </c>
      <c r="C7" s="43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7" t="str">
        <f t="shared" si="0"/>
        <v>ROHIT SEN</v>
      </c>
      <c r="I7" s="48" t="str">
        <f t="shared" si="1"/>
        <v>rohit sen</v>
      </c>
      <c r="J7" s="48" t="str">
        <f t="shared" si="2"/>
        <v>Rohit Sen</v>
      </c>
      <c r="K7" s="48" t="str">
        <f t="shared" si="3"/>
        <v>IT SUPPORT</v>
      </c>
      <c r="L7" s="48" t="str">
        <f t="shared" si="4"/>
        <v>rohit.sen@company.com</v>
      </c>
      <c r="M7" s="50" t="str">
        <f t="shared" si="5"/>
        <v>Rohit Sen</v>
      </c>
    </row>
  </sheetData>
  <hyperlinks>
    <hyperlink ref="C2" r:id="rId1" display="mailto:souptik.bej@company.com" xr:uid="{E26DD046-49BB-4876-9092-9D2BAA2C2C70}"/>
    <hyperlink ref="C3" r:id="rId2" display="mailto:rahul.sharma@company.com" xr:uid="{43922B4B-25BB-4FE5-BE39-7D4AAC9BB3D0}"/>
    <hyperlink ref="C4" r:id="rId3" display="mailto:priya.das@company.com" xr:uid="{4A740A9F-87DC-42DA-98A8-F6873A90B632}"/>
    <hyperlink ref="C5" r:id="rId4" display="mailto:ankit.roy@company.com" xr:uid="{BBB2DA35-7250-4C4D-8A21-E2A5E8FE797F}"/>
    <hyperlink ref="C6" r:id="rId5" display="mailto:sneha.ghosh@company.com" xr:uid="{8891FC3A-D67C-47F5-AEE3-EAB302DCF8A3}"/>
    <hyperlink ref="C7" r:id="rId6" display="mailto:rohit.sen@company.com" xr:uid="{B27B9D14-8FAA-40EF-8712-587425547498}"/>
  </hyperlinks>
  <pageMargins left="0.25" right="0.25" top="0.75" bottom="0.75" header="0.3" footer="0.3"/>
  <pageSetup paperSize="9" orientation="landscape" r:id="rId7"/>
  <tableParts count="1"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A668-17E8-4CCF-86C6-6AB9C09EAF68}">
  <dimension ref="A1:O9"/>
  <sheetViews>
    <sheetView topLeftCell="G1" zoomScale="130" zoomScaleNormal="130" workbookViewId="0">
      <selection activeCell="H10" sqref="H10"/>
    </sheetView>
  </sheetViews>
  <sheetFormatPr defaultRowHeight="14.4"/>
  <cols>
    <col min="1" max="1" width="11.77734375" bestFit="1" customWidth="1"/>
    <col min="2" max="2" width="13.33203125" bestFit="1" customWidth="1"/>
    <col min="3" max="3" width="25.21875" bestFit="1" customWidth="1"/>
    <col min="4" max="4" width="12.44140625" bestFit="1" customWidth="1"/>
    <col min="5" max="5" width="9.77734375" bestFit="1" customWidth="1"/>
    <col min="6" max="6" width="14.44140625" bestFit="1" customWidth="1"/>
    <col min="7" max="7" width="17.33203125" bestFit="1" customWidth="1"/>
    <col min="8" max="8" width="16.88671875" customWidth="1"/>
    <col min="9" max="9" width="18.109375" customWidth="1"/>
    <col min="10" max="10" width="16.77734375" customWidth="1"/>
    <col min="11" max="11" width="16.44140625" customWidth="1"/>
    <col min="12" max="12" width="15.109375" customWidth="1"/>
    <col min="13" max="13" width="18.109375" customWidth="1"/>
    <col min="14" max="14" width="18.5546875" customWidth="1"/>
    <col min="15" max="15" width="20.33203125" customWidth="1"/>
  </cols>
  <sheetData>
    <row r="1" spans="1:15" s="3" customFormat="1" ht="57.6">
      <c r="A1" s="37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38" t="s">
        <v>79</v>
      </c>
      <c r="I1" s="32" t="s">
        <v>81</v>
      </c>
      <c r="J1" s="32" t="s">
        <v>80</v>
      </c>
      <c r="K1" s="32" t="s">
        <v>82</v>
      </c>
      <c r="L1" s="32" t="s">
        <v>83</v>
      </c>
      <c r="M1" s="32" t="s">
        <v>84</v>
      </c>
      <c r="N1" s="32" t="s">
        <v>85</v>
      </c>
      <c r="O1" s="33" t="s">
        <v>86</v>
      </c>
    </row>
    <row r="2" spans="1:15">
      <c r="A2" s="12" t="s">
        <v>7</v>
      </c>
      <c r="B2" s="7" t="s">
        <v>8</v>
      </c>
      <c r="C2" s="40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45">
        <f>FIND("@",C2)</f>
        <v>12</v>
      </c>
      <c r="I2" s="41">
        <f>FIND("-",F2)</f>
        <v>3</v>
      </c>
      <c r="J2" s="41">
        <f>FIND("Data",D2)</f>
        <v>1</v>
      </c>
      <c r="K2" s="41">
        <f>SEARCH("Performer",G2)</f>
        <v>11</v>
      </c>
      <c r="L2" s="41" t="e">
        <f>SEARCH("Support",D2)</f>
        <v>#VALUE!</v>
      </c>
      <c r="M2" s="41" t="e">
        <f>SEARCH("a",B2)</f>
        <v>#VALUE!</v>
      </c>
      <c r="N2" s="41">
        <f>SEARCH("data",D2)</f>
        <v>1</v>
      </c>
      <c r="O2" s="46" t="e">
        <f>FIND("data",D2)</f>
        <v>#VALUE!</v>
      </c>
    </row>
    <row r="3" spans="1:15">
      <c r="A3" s="12" t="s">
        <v>14</v>
      </c>
      <c r="B3" s="7" t="s">
        <v>15</v>
      </c>
      <c r="C3" s="40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45">
        <f t="shared" ref="H3:H7" si="0">FIND("@",C3)</f>
        <v>13</v>
      </c>
      <c r="I3" s="41">
        <f t="shared" ref="I3:I7" si="1">FIND("-",F3)</f>
        <v>3</v>
      </c>
      <c r="J3" s="41" t="e">
        <f t="shared" ref="J3:J7" si="2">FIND("Data",D3)</f>
        <v>#VALUE!</v>
      </c>
      <c r="K3" s="41" t="e">
        <f t="shared" ref="K3:K7" si="3">SEARCH("Performer",G3)</f>
        <v>#VALUE!</v>
      </c>
      <c r="L3" s="41" t="e">
        <f t="shared" ref="L3:L7" si="4">SEARCH("Support",D3)</f>
        <v>#VALUE!</v>
      </c>
      <c r="M3" s="41">
        <f t="shared" ref="M3:M7" si="5">SEARCH("a",B3)</f>
        <v>2</v>
      </c>
      <c r="N3" s="41"/>
      <c r="O3" s="46"/>
    </row>
    <row r="4" spans="1:15">
      <c r="A4" s="12" t="s">
        <v>21</v>
      </c>
      <c r="B4" s="7" t="s">
        <v>22</v>
      </c>
      <c r="C4" s="40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45">
        <f t="shared" si="0"/>
        <v>10</v>
      </c>
      <c r="I4" s="41">
        <f t="shared" si="1"/>
        <v>3</v>
      </c>
      <c r="J4" s="41" t="e">
        <f t="shared" si="2"/>
        <v>#VALUE!</v>
      </c>
      <c r="K4" s="41" t="e">
        <f t="shared" si="3"/>
        <v>#VALUE!</v>
      </c>
      <c r="L4" s="41" t="e">
        <f t="shared" si="4"/>
        <v>#VALUE!</v>
      </c>
      <c r="M4" s="41">
        <f t="shared" si="5"/>
        <v>5</v>
      </c>
      <c r="N4" s="41"/>
      <c r="O4" s="46"/>
    </row>
    <row r="5" spans="1:15">
      <c r="A5" s="12" t="s">
        <v>28</v>
      </c>
      <c r="B5" s="7" t="s">
        <v>29</v>
      </c>
      <c r="C5" s="40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45">
        <f t="shared" si="0"/>
        <v>10</v>
      </c>
      <c r="I5" s="41">
        <f t="shared" si="1"/>
        <v>3</v>
      </c>
      <c r="J5" s="41" t="e">
        <f t="shared" si="2"/>
        <v>#VALUE!</v>
      </c>
      <c r="K5" s="41" t="e">
        <f t="shared" si="3"/>
        <v>#VALUE!</v>
      </c>
      <c r="L5" s="41" t="e">
        <f t="shared" si="4"/>
        <v>#VALUE!</v>
      </c>
      <c r="M5" s="41">
        <f t="shared" si="5"/>
        <v>1</v>
      </c>
      <c r="N5" s="41"/>
      <c r="O5" s="46"/>
    </row>
    <row r="6" spans="1:15">
      <c r="A6" s="12" t="s">
        <v>35</v>
      </c>
      <c r="B6" s="7" t="s">
        <v>36</v>
      </c>
      <c r="C6" s="40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45">
        <f t="shared" si="0"/>
        <v>12</v>
      </c>
      <c r="I6" s="41">
        <f t="shared" si="1"/>
        <v>3</v>
      </c>
      <c r="J6" s="41" t="e">
        <f t="shared" si="2"/>
        <v>#VALUE!</v>
      </c>
      <c r="K6" s="41">
        <f t="shared" si="3"/>
        <v>5</v>
      </c>
      <c r="L6" s="41" t="e">
        <f t="shared" si="4"/>
        <v>#VALUE!</v>
      </c>
      <c r="M6" s="41">
        <f t="shared" si="5"/>
        <v>5</v>
      </c>
      <c r="N6" s="41"/>
      <c r="O6" s="46"/>
    </row>
    <row r="7" spans="1:15" ht="15" thickBot="1">
      <c r="A7" s="14" t="s">
        <v>42</v>
      </c>
      <c r="B7" s="15" t="s">
        <v>43</v>
      </c>
      <c r="C7" s="43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7">
        <f t="shared" si="0"/>
        <v>10</v>
      </c>
      <c r="I7" s="48">
        <f t="shared" si="1"/>
        <v>3</v>
      </c>
      <c r="J7" s="48" t="e">
        <f t="shared" si="2"/>
        <v>#VALUE!</v>
      </c>
      <c r="K7" s="48" t="e">
        <f t="shared" si="3"/>
        <v>#VALUE!</v>
      </c>
      <c r="L7" s="48">
        <f t="shared" si="4"/>
        <v>4</v>
      </c>
      <c r="M7" s="48" t="e">
        <f t="shared" si="5"/>
        <v>#VALUE!</v>
      </c>
      <c r="N7" s="48"/>
      <c r="O7" s="50"/>
    </row>
    <row r="8" spans="1:15">
      <c r="N8" s="5" t="s">
        <v>88</v>
      </c>
      <c r="O8" s="5"/>
    </row>
    <row r="9" spans="1:15">
      <c r="J9" s="4" t="s">
        <v>87</v>
      </c>
      <c r="K9" s="4"/>
      <c r="L9" s="4"/>
      <c r="M9" s="4"/>
      <c r="N9" s="5"/>
      <c r="O9" s="5"/>
    </row>
  </sheetData>
  <mergeCells count="2">
    <mergeCell ref="J9:M9"/>
    <mergeCell ref="N8:O9"/>
  </mergeCells>
  <hyperlinks>
    <hyperlink ref="C2" r:id="rId1" display="mailto:souptik.bej@company.com" xr:uid="{D8D6A429-CE82-488C-9C19-D461B8D19727}"/>
    <hyperlink ref="C3" r:id="rId2" display="mailto:rahul.sharma@company.com" xr:uid="{7DE89DB2-D74A-40E6-80DE-16DBD7FAA8EE}"/>
    <hyperlink ref="C4" r:id="rId3" display="mailto:priya.das@company.com" xr:uid="{D384CA21-8422-4FA8-839F-D08E4AADB899}"/>
    <hyperlink ref="C5" r:id="rId4" display="mailto:ankit.roy@company.com" xr:uid="{3004FB50-D11A-4C5D-9347-CEDCA927E315}"/>
    <hyperlink ref="C6" r:id="rId5" display="mailto:sneha.ghosh@company.com" xr:uid="{5B7EE30F-8A40-472F-BF4A-E02CB5B669CE}"/>
    <hyperlink ref="C7" r:id="rId6" display="mailto:rohit.sen@company.com" xr:uid="{6024F807-0A9D-4E91-84C2-8C53038B9C7E}"/>
  </hyperlinks>
  <pageMargins left="0.25" right="0.25" top="0.75" bottom="0.75" header="0.3" footer="0.3"/>
  <pageSetup paperSize="9" orientation="landscape" r:id="rId7"/>
  <tableParts count="1"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7D81-32EF-4705-96B0-F3A5548FA21D}">
  <dimension ref="A1:M7"/>
  <sheetViews>
    <sheetView topLeftCell="D1" zoomScaleNormal="100" workbookViewId="0">
      <selection activeCell="H1" sqref="H1:M7"/>
    </sheetView>
  </sheetViews>
  <sheetFormatPr defaultRowHeight="14.4"/>
  <cols>
    <col min="1" max="1" width="12.44140625" bestFit="1" customWidth="1"/>
    <col min="2" max="2" width="13.33203125" bestFit="1" customWidth="1"/>
    <col min="3" max="3" width="27.21875" bestFit="1" customWidth="1"/>
    <col min="4" max="4" width="13.33203125" bestFit="1" customWidth="1"/>
    <col min="5" max="5" width="10.21875" bestFit="1" customWidth="1"/>
    <col min="6" max="6" width="15.44140625" bestFit="1" customWidth="1"/>
    <col min="7" max="7" width="18.33203125" bestFit="1" customWidth="1"/>
    <col min="8" max="8" width="25.109375" bestFit="1" customWidth="1"/>
    <col min="9" max="9" width="23.44140625" customWidth="1"/>
    <col min="10" max="10" width="24.44140625" customWidth="1"/>
    <col min="11" max="11" width="18.6640625" customWidth="1"/>
    <col min="12" max="12" width="24.109375" customWidth="1"/>
    <col min="13" max="13" width="26.5546875" customWidth="1"/>
  </cols>
  <sheetData>
    <row r="1" spans="1:13" s="1" customFormat="1" ht="28.8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8" t="s">
        <v>89</v>
      </c>
      <c r="I1" s="32" t="s">
        <v>90</v>
      </c>
      <c r="J1" s="32" t="s">
        <v>91</v>
      </c>
      <c r="K1" s="32" t="s">
        <v>92</v>
      </c>
      <c r="L1" s="32" t="s">
        <v>93</v>
      </c>
      <c r="M1" s="33" t="s">
        <v>94</v>
      </c>
    </row>
    <row r="2" spans="1:13">
      <c r="A2" s="6" t="s">
        <v>7</v>
      </c>
      <c r="B2" s="7" t="s">
        <v>8</v>
      </c>
      <c r="C2" s="40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45" t="str">
        <f>SUBSTITUTE(C2,".com",".in")</f>
        <v>souptik.bej@company.in</v>
      </c>
      <c r="I2" s="41" t="str">
        <f>SUBSTITUTE(B2," ","_")</f>
        <v>souptik_bej</v>
      </c>
      <c r="J2" s="41" t="str">
        <f>SUBSTITUTE(G2,"Performer","Employee")</f>
        <v>Excellent Employee</v>
      </c>
      <c r="K2" s="41" t="str">
        <f>SUBSTITUTE(F2,"-","/")</f>
        <v>DA/2026/001</v>
      </c>
      <c r="L2" s="41" t="str">
        <f>SUBSTITUTE(D2,"Data","Business")</f>
        <v>Business Analytics</v>
      </c>
      <c r="M2" s="46" t="str">
        <f>SUBSTITUTE(G2,"Work From Home","Remote")</f>
        <v>Excellent Performer</v>
      </c>
    </row>
    <row r="3" spans="1:13">
      <c r="A3" s="6" t="s">
        <v>14</v>
      </c>
      <c r="B3" s="7" t="s">
        <v>15</v>
      </c>
      <c r="C3" s="40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45" t="str">
        <f t="shared" ref="H3:H7" si="0">SUBSTITUTE(C3,".com",".in")</f>
        <v>rahul.sharma@company.in</v>
      </c>
      <c r="I3" s="41" t="str">
        <f t="shared" ref="I3:I7" si="1">SUBSTITUTE(B3," ","_")</f>
        <v>rahul_SHARMA</v>
      </c>
      <c r="J3" s="41" t="str">
        <f t="shared" ref="J3:J7" si="2">SUBSTITUTE(G3,"Performer","Employee")</f>
        <v>Needs Improvement</v>
      </c>
      <c r="K3" s="41" t="str">
        <f t="shared" ref="K3:K7" si="3">SUBSTITUTE(F3,"-","/")</f>
        <v>SA/2025/015</v>
      </c>
      <c r="L3" s="41" t="str">
        <f t="shared" ref="L3:L7" si="4">SUBSTITUTE(D3,"Data","Business")</f>
        <v>Sales</v>
      </c>
      <c r="M3" s="46" t="str">
        <f t="shared" ref="M3:M7" si="5">SUBSTITUTE(G3,"Work From Home","Remote")</f>
        <v>Needs Improvement</v>
      </c>
    </row>
    <row r="4" spans="1:13">
      <c r="A4" s="6" t="s">
        <v>21</v>
      </c>
      <c r="B4" s="7" t="s">
        <v>22</v>
      </c>
      <c r="C4" s="40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45" t="str">
        <f t="shared" si="0"/>
        <v>priya.das@company.in</v>
      </c>
      <c r="I4" s="41" t="str">
        <f t="shared" si="1"/>
        <v>PRIYA_das</v>
      </c>
      <c r="J4" s="41" t="str">
        <f t="shared" si="2"/>
        <v>Promoted Recently</v>
      </c>
      <c r="K4" s="41" t="str">
        <f t="shared" si="3"/>
        <v>HR/2024/110</v>
      </c>
      <c r="L4" s="41" t="str">
        <f t="shared" si="4"/>
        <v>HR</v>
      </c>
      <c r="M4" s="46" t="str">
        <f t="shared" si="5"/>
        <v>Promoted Recently</v>
      </c>
    </row>
    <row r="5" spans="1:13">
      <c r="A5" s="6" t="s">
        <v>28</v>
      </c>
      <c r="B5" s="7" t="s">
        <v>29</v>
      </c>
      <c r="C5" s="40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45" t="str">
        <f t="shared" si="0"/>
        <v>ankit.roy@company.in</v>
      </c>
      <c r="I5" s="41" t="str">
        <f t="shared" si="1"/>
        <v>ankit_roy</v>
      </c>
      <c r="J5" s="41" t="str">
        <f t="shared" si="2"/>
        <v>On Probation</v>
      </c>
      <c r="K5" s="41" t="str">
        <f t="shared" si="3"/>
        <v>FI/2026/021</v>
      </c>
      <c r="L5" s="41" t="str">
        <f t="shared" si="4"/>
        <v>Finance</v>
      </c>
      <c r="M5" s="46" t="str">
        <f t="shared" si="5"/>
        <v>On Probation</v>
      </c>
    </row>
    <row r="6" spans="1:13">
      <c r="A6" s="6" t="s">
        <v>35</v>
      </c>
      <c r="B6" s="7" t="s">
        <v>36</v>
      </c>
      <c r="C6" s="40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45" t="str">
        <f t="shared" si="0"/>
        <v>sneha.ghosh@company.in</v>
      </c>
      <c r="I6" s="41" t="str">
        <f t="shared" si="1"/>
        <v>Sneha_Ghosh</v>
      </c>
      <c r="J6" s="41" t="str">
        <f t="shared" si="2"/>
        <v>Top Employee</v>
      </c>
      <c r="K6" s="41" t="str">
        <f t="shared" si="3"/>
        <v>MA/2023/205</v>
      </c>
      <c r="L6" s="41" t="str">
        <f t="shared" si="4"/>
        <v>Marketing</v>
      </c>
      <c r="M6" s="46" t="str">
        <f t="shared" si="5"/>
        <v>Top Performer</v>
      </c>
    </row>
    <row r="7" spans="1:13">
      <c r="A7" s="6" t="s">
        <v>42</v>
      </c>
      <c r="B7" s="7" t="s">
        <v>43</v>
      </c>
      <c r="C7" s="40" t="s">
        <v>44</v>
      </c>
      <c r="D7" s="6" t="s">
        <v>45</v>
      </c>
      <c r="E7" s="6" t="s">
        <v>46</v>
      </c>
      <c r="F7" s="6" t="s">
        <v>47</v>
      </c>
      <c r="G7" s="6" t="s">
        <v>48</v>
      </c>
      <c r="H7" s="47" t="str">
        <f t="shared" si="0"/>
        <v>rohit.sen@company.in</v>
      </c>
      <c r="I7" s="48" t="str">
        <f t="shared" si="1"/>
        <v>Rohit_SEN</v>
      </c>
      <c r="J7" s="48" t="str">
        <f t="shared" si="2"/>
        <v>Work From Home</v>
      </c>
      <c r="K7" s="48" t="str">
        <f t="shared" si="3"/>
        <v>IT/2025/078</v>
      </c>
      <c r="L7" s="48" t="str">
        <f t="shared" si="4"/>
        <v>IT Support</v>
      </c>
      <c r="M7" s="50" t="str">
        <f t="shared" si="5"/>
        <v>Remote</v>
      </c>
    </row>
  </sheetData>
  <hyperlinks>
    <hyperlink ref="C2" r:id="rId1" display="mailto:souptik.bej@company.com" xr:uid="{4527DEDE-80DB-4C14-B01E-52F3300DAF2D}"/>
    <hyperlink ref="C3" r:id="rId2" display="mailto:rahul.sharma@company.com" xr:uid="{B2D37297-C7A1-4222-80EE-386AEB021DFC}"/>
    <hyperlink ref="C4" r:id="rId3" display="mailto:priya.das@company.com" xr:uid="{9A1BAD12-873F-4790-9E9A-F8FF8EC4BFC4}"/>
    <hyperlink ref="C5" r:id="rId4" display="mailto:ankit.roy@company.com" xr:uid="{D53C817C-A2CA-4DC7-801E-F9F4A34F5E0E}"/>
    <hyperlink ref="C6" r:id="rId5" display="mailto:sneha.ghosh@company.com" xr:uid="{C2DED23F-44D7-42DD-A710-1A78DAC91F9C}"/>
    <hyperlink ref="C7" r:id="rId6" display="mailto:rohit.sen@company.com" xr:uid="{A53F648A-5E32-44C3-A379-0BCCDDAA831B}"/>
  </hyperlinks>
  <pageMargins left="0.25" right="0.25" top="0.75" bottom="0.75" header="0.3" footer="0.3"/>
  <pageSetup paperSize="9" orientation="landscape" r:id="rId7"/>
  <tableParts count="1"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0A39-895F-42C2-A5B7-1633BF2DB534}">
  <sheetPr>
    <pageSetUpPr fitToPage="1"/>
  </sheetPr>
  <dimension ref="A1:M7"/>
  <sheetViews>
    <sheetView topLeftCell="B1" zoomScale="85" zoomScaleNormal="85" workbookViewId="0">
      <selection activeCell="M16" sqref="M16"/>
    </sheetView>
  </sheetViews>
  <sheetFormatPr defaultRowHeight="14.4"/>
  <cols>
    <col min="1" max="1" width="11.77734375" bestFit="1" customWidth="1"/>
    <col min="2" max="2" width="13.21875" bestFit="1" customWidth="1"/>
    <col min="3" max="3" width="25.21875" bestFit="1" customWidth="1"/>
    <col min="4" max="4" width="12.33203125" bestFit="1" customWidth="1"/>
    <col min="5" max="5" width="9.77734375" bestFit="1" customWidth="1"/>
    <col min="6" max="6" width="14.44140625" bestFit="1" customWidth="1"/>
    <col min="7" max="7" width="17.33203125" bestFit="1" customWidth="1"/>
    <col min="8" max="8" width="21.33203125" bestFit="1" customWidth="1"/>
    <col min="9" max="9" width="22.21875" customWidth="1"/>
    <col min="10" max="10" width="30" bestFit="1" customWidth="1"/>
    <col min="11" max="11" width="25" customWidth="1"/>
    <col min="12" max="12" width="31.109375" bestFit="1" customWidth="1"/>
    <col min="13" max="13" width="67.6640625" bestFit="1" customWidth="1"/>
  </cols>
  <sheetData>
    <row r="1" spans="1:13" s="53" customFormat="1" ht="28.8">
      <c r="A1" s="37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38" t="s">
        <v>95</v>
      </c>
      <c r="I1" s="32" t="s">
        <v>96</v>
      </c>
      <c r="J1" s="32" t="s">
        <v>97</v>
      </c>
      <c r="K1" s="32" t="s">
        <v>98</v>
      </c>
      <c r="L1" s="32" t="s">
        <v>99</v>
      </c>
      <c r="M1" s="33" t="s">
        <v>100</v>
      </c>
    </row>
    <row r="2" spans="1:13">
      <c r="A2" s="12" t="s">
        <v>7</v>
      </c>
      <c r="B2" s="7" t="s">
        <v>8</v>
      </c>
      <c r="C2" s="40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45" t="str">
        <f>_xlfn.CONCAT(A2," - ",B2)</f>
        <v>EMP001 - souptik bej</v>
      </c>
      <c r="I2" s="41" t="str">
        <f>_xlfn.CONCAT(B2," (",D2,")")</f>
        <v>souptik bej (Data Analytics)</v>
      </c>
      <c r="J2" s="41" t="str">
        <f>"Regards, "&amp;B2&amp;" "&amp;D2</f>
        <v>Regards, souptik bej Data Analytics</v>
      </c>
      <c r="K2" s="41" t="str">
        <f>_xlfn.TEXTJOIN(" - ",TRUE,E2,D2)</f>
        <v>Kolkata - Data Analytics</v>
      </c>
      <c r="L2" s="41" t="str">
        <f>_xlfn.TEXTJOIN(" | ",TRUE,A2,B2,E2)</f>
        <v>EMP001 | souptik bej | Kolkata</v>
      </c>
      <c r="M2" s="46" t="str">
        <f>_xlfn.TEXTJOIN(" | ",TRUE,A2,TRIM(B2),D2,E2,C2)</f>
        <v>EMP001 | souptik bej | Data Analytics | Kolkata | souptik.bej@company.com</v>
      </c>
    </row>
    <row r="3" spans="1:13">
      <c r="A3" s="12" t="s">
        <v>14</v>
      </c>
      <c r="B3" s="7" t="s">
        <v>15</v>
      </c>
      <c r="C3" s="40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45" t="str">
        <f t="shared" ref="H3:H7" si="0">_xlfn.CONCAT(A3," - ",B3)</f>
        <v>EMP002 - rahul SHARMA</v>
      </c>
      <c r="I3" s="41" t="str">
        <f t="shared" ref="I3:I7" si="1">_xlfn.CONCAT(B3," (",D3,")")</f>
        <v>rahul SHARMA (Sales)</v>
      </c>
      <c r="J3" s="41" t="str">
        <f t="shared" ref="J3:J7" si="2">"Regards, "&amp;B3&amp;" "&amp;D3</f>
        <v>Regards, rahul SHARMA Sales</v>
      </c>
      <c r="K3" s="41" t="str">
        <f t="shared" ref="K3:K7" si="3">_xlfn.TEXTJOIN(" - ",TRUE,E3,D3)</f>
        <v>Mumbai - Sales</v>
      </c>
      <c r="L3" s="41" t="str">
        <f t="shared" ref="L3:L7" si="4">_xlfn.TEXTJOIN(" | ",TRUE,A3,B3,E3)</f>
        <v>EMP002 | rahul SHARMA | Mumbai</v>
      </c>
      <c r="M3" s="46" t="str">
        <f t="shared" ref="M3:M7" si="5">_xlfn.TEXTJOIN(" | ",TRUE,A3,TRIM(B3),D3,E3,C3)</f>
        <v>EMP002 | rahul SHARMA | Sales | Mumbai | rahul.sharma@company.com</v>
      </c>
    </row>
    <row r="4" spans="1:13">
      <c r="A4" s="12" t="s">
        <v>21</v>
      </c>
      <c r="B4" s="7" t="s">
        <v>22</v>
      </c>
      <c r="C4" s="40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45" t="str">
        <f t="shared" si="0"/>
        <v>EMP003 - PRIYA das</v>
      </c>
      <c r="I4" s="41" t="str">
        <f t="shared" si="1"/>
        <v>PRIYA das (HR)</v>
      </c>
      <c r="J4" s="41" t="str">
        <f t="shared" si="2"/>
        <v>Regards, PRIYA das HR</v>
      </c>
      <c r="K4" s="41" t="str">
        <f t="shared" si="3"/>
        <v>Delhi - HR</v>
      </c>
      <c r="L4" s="41" t="str">
        <f t="shared" si="4"/>
        <v>EMP003 | PRIYA das | Delhi</v>
      </c>
      <c r="M4" s="46" t="str">
        <f t="shared" si="5"/>
        <v>EMP003 | PRIYA das | HR | Delhi | priya.das@company.com</v>
      </c>
    </row>
    <row r="5" spans="1:13">
      <c r="A5" s="12" t="s">
        <v>28</v>
      </c>
      <c r="B5" s="7" t="s">
        <v>29</v>
      </c>
      <c r="C5" s="40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45" t="str">
        <f t="shared" si="0"/>
        <v>EMP004 - ankit roy</v>
      </c>
      <c r="I5" s="41" t="str">
        <f t="shared" si="1"/>
        <v>ankit roy (Finance)</v>
      </c>
      <c r="J5" s="41" t="str">
        <f t="shared" si="2"/>
        <v>Regards, ankit roy Finance</v>
      </c>
      <c r="K5" s="41" t="str">
        <f t="shared" si="3"/>
        <v>Pune - Finance</v>
      </c>
      <c r="L5" s="41" t="str">
        <f t="shared" si="4"/>
        <v>EMP004 | ankit roy | Pune</v>
      </c>
      <c r="M5" s="46" t="str">
        <f t="shared" si="5"/>
        <v>EMP004 | ankit roy | Finance | Pune | ankit.roy@company.com</v>
      </c>
    </row>
    <row r="6" spans="1:13">
      <c r="A6" s="12" t="s">
        <v>35</v>
      </c>
      <c r="B6" s="7" t="s">
        <v>36</v>
      </c>
      <c r="C6" s="40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45" t="str">
        <f t="shared" si="0"/>
        <v>EMP005 - Sneha Ghosh</v>
      </c>
      <c r="I6" s="41" t="str">
        <f t="shared" si="1"/>
        <v>Sneha Ghosh (Marketing)</v>
      </c>
      <c r="J6" s="41" t="str">
        <f t="shared" si="2"/>
        <v>Regards, Sneha Ghosh Marketing</v>
      </c>
      <c r="K6" s="41" t="str">
        <f t="shared" si="3"/>
        <v>Bangalore - Marketing</v>
      </c>
      <c r="L6" s="41" t="str">
        <f t="shared" si="4"/>
        <v>EMP005 | Sneha Ghosh | Bangalore</v>
      </c>
      <c r="M6" s="46" t="str">
        <f t="shared" si="5"/>
        <v>EMP005 | Sneha Ghosh | Marketing | Bangalore | sneha.ghosh@company.com</v>
      </c>
    </row>
    <row r="7" spans="1:13" ht="15" thickBot="1">
      <c r="A7" s="14" t="s">
        <v>42</v>
      </c>
      <c r="B7" s="15" t="s">
        <v>43</v>
      </c>
      <c r="C7" s="43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7" t="str">
        <f t="shared" si="0"/>
        <v>EMP006 - Rohit SEN</v>
      </c>
      <c r="I7" s="48" t="str">
        <f t="shared" si="1"/>
        <v>Rohit SEN (IT Support)</v>
      </c>
      <c r="J7" s="48" t="str">
        <f t="shared" si="2"/>
        <v>Regards, Rohit SEN IT Support</v>
      </c>
      <c r="K7" s="48" t="str">
        <f t="shared" si="3"/>
        <v>Hyderabad - IT Support</v>
      </c>
      <c r="L7" s="48" t="str">
        <f t="shared" si="4"/>
        <v>EMP006 | Rohit SEN | Hyderabad</v>
      </c>
      <c r="M7" s="50" t="str">
        <f t="shared" si="5"/>
        <v>EMP006 | Rohit SEN | IT Support | Hyderabad | rohit.sen@company.com</v>
      </c>
    </row>
  </sheetData>
  <hyperlinks>
    <hyperlink ref="C2" r:id="rId1" display="mailto:souptik.bej@company.com" xr:uid="{935EDEED-08C0-4434-8892-E8CFF41CE5D8}"/>
    <hyperlink ref="C3" r:id="rId2" display="mailto:rahul.sharma@company.com" xr:uid="{9868B8FB-965A-41CB-8498-3C0CD9B2B09F}"/>
    <hyperlink ref="C4" r:id="rId3" display="mailto:priya.das@company.com" xr:uid="{B97DD861-F2B0-46B4-8F04-4F0D3193EC4C}"/>
    <hyperlink ref="C5" r:id="rId4" display="mailto:ankit.roy@company.com" xr:uid="{4256E0B8-132B-44E9-98C9-5F5463A94B8F}"/>
    <hyperlink ref="C6" r:id="rId5" display="mailto:sneha.ghosh@company.com" xr:uid="{C5ACF99A-6CC2-4FCA-841D-D4958DF32DC5}"/>
    <hyperlink ref="C7" r:id="rId6" display="mailto:rohit.sen@company.com" xr:uid="{58221A37-B357-42B8-BD9C-4FD5F7605D69}"/>
  </hyperlinks>
  <pageMargins left="0.25" right="0.25" top="0.75" bottom="0.75" header="0.3" footer="0.3"/>
  <pageSetup paperSize="9" scale="72" orientation="landscape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raw-data</vt:lpstr>
      <vt:lpstr>LEFT</vt:lpstr>
      <vt:lpstr>RIGHT</vt:lpstr>
      <vt:lpstr>MID</vt:lpstr>
      <vt:lpstr>LEN</vt:lpstr>
      <vt:lpstr>TRIM</vt:lpstr>
      <vt:lpstr>UPPER-LOWER-PROPER</vt:lpstr>
      <vt:lpstr>SEARCH-FIND</vt:lpstr>
      <vt:lpstr>SUBSTITUTE</vt:lpstr>
      <vt:lpstr>CONCAT-TEXTJOIN-&amp;</vt:lpstr>
      <vt:lpstr>'CONCAT-TEXTJOIN-&amp;'!Print_Area</vt:lpstr>
      <vt:lpstr>LEFT!Print_Area</vt:lpstr>
      <vt:lpstr>LEN!Print_Area</vt:lpstr>
      <vt:lpstr>MID!Print_Area</vt:lpstr>
      <vt:lpstr>RIGHT!Print_Area</vt:lpstr>
      <vt:lpstr>'SEARCH-FIND'!Print_Area</vt:lpstr>
      <vt:lpstr>SUBSTITUTE!Print_Area</vt:lpstr>
      <vt:lpstr>TRIM!Print_Area</vt:lpstr>
      <vt:lpstr>'UPPER-LOWER-PROPER'!Print_Area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2026-07-19T11:54:33Z</cp:lastPrinted>
  <dcterms:created xsi:type="dcterms:W3CDTF">2026-07-17T09:21:34Z</dcterms:created>
  <dcterms:modified xsi:type="dcterms:W3CDTF">2026-07-19T11:55:51Z</dcterms:modified>
</cp:coreProperties>
</file>