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D2943338-B4AB-4E70-929C-679C5537A01A}" xr6:coauthVersionLast="47" xr6:coauthVersionMax="47" xr10:uidLastSave="{00000000-0000-0000-0000-000000000000}"/>
  <bookViews>
    <workbookView xWindow="-28920" yWindow="-90" windowWidth="29040" windowHeight="16440" xr2:uid="{2F779B48-00C6-4E70-858F-7D9281ED0123}"/>
  </bookViews>
  <sheets>
    <sheet name="RAW-DATA" sheetId="1" r:id="rId1"/>
    <sheet name="Pivot-Tables" sheetId="4" r:id="rId2"/>
    <sheet name="Dashboard" sheetId="5" r:id="rId3"/>
    <sheet name="Formulas" sheetId="6" r:id="rId4"/>
  </sheets>
  <definedNames>
    <definedName name="NativeTimeline_Date">#N/A</definedName>
    <definedName name="Slicer_Region">#N/A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 i="4" l="1"/>
  <c r="F5" i="4"/>
  <c r="F4" i="4"/>
  <c r="F3" i="4"/>
</calcChain>
</file>

<file path=xl/sharedStrings.xml><?xml version="1.0" encoding="utf-8"?>
<sst xmlns="http://schemas.openxmlformats.org/spreadsheetml/2006/main" count="201" uniqueCount="70">
  <si>
    <t>Order ID</t>
  </si>
  <si>
    <t>Date</t>
  </si>
  <si>
    <t>Region</t>
  </si>
  <si>
    <t>Salesperson</t>
  </si>
  <si>
    <t>Category</t>
  </si>
  <si>
    <t>Product</t>
  </si>
  <si>
    <t>Month</t>
  </si>
  <si>
    <t>Quarter</t>
  </si>
  <si>
    <t>Sales</t>
  </si>
  <si>
    <t>Cost</t>
  </si>
  <si>
    <t>East</t>
  </si>
  <si>
    <t>Rahul</t>
  </si>
  <si>
    <t>Electronics</t>
  </si>
  <si>
    <t>Laptop</t>
  </si>
  <si>
    <t>Jan</t>
  </si>
  <si>
    <t>Q1</t>
  </si>
  <si>
    <t>West</t>
  </si>
  <si>
    <t>Furniture</t>
  </si>
  <si>
    <t>Chair</t>
  </si>
  <si>
    <t>North</t>
  </si>
  <si>
    <t>Office Supplies</t>
  </si>
  <si>
    <t>Printer</t>
  </si>
  <si>
    <t>South</t>
  </si>
  <si>
    <t>Mobile</t>
  </si>
  <si>
    <t>Table</t>
  </si>
  <si>
    <t>Feb</t>
  </si>
  <si>
    <t>Mar</t>
  </si>
  <si>
    <t>Apr</t>
  </si>
  <si>
    <t>Q2</t>
  </si>
  <si>
    <t>May</t>
  </si>
  <si>
    <t>Grand Total</t>
  </si>
  <si>
    <t>Total Sales</t>
  </si>
  <si>
    <t>Quantity</t>
  </si>
  <si>
    <t>Amit</t>
  </si>
  <si>
    <t>Priya</t>
  </si>
  <si>
    <t>Neha</t>
  </si>
  <si>
    <t>Jun</t>
  </si>
  <si>
    <t>Jul</t>
  </si>
  <si>
    <t>Aug</t>
  </si>
  <si>
    <t>Sep</t>
  </si>
  <si>
    <t>Oct</t>
  </si>
  <si>
    <t>Nov</t>
  </si>
  <si>
    <t>Dec</t>
  </si>
  <si>
    <t>Total Profit</t>
  </si>
  <si>
    <t>Sals Person</t>
  </si>
  <si>
    <t>Profit % Margin</t>
  </si>
  <si>
    <t>Q3</t>
  </si>
  <si>
    <t>Q4</t>
  </si>
  <si>
    <t>Sales Person</t>
  </si>
  <si>
    <t>Profit Margin%</t>
  </si>
  <si>
    <t>Total Orders</t>
  </si>
  <si>
    <t>Calculated Field</t>
  </si>
  <si>
    <t>Solve Order</t>
  </si>
  <si>
    <t>Field</t>
  </si>
  <si>
    <t>Formula</t>
  </si>
  <si>
    <t>Profit</t>
  </si>
  <si>
    <t>=Sales-Cost</t>
  </si>
  <si>
    <t>Profit %</t>
  </si>
  <si>
    <t>=Profit/Sales</t>
  </si>
  <si>
    <t>Calculated Item</t>
  </si>
  <si>
    <t>Item</t>
  </si>
  <si>
    <t>=Jan+Feb+Mar</t>
  </si>
  <si>
    <t>=Apr+May+Jun</t>
  </si>
  <si>
    <t>=Jul+Aug+Sep</t>
  </si>
  <si>
    <t>=Oct+Nov+Dec</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</si>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</sst>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4" x14ac:knownFonts="1">
    <font>
      <sz val="11"/>
      <color theme="1"/>
      <name val="Calibri"/>
      <family val="2"/>
      <scheme val="minor"/>
    </font>
    <font>
      <b/>
      <sz val="11"/>
      <color theme="1"/>
      <name val="Calibri"/>
      <family val="2"/>
      <scheme val="minor"/>
    </font>
    <font>
      <sz val="11"/>
      <color theme="1"/>
      <name val="Calibri"/>
      <family val="2"/>
      <scheme val="minor"/>
    </font>
    <font>
      <b/>
      <i/>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8"/>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center"/>
    </xf>
    <xf numFmtId="0" fontId="0" fillId="0" borderId="1" xfId="0" applyBorder="1" applyAlignment="1">
      <alignment vertical="center"/>
    </xf>
    <xf numFmtId="15" fontId="0" fillId="0" borderId="1" xfId="0" applyNumberFormat="1" applyBorder="1" applyAlignment="1">
      <alignment vertical="center"/>
    </xf>
    <xf numFmtId="0" fontId="0" fillId="0" borderId="1" xfId="0" pivotButton="1" applyBorder="1"/>
    <xf numFmtId="0" fontId="0" fillId="0" borderId="1" xfId="0" applyBorder="1"/>
    <xf numFmtId="0" fontId="0" fillId="0" borderId="1" xfId="0" applyBorder="1" applyAlignment="1">
      <alignment horizontal="left"/>
    </xf>
    <xf numFmtId="9" fontId="0" fillId="0" borderId="1" xfId="0" applyNumberFormat="1" applyBorder="1"/>
    <xf numFmtId="9" fontId="0" fillId="0" borderId="0" xfId="1" applyFont="1"/>
    <xf numFmtId="9" fontId="0" fillId="0" borderId="1" xfId="1" applyFont="1" applyBorder="1" applyAlignment="1">
      <alignment vertical="center"/>
    </xf>
    <xf numFmtId="0" fontId="3" fillId="0" borderId="0" xfId="0" applyFont="1"/>
    <xf numFmtId="0" fontId="1" fillId="0" borderId="3" xfId="0" applyFont="1" applyBorder="1"/>
    <xf numFmtId="166" fontId="0" fillId="0" borderId="1" xfId="0" applyNumberFormat="1" applyBorder="1"/>
    <xf numFmtId="10" fontId="0" fillId="0" borderId="1" xfId="0" applyNumberFormat="1" applyBorder="1"/>
    <xf numFmtId="166" fontId="0" fillId="0" borderId="0" xfId="0" applyNumberFormat="1" applyFont="1" applyFill="1" applyBorder="1" applyAlignment="1" applyProtection="1"/>
    <xf numFmtId="166" fontId="0" fillId="0" borderId="2" xfId="0" applyNumberFormat="1" applyFont="1" applyFill="1" applyBorder="1" applyAlignment="1" applyProtection="1"/>
  </cellXfs>
  <cellStyles count="2">
    <cellStyle name="Normal" xfId="0" builtinId="0"/>
    <cellStyle name="Percent" xfId="1" builtinId="5"/>
  </cellStyles>
  <dxfs count="60">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4" formatCode="&quot;₹&quot;\ #,##0"/>
    </dxf>
    <dxf>
      <numFmt numFmtId="164" formatCode="&quot;₹&quot;\ #,##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99CC"/>
      <color rgb="FF9966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[Master_Dataset_pivot_practice.xlsx]Pivot-Tables!PivotTable2</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 with profit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'Pivot-Tables'!$B$8</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'Pivot-Tables'!$A$9:$A$12</c:f>
              <c:strCache>
                <c:ptCount val="3"/>
                <c:pt idx="0">
                  <c:v>Electronics</c:v>
                </c:pt>
                <c:pt idx="1">
                  <c:v>Furniture</c:v>
                </c:pt>
                <c:pt idx="2">
                  <c:v>Office Supplies</c:v>
                </c:pt>
              </c:strCache>
            </c:strRef>
          </c:cat>
          <c:val>
            <c:numRef>
              <c:f>'Pivot-Tables'!$B$9:$B$12</c:f>
              <c:numCache>
                <c:formatCode>"₹"\ #,##0.00</c:formatCode>
                <c:ptCount val="3"/>
                <c:pt idx="0">
                  <c:v>745000</c:v>
                </c:pt>
                <c:pt idx="1">
                  <c:v>260000</c:v>
                </c:pt>
                <c:pt idx="2">
                  <c:v>161000</c:v>
                </c:pt>
              </c:numCache>
            </c:numRef>
          </c:val>
          <c:extLst>
            <c:ext xmlns:c16="http://schemas.microsoft.com/office/drawing/2014/chart" uri="{C3380CC4-5D6E-409C-BE32-E72D297353CC}">
              <c16:uniqueId val="{00000000-F268-4B5D-A6D7-AD9AE13E9128}"/>
            </c:ext>
          </c:extLst>
        </c:ser>
        <c:ser>
          <c:idx val="1"/>
          <c:order val="1"/>
          <c:tx>
            <c:strRef>
              <c:f>'Pivot-Tables'!$C$8</c:f>
              <c:strCache>
                <c:ptCount val="1"/>
                <c:pt idx="0">
                  <c:v>Total Profit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'Pivot-Tables'!$A$9:$A$12</c:f>
              <c:strCache>
                <c:ptCount val="3"/>
                <c:pt idx="0">
                  <c:v>Electronics</c:v>
                </c:pt>
                <c:pt idx="1">
                  <c:v>Furniture</c:v>
                </c:pt>
                <c:pt idx="2">
                  <c:v>Office Supplies</c:v>
                </c:pt>
              </c:strCache>
            </c:strRef>
          </c:cat>
          <c:val>
            <c:numRef>
              <c:f>'Pivot-Tables'!$C$9:$C$12</c:f>
              <c:numCache>
                <c:formatCode>"₹"\ #,##0.00</c:formatCode>
                <c:ptCount val="3"/>
                <c:pt idx="0">
                  <c:v>163000</c:v>
                </c:pt>
                <c:pt idx="1">
                  <c:v>76000</c:v>
                </c:pt>
                <c:pt idx="2">
                  <c:v>37000</c:v>
                </c:pt>
              </c:numCache>
            </c:numRef>
          </c:val>
          <c:extLst>
            <c:ext xmlns:c16="http://schemas.microsoft.com/office/drawing/2014/chart" uri="{C3380CC4-5D6E-409C-BE32-E72D297353CC}">
              <c16:uniqueId val="{00000001-F268-4B5D-A6D7-AD9AE13E9128}"/>
            </c:ext>
          </c:extLst>
        </c:ser>
        <c:dLbls>
          <c:showLegendKey val="0"/>
          <c:showVal val="1"/>
          <c:showCatName val="0"/>
          <c:showSerName val="0"/>
          <c:showPercent val="0"/>
          <c:showBubbleSize val="0"/>
        </c:dLbls>
        <c:gapWidth val="150"/>
        <c:overlap val="-25"/>
        <c:axId val="2144579135"/>
        <c:axId val="2144579967"/>
      </c:barChart>
      <c:catAx>
        <c:axId val="214457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144579967"/>
        <c:crosses val="autoZero"/>
        <c:auto val="1"/>
        <c:lblAlgn val="ctr"/>
        <c:lblOffset val="100"/>
        <c:noMultiLvlLbl val="0"/>
      </c:catAx>
      <c:valAx>
        <c:axId val="2144579967"/>
        <c:scaling>
          <c:orientation val="minMax"/>
        </c:scaling>
        <c:delete val="1"/>
        <c:axPos val="l"/>
        <c:numFmt formatCode="&quot;₹&quot;\ #,##0.00" sourceLinked="1"/>
        <c:majorTickMark val="none"/>
        <c:minorTickMark val="none"/>
        <c:tickLblPos val="nextTo"/>
        <c:crossAx val="2144579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[Master_Dataset_pivot_practice.xlsx]Pivot-Tables!PivotTable3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Regional Profit</a:t>
            </a:r>
            <a:r>
              <a:rPr lang="en-US" sz="1600" b="1" baseline="0">
                <a:solidFill>
                  <a:sysClr val="windowText" lastClr="000000"/>
                </a:solidFill>
              </a:rPr>
              <a:t> Performance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'Pivot-Tables'!$A$15:$A$19</c:f>
              <c:strCache>
                <c:ptCount val="4"/>
                <c:pt idx="0">
                  <c:v>North</c:v>
                </c:pt>
                <c:pt idx="1">
                  <c:v>East</c:v>
                </c:pt>
                <c:pt idx="2">
                  <c:v>South</c:v>
                </c:pt>
                <c:pt idx="3">
                  <c:v>West</c:v>
                </c:pt>
              </c:strCache>
            </c:strRef>
          </c:cat>
          <c:val>
            <c:numRef>
              <c:f>'Pivot-Tables'!$B$15:$B$19</c:f>
              <c:numCache>
                <c:formatCode>"₹"\ #,##0.00</c:formatCode>
                <c:ptCount val="4"/>
                <c:pt idx="0">
                  <c:v>76000</c:v>
                </c:pt>
                <c:pt idx="1">
                  <c:v>74000</c:v>
                </c:pt>
                <c:pt idx="2">
                  <c:v>67000</c:v>
                </c:pt>
                <c:pt idx="3">
                  <c:v>59000</c:v>
                </c:pt>
              </c:numCache>
            </c:numRef>
          </c:val>
          <c:extLst>
            <c:ext xmlns:c16="http://schemas.microsoft.com/office/drawing/2014/chart" uri="{C3380CC4-5D6E-409C-BE32-E72D297353CC}">
              <c16:uniqueId val="{00000000-64E1-4132-916C-2BA890D61886}"/>
            </c:ext>
          </c:extLst>
        </c:ser>
        <c:dLbls>
          <c:showLegendKey val="0"/>
          <c:showVal val="1"/>
          <c:showCatName val="0"/>
          <c:showSerName val="0"/>
          <c:showPercent val="0"/>
          <c:showBubbleSize val="0"/>
        </c:dLbls>
        <c:gapWidth val="150"/>
        <c:overlap val="-25"/>
        <c:axId val="2088741247"/>
        <c:axId val="2088741663"/>
      </c:barChart>
      <c:catAx>
        <c:axId val="208874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88741663"/>
        <c:crosses val="autoZero"/>
        <c:auto val="1"/>
        <c:lblAlgn val="ctr"/>
        <c:lblOffset val="100"/>
        <c:noMultiLvlLbl val="0"/>
      </c:catAx>
      <c:valAx>
        <c:axId val="2088741663"/>
        <c:scaling>
          <c:orientation val="minMax"/>
        </c:scaling>
        <c:delete val="1"/>
        <c:axPos val="l"/>
        <c:numFmt formatCode="&quot;₹&quot;\ #,##0.00" sourceLinked="1"/>
        <c:majorTickMark val="none"/>
        <c:minorTickMark val="none"/>
        <c:tickLblPos val="nextTo"/>
        <c:crossAx val="208874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[Master_Dataset_pivot_practice.xlsx]Pivot-Tables!PivotTable1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Regional Sales Performance</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'Pivot-Tables'!$A$2:$A$6</c:f>
              <c:strCache>
                <c:ptCount val="4"/>
                <c:pt idx="0">
                  <c:v>East</c:v>
                </c:pt>
                <c:pt idx="1">
                  <c:v>North</c:v>
                </c:pt>
                <c:pt idx="2">
                  <c:v>South</c:v>
                </c:pt>
                <c:pt idx="3">
                  <c:v>West</c:v>
                </c:pt>
              </c:strCache>
            </c:strRef>
          </c:cat>
          <c:val>
            <c:numRef>
              <c:f>'Pivot-Tables'!$B$2:$B$6</c:f>
              <c:numCache>
                <c:formatCode>"₹"\ #,##0.00</c:formatCode>
                <c:ptCount val="4"/>
                <c:pt idx="0">
                  <c:v>331000</c:v>
                </c:pt>
                <c:pt idx="1">
                  <c:v>299000</c:v>
                </c:pt>
                <c:pt idx="2">
                  <c:v>278000</c:v>
                </c:pt>
                <c:pt idx="3">
                  <c:v>258000</c:v>
                </c:pt>
              </c:numCache>
            </c:numRef>
          </c:val>
          <c:extLst>
            <c:ext xmlns:c16="http://schemas.microsoft.com/office/drawing/2014/chart" uri="{C3380CC4-5D6E-409C-BE32-E72D297353CC}">
              <c16:uniqueId val="{00000000-A146-4200-9BFE-2937480C7741}"/>
            </c:ext>
          </c:extLst>
        </c:ser>
        <c:dLbls>
          <c:showLegendKey val="0"/>
          <c:showVal val="1"/>
          <c:showCatName val="0"/>
          <c:showSerName val="0"/>
          <c:showPercent val="0"/>
          <c:showBubbleSize val="0"/>
        </c:dLbls>
        <c:gapWidth val="150"/>
        <c:overlap val="-25"/>
        <c:axId val="2080509839"/>
        <c:axId val="2080510255"/>
      </c:barChart>
      <c:catAx>
        <c:axId val="208050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80510255"/>
        <c:crosses val="autoZero"/>
        <c:auto val="1"/>
        <c:lblAlgn val="ctr"/>
        <c:lblOffset val="100"/>
        <c:noMultiLvlLbl val="0"/>
      </c:catAx>
      <c:valAx>
        <c:axId val="2080510255"/>
        <c:scaling>
          <c:orientation val="minMax"/>
        </c:scaling>
        <c:delete val="1"/>
        <c:axPos val="l"/>
        <c:numFmt formatCode="&quot;₹&quot;\ #,##0.00" sourceLinked="1"/>
        <c:majorTickMark val="none"/>
        <c:minorTickMark val="none"/>
        <c:tickLblPos val="nextTo"/>
        <c:crossAx val="208050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[Master_Dataset_pivot_practice.xlsx]Pivot-Tables!PivotTable6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Quarter</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'Pivot-Tables'!$B$35</c:f>
              <c:strCache>
                <c:ptCount val="1"/>
                <c:pt idx="0">
                  <c:v>Total</c:v>
                </c:pt>
              </c:strCache>
            </c:strRef>
          </c:tx>
          <c:spPr>
            <a:solidFill>
              <a:srgbClr val="99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'Pivot-Tables'!$A$36:$A$40</c:f>
              <c:strCache>
                <c:ptCount val="4"/>
                <c:pt idx="0">
                  <c:v>Q3</c:v>
                </c:pt>
                <c:pt idx="1">
                  <c:v>Q4</c:v>
                </c:pt>
                <c:pt idx="2">
                  <c:v>Q1</c:v>
                </c:pt>
                <c:pt idx="3">
                  <c:v>Q2</c:v>
                </c:pt>
              </c:strCache>
            </c:strRef>
          </c:cat>
          <c:val>
            <c:numRef>
              <c:f>'Pivot-Tables'!$B$36:$B$40</c:f>
              <c:numCache>
                <c:formatCode>"₹"\ #,##0.00</c:formatCode>
                <c:ptCount val="4"/>
                <c:pt idx="0">
                  <c:v>308000</c:v>
                </c:pt>
                <c:pt idx="1">
                  <c:v>307000</c:v>
                </c:pt>
                <c:pt idx="2">
                  <c:v>298000</c:v>
                </c:pt>
                <c:pt idx="3">
                  <c:v>253000</c:v>
                </c:pt>
              </c:numCache>
            </c:numRef>
          </c:val>
          <c:extLst>
            <c:ext xmlns:c16="http://schemas.microsoft.com/office/drawing/2014/chart" uri="{C3380CC4-5D6E-409C-BE32-E72D297353CC}">
              <c16:uniqueId val="{00000000-65ED-4A6F-9D85-D52ACD985170}"/>
            </c:ext>
          </c:extLst>
        </c:ser>
        <c:dLbls>
          <c:showLegendKey val="0"/>
          <c:showVal val="1"/>
          <c:showCatName val="0"/>
          <c:showSerName val="0"/>
          <c:showPercent val="0"/>
          <c:showBubbleSize val="0"/>
        </c:dLbls>
        <c:gapWidth val="150"/>
        <c:axId val="2147424895"/>
        <c:axId val="2147423647"/>
      </c:barChart>
      <c:catAx>
        <c:axId val="214742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147423647"/>
        <c:crosses val="autoZero"/>
        <c:auto val="1"/>
        <c:lblAlgn val="ctr"/>
        <c:lblOffset val="100"/>
        <c:noMultiLvlLbl val="0"/>
      </c:catAx>
      <c:valAx>
        <c:axId val="2147423647"/>
        <c:scaling>
          <c:orientation val="minMax"/>
        </c:scaling>
        <c:delete val="1"/>
        <c:axPos val="l"/>
        <c:numFmt formatCode="&quot;₹&quot;\ #,##0.00" sourceLinked="1"/>
        <c:majorTickMark val="none"/>
        <c:minorTickMark val="none"/>
        <c:tickLblPos val="nextTo"/>
        <c:crossAx val="214742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[Master_Dataset_pivot_practice.xlsx]Pivot-Tables!PivotTable4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Profit Contribution by Salesperson</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'Pivot-Tables'!$A$22:$A$26</c:f>
              <c:strCache>
                <c:ptCount val="4"/>
                <c:pt idx="0">
                  <c:v>Priya</c:v>
                </c:pt>
                <c:pt idx="1">
                  <c:v>Amit</c:v>
                </c:pt>
                <c:pt idx="2">
                  <c:v>Neha</c:v>
                </c:pt>
                <c:pt idx="3">
                  <c:v>Rahul</c:v>
                </c:pt>
              </c:strCache>
            </c:strRef>
          </c:cat>
          <c:val>
            <c:numRef>
              <c:f>'Pivot-Tables'!$B$22:$B$26</c:f>
              <c:numCache>
                <c:formatCode>"₹"\ #,##0.00</c:formatCode>
                <c:ptCount val="4"/>
                <c:pt idx="0">
                  <c:v>76000</c:v>
                </c:pt>
                <c:pt idx="1">
                  <c:v>74000</c:v>
                </c:pt>
                <c:pt idx="2">
                  <c:v>67000</c:v>
                </c:pt>
                <c:pt idx="3">
                  <c:v>59000</c:v>
                </c:pt>
              </c:numCache>
            </c:numRef>
          </c:val>
          <c:extLst>
            <c:ext xmlns:c16="http://schemas.microsoft.com/office/drawing/2014/chart" uri="{C3380CC4-5D6E-409C-BE32-E72D297353CC}">
              <c16:uniqueId val="{00000003-F560-43C7-A1EF-994513548CA6}"/>
            </c:ext>
          </c:extLst>
        </c:ser>
        <c:dLbls>
          <c:showLegendKey val="0"/>
          <c:showVal val="1"/>
          <c:showCatName val="0"/>
          <c:showSerName val="0"/>
          <c:showPercent val="0"/>
          <c:showBubbleSize val="0"/>
        </c:dLbls>
        <c:gapWidth val="150"/>
        <c:overlap val="-25"/>
        <c:axId val="2147425727"/>
        <c:axId val="2147424063"/>
      </c:barChart>
      <c:catAx>
        <c:axId val="214742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147424063"/>
        <c:crosses val="autoZero"/>
        <c:auto val="1"/>
        <c:lblAlgn val="ctr"/>
        <c:lblOffset val="100"/>
        <c:noMultiLvlLbl val="0"/>
      </c:catAx>
      <c:valAx>
        <c:axId val="2147424063"/>
        <c:scaling>
          <c:orientation val="minMax"/>
        </c:scaling>
        <c:delete val="1"/>
        <c:axPos val="l"/>
        <c:numFmt formatCode="&quot;₹&quot;\ #,##0.00" sourceLinked="1"/>
        <c:majorTickMark val="none"/>
        <c:minorTickMark val="none"/>
        <c:tickLblPos val="nextTo"/>
        <c:crossAx val="2147425727"/>
        <c:crosses val="autoZero"/>
        <c:crossBetween val="between"/>
      </c:valAx>
    </c:plotArea>
    <c:plotVisOnly val="1"/>
    <c:dispBlanksAs val="gap"/>
    <c:showDLblsOverMax val="0"/>
    <c:extLst/>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[Master_Dataset_pivot_practice.xlsx]Pivot-Tables!PivotTable5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Profit % margin</a:t>
            </a:r>
            <a:r>
              <a:rPr lang="en-US" sz="1600" b="1" baseline="0">
                <a:solidFill>
                  <a:sysClr val="windowText" lastClr="000000"/>
                </a:solidFill>
              </a:rPr>
              <a:t> By Salesperson</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'Pivot-Tables'!$B$28</c:f>
              <c:strCache>
                <c:ptCount val="1"/>
                <c:pt idx="0">
                  <c:v>Total</c:v>
                </c:pt>
              </c:strCache>
            </c:strRef>
          </c:tx>
          <c:spPr>
            <a:solidFill>
              <a:srgbClr val="0099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'Pivot-Tables'!$A$29:$A$33</c:f>
              <c:strCache>
                <c:ptCount val="4"/>
                <c:pt idx="0">
                  <c:v>Priya</c:v>
                </c:pt>
                <c:pt idx="1">
                  <c:v>Neha</c:v>
                </c:pt>
                <c:pt idx="2">
                  <c:v>Rahul</c:v>
                </c:pt>
                <c:pt idx="3">
                  <c:v>Amit</c:v>
                </c:pt>
              </c:strCache>
            </c:strRef>
          </c:cat>
          <c:val>
            <c:numRef>
              <c:f>'Pivot-Tables'!$B$29:$B$33</c:f>
              <c:numCache>
                <c:formatCode>0%</c:formatCode>
                <c:ptCount val="4"/>
                <c:pt idx="0">
                  <c:v>0.25418060200668896</c:v>
                </c:pt>
                <c:pt idx="1">
                  <c:v>0.24100719424460432</c:v>
                </c:pt>
                <c:pt idx="2">
                  <c:v>0.22868217054263565</c:v>
                </c:pt>
                <c:pt idx="3">
                  <c:v>0.22356495468277945</c:v>
                </c:pt>
              </c:numCache>
            </c:numRef>
          </c:val>
          <c:extLst>
            <c:ext xmlns:c16="http://schemas.microsoft.com/office/drawing/2014/chart" uri="{C3380CC4-5D6E-409C-BE32-E72D297353CC}">
              <c16:uniqueId val="{00000000-CFC1-4A08-BC45-C7C6EC5D21CC}"/>
            </c:ext>
          </c:extLst>
        </c:ser>
        <c:dLbls>
          <c:showLegendKey val="0"/>
          <c:showVal val="1"/>
          <c:showCatName val="0"/>
          <c:showSerName val="0"/>
          <c:showPercent val="0"/>
          <c:showBubbleSize val="0"/>
        </c:dLbls>
        <c:gapWidth val="150"/>
        <c:overlap val="-25"/>
        <c:axId val="2147425727"/>
        <c:axId val="2147424063"/>
      </c:barChart>
      <c:catAx>
        <c:axId val="214742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147424063"/>
        <c:crosses val="autoZero"/>
        <c:auto val="1"/>
        <c:lblAlgn val="ctr"/>
        <c:lblOffset val="100"/>
        <c:noMultiLvlLbl val="0"/>
      </c:catAx>
      <c:valAx>
        <c:axId val="2147424063"/>
        <c:scaling>
          <c:orientation val="minMax"/>
        </c:scaling>
        <c:delete val="1"/>
        <c:axPos val="l"/>
        <c:numFmt formatCode="0%" sourceLinked="1"/>
        <c:majorTickMark val="none"/>
        <c:minorTickMark val="none"/>
        <c:tickLblPos val="nextTo"/>
        <c:crossAx val="214742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3334</xdr:colOff>
      <xdr:row>0</xdr:row>
      <xdr:rowOff>0</xdr:rowOff>
    </xdr:from>
    <xdr:to>
      <xdr:col>37</xdr:col>
      <xdr:colOff>240030</xdr:colOff>
      <xdr:row>53</xdr:row>
      <xdr:rowOff>166687</xdr:rowOff>
    </xdr:to>
    <xdr:sp macro="" textlink="">
      <xdr:nvSpPr>
        <xdr:cNvPr id="2" name="Rectangle 1">
          <a:extLst>
            <a:ext uri="{FF2B5EF4-FFF2-40B4-BE49-F238E27FC236}">
              <a16:creationId xmlns:a16="http://schemas.microsoft.com/office/drawing/2014/main" id="{4A58C48B-F952-4818-9EC6-6CB6DCC2FBEE}"/>
            </a:ext>
          </a:extLst>
        </xdr:cNvPr>
        <xdr:cNvSpPr/>
      </xdr:nvSpPr>
      <xdr:spPr>
        <a:xfrm>
          <a:off x="3334" y="0"/>
          <a:ext cx="23144321" cy="1026318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37</xdr:col>
      <xdr:colOff>165191</xdr:colOff>
      <xdr:row>5</xdr:row>
      <xdr:rowOff>166687</xdr:rowOff>
    </xdr:to>
    <xdr:sp macro="" textlink="">
      <xdr:nvSpPr>
        <xdr:cNvPr id="3" name="Rectangle 2">
          <a:extLst>
            <a:ext uri="{FF2B5EF4-FFF2-40B4-BE49-F238E27FC236}">
              <a16:creationId xmlns:a16="http://schemas.microsoft.com/office/drawing/2014/main" id="{EB9E1990-912A-4937-8DA0-2A6F3A50BB23}"/>
            </a:ext>
          </a:extLst>
        </xdr:cNvPr>
        <xdr:cNvSpPr/>
      </xdr:nvSpPr>
      <xdr:spPr>
        <a:xfrm>
          <a:off x="0" y="0"/>
          <a:ext cx="22632285" cy="1059656"/>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1">
              <a:solidFill>
                <a:schemeClr val="lt1"/>
              </a:solidFill>
              <a:effectLst/>
              <a:latin typeface="+mn-lt"/>
              <a:ea typeface="+mn-ea"/>
              <a:cs typeface="+mn-cs"/>
            </a:rPr>
            <a:t>	SALES</a:t>
          </a:r>
          <a:r>
            <a:rPr lang="en-IN" sz="2800" b="1" baseline="0">
              <a:solidFill>
                <a:schemeClr val="lt1"/>
              </a:solidFill>
              <a:effectLst/>
              <a:latin typeface="+mn-lt"/>
              <a:ea typeface="+mn-ea"/>
              <a:cs typeface="+mn-cs"/>
            </a:rPr>
            <a:t> &amp; PROFIT DASHBOARD</a:t>
          </a:r>
          <a:endParaRPr lang="en-IN" sz="2800" b="1">
            <a:effectLst/>
          </a:endParaRPr>
        </a:p>
        <a:p>
          <a:pPr algn="l"/>
          <a:r>
            <a:rPr lang="en-IN" sz="1400"/>
            <a:t>	Overview of Sales</a:t>
          </a:r>
          <a:r>
            <a:rPr lang="en-IN" sz="1400" baseline="0"/>
            <a:t> Performance, Profitable &amp; Trends</a:t>
          </a:r>
          <a:endParaRPr lang="en-IN" sz="1400"/>
        </a:p>
      </xdr:txBody>
    </xdr:sp>
    <xdr:clientData/>
  </xdr:twoCellAnchor>
  <xdr:twoCellAnchor>
    <xdr:from>
      <xdr:col>0</xdr:col>
      <xdr:colOff>134189</xdr:colOff>
      <xdr:row>7</xdr:row>
      <xdr:rowOff>20006</xdr:rowOff>
    </xdr:from>
    <xdr:to>
      <xdr:col>4</xdr:col>
      <xdr:colOff>79534</xdr:colOff>
      <xdr:row>13</xdr:row>
      <xdr:rowOff>118729</xdr:rowOff>
    </xdr:to>
    <xdr:sp macro="" textlink="'Pivot-Tables'!F3">
      <xdr:nvSpPr>
        <xdr:cNvPr id="6" name="Rectangle 5">
          <a:extLst>
            <a:ext uri="{FF2B5EF4-FFF2-40B4-BE49-F238E27FC236}">
              <a16:creationId xmlns:a16="http://schemas.microsoft.com/office/drawing/2014/main" id="{773DF706-BE01-4F33-9436-612D188A2AA4}"/>
            </a:ext>
          </a:extLst>
        </xdr:cNvPr>
        <xdr:cNvSpPr/>
      </xdr:nvSpPr>
      <xdr:spPr>
        <a:xfrm>
          <a:off x="134189" y="1270162"/>
          <a:ext cx="2374220" cy="1170286"/>
        </a:xfrm>
        <a:prstGeom prst="rect">
          <a:avLst/>
        </a:prstGeom>
      </xdr:spPr>
      <xdr:style>
        <a:lnRef idx="2">
          <a:schemeClr val="accent1">
            <a:shade val="50000"/>
          </a:schemeClr>
        </a:lnRef>
        <a:fillRef idx="1003">
          <a:schemeClr val="lt1"/>
        </a:fillRef>
        <a:effectRef idx="0">
          <a:schemeClr val="accent1"/>
        </a:effectRef>
        <a:fontRef idx="minor">
          <a:schemeClr val="lt1"/>
        </a:fontRef>
      </xdr:style>
      <xdr:txBody>
        <a:bodyPr vertOverflow="clip" horzOverflow="clip" rtlCol="0" anchor="ctr"/>
        <a:lstStyle/>
        <a:p>
          <a:pPr algn="l"/>
          <a:r>
            <a:rPr lang="en-US" sz="2800" b="1" i="0" u="none" strike="noStrike">
              <a:solidFill>
                <a:schemeClr val="accent1"/>
              </a:solidFill>
              <a:latin typeface="Bahnschrift Condensed" panose="020B0502040204020203" pitchFamily="34" charset="0"/>
              <a:ea typeface="Calibri"/>
              <a:cs typeface="Calibri"/>
            </a:rPr>
            <a:t>Total Sales</a:t>
          </a:r>
          <a:br>
            <a:rPr lang="en-US" sz="2400" b="0" i="0" u="none" strike="noStrike">
              <a:solidFill>
                <a:srgbClr val="000000"/>
              </a:solidFill>
              <a:latin typeface="Calibri"/>
              <a:ea typeface="Calibri"/>
              <a:cs typeface="Calibri"/>
            </a:rPr>
          </a:br>
          <a:fld id="{98C483DE-F382-48F7-A271-A5A46D38C19E}" type="TxLink">
            <a:rPr lang="en-US" sz="2400" b="0" i="0" u="none" strike="noStrike">
              <a:solidFill>
                <a:srgbClr val="000000"/>
              </a:solidFill>
              <a:latin typeface="Calibri"/>
              <a:ea typeface="Calibri"/>
              <a:cs typeface="Calibri"/>
            </a:rPr>
            <a:pPr algn="l"/>
            <a:t>₹ 11,66,000.00</a:t>
          </a:fld>
          <a:endParaRPr lang="en-IN" sz="4800" b="1" baseline="0">
            <a:solidFill>
              <a:schemeClr val="accent1"/>
            </a:solidFill>
            <a:latin typeface="Bahnschrift Condensed" panose="020B0502040204020203" pitchFamily="34" charset="0"/>
          </a:endParaRPr>
        </a:p>
      </xdr:txBody>
    </xdr:sp>
    <xdr:clientData/>
  </xdr:twoCellAnchor>
  <xdr:twoCellAnchor>
    <xdr:from>
      <xdr:col>18</xdr:col>
      <xdr:colOff>186548</xdr:colOff>
      <xdr:row>14</xdr:row>
      <xdr:rowOff>171644</xdr:rowOff>
    </xdr:from>
    <xdr:to>
      <xdr:col>27</xdr:col>
      <xdr:colOff>75721</xdr:colOff>
      <xdr:row>33</xdr:row>
      <xdr:rowOff>129961</xdr:rowOff>
    </xdr:to>
    <xdr:graphicFrame macro="">
      <xdr:nvGraphicFramePr>
        <xdr:cNvPr id="8" name="Chart 7">
          <a:extLst>
            <a:ext uri="{FF2B5EF4-FFF2-40B4-BE49-F238E27FC236}">
              <a16:creationId xmlns:a16="http://schemas.microsoft.com/office/drawing/2014/main" id="{457DA290-DF0C-4E96-9446-41A55074A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138455</xdr:colOff>
      <xdr:row>14</xdr:row>
      <xdr:rowOff>149763</xdr:rowOff>
    </xdr:from>
    <xdr:to>
      <xdr:col>18</xdr:col>
      <xdr:colOff>51434</xdr:colOff>
      <xdr:row>33</xdr:row>
      <xdr:rowOff>120967</xdr:rowOff>
    </xdr:to>
    <xdr:graphicFrame macro="">
      <xdr:nvGraphicFramePr>
        <xdr:cNvPr id="9" name="Chart 8">
          <a:extLst>
            <a:ext uri="{FF2B5EF4-FFF2-40B4-BE49-F238E27FC236}">
              <a16:creationId xmlns:a16="http://schemas.microsoft.com/office/drawing/2014/main" id="{213D3836-AE35-4EFE-9504-9D892B74A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97967</xdr:colOff>
      <xdr:row>14</xdr:row>
      <xdr:rowOff>147472</xdr:rowOff>
    </xdr:from>
    <xdr:to>
      <xdr:col>9</xdr:col>
      <xdr:colOff>16192</xdr:colOff>
      <xdr:row>33</xdr:row>
      <xdr:rowOff>103347</xdr:rowOff>
    </xdr:to>
    <xdr:graphicFrame macro="">
      <xdr:nvGraphicFramePr>
        <xdr:cNvPr id="10" name="Chart 9">
          <a:extLst>
            <a:ext uri="{FF2B5EF4-FFF2-40B4-BE49-F238E27FC236}">
              <a16:creationId xmlns:a16="http://schemas.microsoft.com/office/drawing/2014/main" id="{AC019187-2312-46AF-909D-C5BE9983A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99536</xdr:colOff>
      <xdr:row>34</xdr:row>
      <xdr:rowOff>75043</xdr:rowOff>
    </xdr:from>
    <xdr:to>
      <xdr:col>9</xdr:col>
      <xdr:colOff>19184</xdr:colOff>
      <xdr:row>53</xdr:row>
      <xdr:rowOff>39528</xdr:rowOff>
    </xdr:to>
    <xdr:graphicFrame macro="">
      <xdr:nvGraphicFramePr>
        <xdr:cNvPr id="11" name="Chart 10">
          <a:extLst>
            <a:ext uri="{FF2B5EF4-FFF2-40B4-BE49-F238E27FC236}">
              <a16:creationId xmlns:a16="http://schemas.microsoft.com/office/drawing/2014/main" id="{0376A131-7465-45D2-9113-14FE14748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125327</xdr:colOff>
      <xdr:row>34</xdr:row>
      <xdr:rowOff>60619</xdr:rowOff>
    </xdr:from>
    <xdr:to>
      <xdr:col>18</xdr:col>
      <xdr:colOff>71438</xdr:colOff>
      <xdr:row>53</xdr:row>
      <xdr:rowOff>55721</xdr:rowOff>
    </xdr:to>
    <xdr:graphicFrame macro="">
      <xdr:nvGraphicFramePr>
        <xdr:cNvPr id="12" name="Chart 11">
          <a:extLst>
            <a:ext uri="{FF2B5EF4-FFF2-40B4-BE49-F238E27FC236}">
              <a16:creationId xmlns:a16="http://schemas.microsoft.com/office/drawing/2014/main" id="{F667AFB6-3997-4C14-A77D-A139D9BF2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179679</xdr:colOff>
      <xdr:row>34</xdr:row>
      <xdr:rowOff>58849</xdr:rowOff>
    </xdr:from>
    <xdr:to>
      <xdr:col>27</xdr:col>
      <xdr:colOff>91437</xdr:colOff>
      <xdr:row>53</xdr:row>
      <xdr:rowOff>59531</xdr:rowOff>
    </xdr:to>
    <xdr:graphicFrame macro="">
      <xdr:nvGraphicFramePr>
        <xdr:cNvPr id="13" name="Chart 12">
          <a:extLst>
            <a:ext uri="{FF2B5EF4-FFF2-40B4-BE49-F238E27FC236}">
              <a16:creationId xmlns:a16="http://schemas.microsoft.com/office/drawing/2014/main" id="{BB777F0C-7F04-45AE-96B0-475812D2B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178592</xdr:colOff>
      <xdr:row>6</xdr:row>
      <xdr:rowOff>39317</xdr:rowOff>
    </xdr:from>
    <xdr:to>
      <xdr:col>27</xdr:col>
      <xdr:colOff>21266</xdr:colOff>
      <xdr:row>14</xdr:row>
      <xdr:rowOff>60364</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3EE6FBA1-E0BB-433C-8C01-F91A2337F5B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104720" y="1110880"/>
              <a:ext cx="5315262" cy="14459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50004</xdr:colOff>
      <xdr:row>0</xdr:row>
      <xdr:rowOff>118564</xdr:rowOff>
    </xdr:from>
    <xdr:to>
      <xdr:col>27</xdr:col>
      <xdr:colOff>15717</xdr:colOff>
      <xdr:row>5</xdr:row>
      <xdr:rowOff>59531</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135EE4F5-C38C-4F86-9305-F91D43392A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54776" y="120469"/>
              <a:ext cx="4850328" cy="851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555806</xdr:colOff>
      <xdr:row>0</xdr:row>
      <xdr:rowOff>115251</xdr:rowOff>
    </xdr:from>
    <xdr:to>
      <xdr:col>18</xdr:col>
      <xdr:colOff>550545</xdr:colOff>
      <xdr:row>5</xdr:row>
      <xdr:rowOff>67625</xdr:rowOff>
    </xdr:to>
    <mc:AlternateContent xmlns:mc="http://schemas.openxmlformats.org/markup-compatibility/2006">
      <mc:Choice xmlns:a14="http://schemas.microsoft.com/office/drawing/2010/main" Requires="a14">
        <xdr:graphicFrame macro="">
          <xdr:nvGraphicFramePr>
            <xdr:cNvPr id="16" name="Salesperson">
              <a:extLst>
                <a:ext uri="{FF2B5EF4-FFF2-40B4-BE49-F238E27FC236}">
                  <a16:creationId xmlns:a16="http://schemas.microsoft.com/office/drawing/2014/main" id="{65363F05-FF13-42E7-821E-FAAA080CB41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657765" y="115251"/>
              <a:ext cx="4886975" cy="866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501378</xdr:colOff>
      <xdr:row>7</xdr:row>
      <xdr:rowOff>16196</xdr:rowOff>
    </xdr:from>
    <xdr:to>
      <xdr:col>8</xdr:col>
      <xdr:colOff>441008</xdr:colOff>
      <xdr:row>13</xdr:row>
      <xdr:rowOff>130159</xdr:rowOff>
    </xdr:to>
    <xdr:sp macro="" textlink="'Pivot-Tables'!F4">
      <xdr:nvSpPr>
        <xdr:cNvPr id="17" name="Rectangle 16">
          <a:extLst>
            <a:ext uri="{FF2B5EF4-FFF2-40B4-BE49-F238E27FC236}">
              <a16:creationId xmlns:a16="http://schemas.microsoft.com/office/drawing/2014/main" id="{1F4105FF-8704-4725-92E2-6ED3DEF5EF91}"/>
            </a:ext>
          </a:extLst>
        </xdr:cNvPr>
        <xdr:cNvSpPr/>
      </xdr:nvSpPr>
      <xdr:spPr>
        <a:xfrm>
          <a:off x="2930253" y="1266352"/>
          <a:ext cx="2368505" cy="1185526"/>
        </a:xfrm>
        <a:prstGeom prst="rect">
          <a:avLst/>
        </a:prstGeom>
      </xdr:spPr>
      <xdr:style>
        <a:lnRef idx="2">
          <a:schemeClr val="accent1">
            <a:shade val="50000"/>
          </a:schemeClr>
        </a:lnRef>
        <a:fillRef idx="1003">
          <a:schemeClr val="lt1"/>
        </a:fillRef>
        <a:effectRef idx="0">
          <a:schemeClr val="accent1"/>
        </a:effectRef>
        <a:fontRef idx="minor">
          <a:schemeClr val="lt1"/>
        </a:fontRef>
      </xdr:style>
      <xdr:txBody>
        <a:bodyPr vertOverflow="clip" horzOverflow="clip" rtlCol="0" anchor="ctr"/>
        <a:lstStyle/>
        <a:p>
          <a:pPr algn="l"/>
          <a:r>
            <a:rPr lang="en-US" sz="2800" b="1" i="0" u="none" strike="noStrike">
              <a:solidFill>
                <a:schemeClr val="accent6">
                  <a:lumMod val="75000"/>
                </a:schemeClr>
              </a:solidFill>
              <a:latin typeface="Bahnschrift Condensed" panose="020B0502040204020203" pitchFamily="34" charset="0"/>
              <a:ea typeface="Calibri"/>
              <a:cs typeface="Calibri"/>
            </a:rPr>
            <a:t>Total Profit</a:t>
          </a:r>
          <a:br>
            <a:rPr lang="en-US" sz="1100" b="0" i="0" u="none" strike="noStrike">
              <a:solidFill>
                <a:srgbClr val="000000"/>
              </a:solidFill>
              <a:latin typeface="Calibri"/>
              <a:ea typeface="Calibri"/>
              <a:cs typeface="Calibri"/>
            </a:rPr>
          </a:br>
          <a:fld id="{76A31DA5-27AF-44DB-8713-63A7EEF38A98}" type="TxLink">
            <a:rPr lang="en-US" sz="2400" b="0" i="0" u="none" strike="noStrike">
              <a:solidFill>
                <a:srgbClr val="000000"/>
              </a:solidFill>
              <a:latin typeface="Calibri"/>
              <a:ea typeface="Calibri"/>
              <a:cs typeface="Calibri"/>
            </a:rPr>
            <a:t>₹ 2,76,000.00</a:t>
          </a:fld>
          <a:endParaRPr lang="en-IN" sz="1100"/>
        </a:p>
      </xdr:txBody>
    </xdr:sp>
    <xdr:clientData/>
  </xdr:twoCellAnchor>
  <xdr:twoCellAnchor>
    <xdr:from>
      <xdr:col>9</xdr:col>
      <xdr:colOff>225153</xdr:colOff>
      <xdr:row>7</xdr:row>
      <xdr:rowOff>18577</xdr:rowOff>
    </xdr:from>
    <xdr:to>
      <xdr:col>13</xdr:col>
      <xdr:colOff>157163</xdr:colOff>
      <xdr:row>13</xdr:row>
      <xdr:rowOff>132540</xdr:rowOff>
    </xdr:to>
    <xdr:sp macro="" textlink="'Pivot-Tables'!F5">
      <xdr:nvSpPr>
        <xdr:cNvPr id="18" name="Rectangle 17">
          <a:extLst>
            <a:ext uri="{FF2B5EF4-FFF2-40B4-BE49-F238E27FC236}">
              <a16:creationId xmlns:a16="http://schemas.microsoft.com/office/drawing/2014/main" id="{948F8C83-834F-48E3-886E-DF88DFCD3D2A}"/>
            </a:ext>
          </a:extLst>
        </xdr:cNvPr>
        <xdr:cNvSpPr/>
      </xdr:nvSpPr>
      <xdr:spPr>
        <a:xfrm>
          <a:off x="5690122" y="1268733"/>
          <a:ext cx="2360885" cy="1185526"/>
        </a:xfrm>
        <a:prstGeom prst="rect">
          <a:avLst/>
        </a:prstGeom>
      </xdr:spPr>
      <xdr:style>
        <a:lnRef idx="2">
          <a:schemeClr val="accent1">
            <a:shade val="50000"/>
          </a:schemeClr>
        </a:lnRef>
        <a:fillRef idx="1003">
          <a:schemeClr val="lt1"/>
        </a:fillRef>
        <a:effectRef idx="0">
          <a:schemeClr val="accent1"/>
        </a:effectRef>
        <a:fontRef idx="minor">
          <a:schemeClr val="lt1"/>
        </a:fontRef>
      </xdr:style>
      <xdr:txBody>
        <a:bodyPr vertOverflow="clip" horzOverflow="clip" rtlCol="0" anchor="ctr"/>
        <a:lstStyle/>
        <a:p>
          <a:pPr algn="l"/>
          <a:r>
            <a:rPr lang="en-US" sz="2800" b="1" i="0" u="none" strike="noStrike">
              <a:solidFill>
                <a:schemeClr val="accent2">
                  <a:lumMod val="75000"/>
                </a:schemeClr>
              </a:solidFill>
              <a:latin typeface="Bahnschrift Condensed" panose="020B0502040204020203" pitchFamily="34" charset="0"/>
              <a:ea typeface="Calibri"/>
              <a:cs typeface="Calibri"/>
            </a:rPr>
            <a:t>Profit Margin%</a:t>
          </a:r>
          <a:br>
            <a:rPr lang="en-US" sz="1100" b="0" i="0" u="none" strike="noStrike">
              <a:solidFill>
                <a:srgbClr val="000000"/>
              </a:solidFill>
              <a:latin typeface="Calibri"/>
              <a:ea typeface="Calibri"/>
              <a:cs typeface="Calibri"/>
            </a:rPr>
          </a:br>
          <a:fld id="{15363634-39FB-4BA6-88DF-E7F353287002}" type="TxLink">
            <a:rPr lang="en-US" sz="2400" b="0" i="0" u="none" strike="noStrike">
              <a:solidFill>
                <a:srgbClr val="000000"/>
              </a:solidFill>
              <a:latin typeface="Calibri"/>
              <a:ea typeface="Calibri"/>
              <a:cs typeface="Calibri"/>
            </a:rPr>
            <a:t>23.67%</a:t>
          </a:fld>
          <a:endParaRPr lang="en-IN" sz="1100"/>
        </a:p>
      </xdr:txBody>
    </xdr:sp>
    <xdr:clientData/>
  </xdr:twoCellAnchor>
  <xdr:twoCellAnchor>
    <xdr:from>
      <xdr:col>13</xdr:col>
      <xdr:colOff>517570</xdr:colOff>
      <xdr:row>7</xdr:row>
      <xdr:rowOff>20006</xdr:rowOff>
    </xdr:from>
    <xdr:to>
      <xdr:col>17</xdr:col>
      <xdr:colOff>476250</xdr:colOff>
      <xdr:row>13</xdr:row>
      <xdr:rowOff>126349</xdr:rowOff>
    </xdr:to>
    <xdr:sp macro="" textlink="'Pivot-Tables'!F6">
      <xdr:nvSpPr>
        <xdr:cNvPr id="19" name="Rectangle 18">
          <a:extLst>
            <a:ext uri="{FF2B5EF4-FFF2-40B4-BE49-F238E27FC236}">
              <a16:creationId xmlns:a16="http://schemas.microsoft.com/office/drawing/2014/main" id="{30DCD63F-D7F1-43F2-8107-FE475B5FC8C7}"/>
            </a:ext>
          </a:extLst>
        </xdr:cNvPr>
        <xdr:cNvSpPr/>
      </xdr:nvSpPr>
      <xdr:spPr>
        <a:xfrm>
          <a:off x="8411414" y="1270162"/>
          <a:ext cx="2387555" cy="1177906"/>
        </a:xfrm>
        <a:prstGeom prst="rect">
          <a:avLst/>
        </a:prstGeom>
      </xdr:spPr>
      <xdr:style>
        <a:lnRef idx="2">
          <a:schemeClr val="accent1">
            <a:shade val="50000"/>
          </a:schemeClr>
        </a:lnRef>
        <a:fillRef idx="1003">
          <a:schemeClr val="lt1"/>
        </a:fillRef>
        <a:effectRef idx="0">
          <a:schemeClr val="accent1"/>
        </a:effectRef>
        <a:fontRef idx="minor">
          <a:schemeClr val="lt1"/>
        </a:fontRef>
      </xdr:style>
      <xdr:txBody>
        <a:bodyPr vertOverflow="clip" horzOverflow="clip" rtlCol="0" anchor="ctr"/>
        <a:lstStyle/>
        <a:p>
          <a:pPr algn="l"/>
          <a:r>
            <a:rPr lang="en-US" sz="2800" b="1" i="0" u="none" strike="noStrike">
              <a:solidFill>
                <a:srgbClr val="7030A0"/>
              </a:solidFill>
              <a:latin typeface="Bahnschrift Condensed" panose="020B0502040204020203" pitchFamily="34" charset="0"/>
              <a:ea typeface="Calibri"/>
              <a:cs typeface="Calibri"/>
            </a:rPr>
            <a:t>Total Orders</a:t>
          </a:r>
          <a:br>
            <a:rPr lang="en-US" sz="1100" b="0" i="0" u="none" strike="noStrike">
              <a:solidFill>
                <a:srgbClr val="000000"/>
              </a:solidFill>
              <a:latin typeface="Calibri"/>
              <a:ea typeface="Calibri"/>
              <a:cs typeface="Calibri"/>
            </a:rPr>
          </a:br>
          <a:fld id="{12D9B087-1CDB-4D4D-B0C0-EEE5141D2E9A}" type="TxLink">
            <a:rPr lang="en-US" sz="2400" b="0" i="0" u="none" strike="noStrike">
              <a:solidFill>
                <a:srgbClr val="000000"/>
              </a:solidFill>
              <a:latin typeface="Calibri"/>
              <a:ea typeface="Calibri"/>
              <a:cs typeface="Calibri"/>
            </a:rPr>
            <a:t>24</a:t>
          </a:fld>
          <a:endParaRPr lang="en-IN" sz="1100" b="0"/>
        </a:p>
      </xdr:txBody>
    </xdr:sp>
    <xdr:clientData/>
  </xdr:twoCellAnchor>
  <xdr:oneCellAnchor>
    <xdr:from>
      <xdr:col>3</xdr:col>
      <xdr:colOff>436721</xdr:colOff>
      <xdr:row>2</xdr:row>
      <xdr:rowOff>120967</xdr:rowOff>
    </xdr:from>
    <xdr:ext cx="184731" cy="264560"/>
    <xdr:sp macro="" textlink="">
      <xdr:nvSpPr>
        <xdr:cNvPr id="4" name="TextBox 3">
          <a:extLst>
            <a:ext uri="{FF2B5EF4-FFF2-40B4-BE49-F238E27FC236}">
              <a16:creationId xmlns:a16="http://schemas.microsoft.com/office/drawing/2014/main" id="{CF2EA6DF-4810-409A-B454-10D356BA918F}"/>
            </a:ext>
          </a:extLst>
        </xdr:cNvPr>
        <xdr:cNvSpPr txBox="1"/>
      </xdr:nvSpPr>
      <xdr:spPr>
        <a:xfrm>
          <a:off x="2258377" y="4781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35</xdr:col>
      <xdr:colOff>0</xdr:colOff>
      <xdr:row>31</xdr:row>
      <xdr:rowOff>0</xdr:rowOff>
    </xdr:from>
    <xdr:to>
      <xdr:col>35</xdr:col>
      <xdr:colOff>304800</xdr:colOff>
      <xdr:row>32</xdr:row>
      <xdr:rowOff>121920</xdr:rowOff>
    </xdr:to>
    <xdr:sp macro="" textlink="">
      <xdr:nvSpPr>
        <xdr:cNvPr id="1025" name="AutoShape 1" descr="Profit Logo PNG Transparent Images Free Download | Vector ...">
          <a:extLst>
            <a:ext uri="{FF2B5EF4-FFF2-40B4-BE49-F238E27FC236}">
              <a16:creationId xmlns:a16="http://schemas.microsoft.com/office/drawing/2014/main" id="{AE987258-443E-4F9F-99B3-9483F7A0134A}"/>
            </a:ext>
          </a:extLst>
        </xdr:cNvPr>
        <xdr:cNvSpPr>
          <a:spLocks noChangeAspect="1" noChangeArrowheads="1"/>
        </xdr:cNvSpPr>
      </xdr:nvSpPr>
      <xdr:spPr bwMode="auto">
        <a:xfrm>
          <a:off x="213360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119061</xdr:colOff>
      <xdr:row>0</xdr:row>
      <xdr:rowOff>134300</xdr:rowOff>
    </xdr:from>
    <xdr:to>
      <xdr:col>1</xdr:col>
      <xdr:colOff>334168</xdr:colOff>
      <xdr:row>5</xdr:row>
      <xdr:rowOff>60957</xdr:rowOff>
    </xdr:to>
    <xdr:pic>
      <xdr:nvPicPr>
        <xdr:cNvPr id="22" name="Picture 21">
          <a:extLst>
            <a:ext uri="{FF2B5EF4-FFF2-40B4-BE49-F238E27FC236}">
              <a16:creationId xmlns:a16="http://schemas.microsoft.com/office/drawing/2014/main" id="{67D20C03-FEFA-48B4-99C0-534FE4A170F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9061" y="134300"/>
          <a:ext cx="822326" cy="819626"/>
        </a:xfrm>
        <a:prstGeom prst="ellipse">
          <a:avLst/>
        </a:prstGeom>
        <a:ln>
          <a:noFill/>
        </a:ln>
        <a:effectLst>
          <a:softEdge rad="112500"/>
        </a:effectLst>
      </xdr:spPr>
    </xdr:pic>
    <xdr:clientData/>
  </xdr:twoCellAnchor>
  <xdr:oneCellAnchor>
    <xdr:from>
      <xdr:col>29</xdr:col>
      <xdr:colOff>400525</xdr:colOff>
      <xdr:row>1</xdr:row>
      <xdr:rowOff>114776</xdr:rowOff>
    </xdr:from>
    <xdr:ext cx="2701573" cy="530658"/>
    <xdr:sp macro="" textlink="">
      <xdr:nvSpPr>
        <xdr:cNvPr id="23" name="TextBox 22">
          <a:extLst>
            <a:ext uri="{FF2B5EF4-FFF2-40B4-BE49-F238E27FC236}">
              <a16:creationId xmlns:a16="http://schemas.microsoft.com/office/drawing/2014/main" id="{22C482EA-2447-40D4-91E6-30433382C8D6}"/>
            </a:ext>
          </a:extLst>
        </xdr:cNvPr>
        <xdr:cNvSpPr txBox="1"/>
      </xdr:nvSpPr>
      <xdr:spPr>
        <a:xfrm>
          <a:off x="18009869" y="293370"/>
          <a:ext cx="270157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a:solidFill>
                <a:schemeClr val="bg1"/>
              </a:solidFill>
            </a:rPr>
            <a:t>Business Insights</a:t>
          </a:r>
        </a:p>
      </xdr:txBody>
    </xdr:sp>
    <xdr:clientData/>
  </xdr:oneCellAnchor>
  <xdr:twoCellAnchor>
    <xdr:from>
      <xdr:col>27</xdr:col>
      <xdr:colOff>174784</xdr:colOff>
      <xdr:row>6</xdr:row>
      <xdr:rowOff>49529</xdr:rowOff>
    </xdr:from>
    <xdr:to>
      <xdr:col>27</xdr:col>
      <xdr:colOff>174784</xdr:colOff>
      <xdr:row>53</xdr:row>
      <xdr:rowOff>69532</xdr:rowOff>
    </xdr:to>
    <xdr:cxnSp macro="">
      <xdr:nvCxnSpPr>
        <xdr:cNvPr id="25" name="Straight Connector 24">
          <a:extLst>
            <a:ext uri="{FF2B5EF4-FFF2-40B4-BE49-F238E27FC236}">
              <a16:creationId xmlns:a16="http://schemas.microsoft.com/office/drawing/2014/main" id="{DD225847-EA3B-44BD-B771-C622CCC822FD}"/>
            </a:ext>
          </a:extLst>
        </xdr:cNvPr>
        <xdr:cNvCxnSpPr/>
      </xdr:nvCxnSpPr>
      <xdr:spPr>
        <a:xfrm>
          <a:off x="16573500" y="1119187"/>
          <a:ext cx="0" cy="841771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27</xdr:col>
      <xdr:colOff>243841</xdr:colOff>
      <xdr:row>6</xdr:row>
      <xdr:rowOff>55243</xdr:rowOff>
    </xdr:from>
    <xdr:to>
      <xdr:col>37</xdr:col>
      <xdr:colOff>139065</xdr:colOff>
      <xdr:row>11</xdr:row>
      <xdr:rowOff>166688</xdr:rowOff>
    </xdr:to>
    <xdr:sp macro="" textlink="">
      <xdr:nvSpPr>
        <xdr:cNvPr id="26" name="Rectangle: Rounded Corners 25">
          <a:extLst>
            <a:ext uri="{FF2B5EF4-FFF2-40B4-BE49-F238E27FC236}">
              <a16:creationId xmlns:a16="http://schemas.microsoft.com/office/drawing/2014/main" id="{B49EE391-1208-4EF7-B5A5-E48C126EBD9F}"/>
            </a:ext>
          </a:extLst>
        </xdr:cNvPr>
        <xdr:cNvSpPr/>
      </xdr:nvSpPr>
      <xdr:spPr>
        <a:xfrm>
          <a:off x="16638747" y="1126806"/>
          <a:ext cx="5967412" cy="1004413"/>
        </a:xfrm>
        <a:prstGeom prst="roundRect">
          <a:avLst>
            <a:gd name="adj" fmla="val 689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t>🏆 </a:t>
          </a:r>
          <a:r>
            <a:rPr lang="en-IN" sz="2400" b="1">
              <a:solidFill>
                <a:sysClr val="windowText" lastClr="000000"/>
              </a:solidFill>
            </a:rPr>
            <a:t>East</a:t>
          </a:r>
          <a:r>
            <a:rPr lang="en-IN" sz="2400">
              <a:solidFill>
                <a:sysClr val="windowText" lastClr="000000"/>
              </a:solidFill>
            </a:rPr>
            <a:t> is the top-performing region with </a:t>
          </a:r>
          <a:r>
            <a:rPr lang="en-IN" sz="2400" b="1">
              <a:solidFill>
                <a:sysClr val="windowText" lastClr="000000"/>
              </a:solidFill>
            </a:rPr>
            <a:t>₹3.31 lakh</a:t>
          </a:r>
          <a:r>
            <a:rPr lang="en-IN" sz="2400">
              <a:solidFill>
                <a:sysClr val="windowText" lastClr="000000"/>
              </a:solidFill>
            </a:rPr>
            <a:t> in sales.</a:t>
          </a:r>
        </a:p>
      </xdr:txBody>
    </xdr:sp>
    <xdr:clientData/>
  </xdr:twoCellAnchor>
  <xdr:twoCellAnchor>
    <xdr:from>
      <xdr:col>27</xdr:col>
      <xdr:colOff>243841</xdr:colOff>
      <xdr:row>12</xdr:row>
      <xdr:rowOff>84771</xdr:rowOff>
    </xdr:from>
    <xdr:to>
      <xdr:col>37</xdr:col>
      <xdr:colOff>131445</xdr:colOff>
      <xdr:row>15</xdr:row>
      <xdr:rowOff>166688</xdr:rowOff>
    </xdr:to>
    <xdr:sp macro="" textlink="">
      <xdr:nvSpPr>
        <xdr:cNvPr id="28" name="Rectangle: Rounded Corners 27">
          <a:extLst>
            <a:ext uri="{FF2B5EF4-FFF2-40B4-BE49-F238E27FC236}">
              <a16:creationId xmlns:a16="http://schemas.microsoft.com/office/drawing/2014/main" id="{C3784C77-0B89-4A61-87D6-799AFCC504CB}"/>
            </a:ext>
          </a:extLst>
        </xdr:cNvPr>
        <xdr:cNvSpPr/>
      </xdr:nvSpPr>
      <xdr:spPr>
        <a:xfrm>
          <a:off x="16638747" y="2227896"/>
          <a:ext cx="5959792" cy="617698"/>
        </a:xfrm>
        <a:prstGeom prst="roundRect">
          <a:avLst>
            <a:gd name="adj" fmla="val 689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t>📉</a:t>
          </a:r>
          <a:r>
            <a:rPr lang="en-IN" sz="2400" b="1">
              <a:solidFill>
                <a:sysClr val="windowText" lastClr="000000"/>
              </a:solidFill>
            </a:rPr>
            <a:t>West</a:t>
          </a:r>
          <a:r>
            <a:rPr lang="en-IN" sz="2400">
              <a:solidFill>
                <a:sysClr val="windowText" lastClr="000000"/>
              </a:solidFill>
            </a:rPr>
            <a:t> has the lowest sales at </a:t>
          </a:r>
          <a:r>
            <a:rPr lang="en-IN" sz="2400" b="1">
              <a:solidFill>
                <a:sysClr val="windowText" lastClr="000000"/>
              </a:solidFill>
            </a:rPr>
            <a:t>₹2.58 lakh</a:t>
          </a:r>
          <a:r>
            <a:rPr lang="en-IN" sz="2400">
              <a:solidFill>
                <a:sysClr val="windowText" lastClr="000000"/>
              </a:solidFill>
            </a:rPr>
            <a:t>.</a:t>
          </a:r>
        </a:p>
      </xdr:txBody>
    </xdr:sp>
    <xdr:clientData/>
  </xdr:twoCellAnchor>
  <xdr:twoCellAnchor>
    <xdr:from>
      <xdr:col>27</xdr:col>
      <xdr:colOff>243841</xdr:colOff>
      <xdr:row>16</xdr:row>
      <xdr:rowOff>98581</xdr:rowOff>
    </xdr:from>
    <xdr:to>
      <xdr:col>37</xdr:col>
      <xdr:colOff>131445</xdr:colOff>
      <xdr:row>23</xdr:row>
      <xdr:rowOff>130968</xdr:rowOff>
    </xdr:to>
    <xdr:sp macro="" textlink="">
      <xdr:nvSpPr>
        <xdr:cNvPr id="29" name="Rectangle: Rounded Corners 28">
          <a:extLst>
            <a:ext uri="{FF2B5EF4-FFF2-40B4-BE49-F238E27FC236}">
              <a16:creationId xmlns:a16="http://schemas.microsoft.com/office/drawing/2014/main" id="{915727C5-9D52-4F7D-A06B-F0E27D21F7BE}"/>
            </a:ext>
          </a:extLst>
        </xdr:cNvPr>
        <xdr:cNvSpPr/>
      </xdr:nvSpPr>
      <xdr:spPr>
        <a:xfrm>
          <a:off x="16638747" y="2956081"/>
          <a:ext cx="5959792" cy="1282543"/>
        </a:xfrm>
        <a:prstGeom prst="roundRect">
          <a:avLst>
            <a:gd name="adj" fmla="val 689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t>📦</a:t>
          </a:r>
          <a:r>
            <a:rPr lang="en-IN" sz="2400" b="1">
              <a:solidFill>
                <a:sysClr val="windowText" lastClr="000000"/>
              </a:solidFill>
            </a:rPr>
            <a:t>Electronics</a:t>
          </a:r>
          <a:r>
            <a:rPr lang="en-IN" sz="2400">
              <a:solidFill>
                <a:sysClr val="windowText" lastClr="000000"/>
              </a:solidFill>
            </a:rPr>
            <a:t> is the highest revenue category (</a:t>
          </a:r>
          <a:r>
            <a:rPr lang="en-IN" sz="2400" b="1">
              <a:solidFill>
                <a:sysClr val="windowText" lastClr="000000"/>
              </a:solidFill>
            </a:rPr>
            <a:t>₹7.45 lakh</a:t>
          </a:r>
          <a:r>
            <a:rPr lang="en-IN" sz="2400">
              <a:solidFill>
                <a:sysClr val="windowText" lastClr="000000"/>
              </a:solidFill>
            </a:rPr>
            <a:t>) and also delivers the highest profit (</a:t>
          </a:r>
          <a:r>
            <a:rPr lang="en-IN" sz="2400" b="1">
              <a:solidFill>
                <a:sysClr val="windowText" lastClr="000000"/>
              </a:solidFill>
            </a:rPr>
            <a:t>₹1.63 lakh</a:t>
          </a:r>
          <a:r>
            <a:rPr lang="en-IN" sz="2400">
              <a:solidFill>
                <a:sysClr val="windowText" lastClr="000000"/>
              </a:solidFill>
            </a:rPr>
            <a:t>).</a:t>
          </a:r>
        </a:p>
      </xdr:txBody>
    </xdr:sp>
    <xdr:clientData/>
  </xdr:twoCellAnchor>
  <xdr:twoCellAnchor>
    <xdr:from>
      <xdr:col>27</xdr:col>
      <xdr:colOff>247651</xdr:colOff>
      <xdr:row>24</xdr:row>
      <xdr:rowOff>23335</xdr:rowOff>
    </xdr:from>
    <xdr:to>
      <xdr:col>37</xdr:col>
      <xdr:colOff>135255</xdr:colOff>
      <xdr:row>29</xdr:row>
      <xdr:rowOff>134779</xdr:rowOff>
    </xdr:to>
    <xdr:sp macro="" textlink="">
      <xdr:nvSpPr>
        <xdr:cNvPr id="30" name="Rectangle: Rounded Corners 29">
          <a:extLst>
            <a:ext uri="{FF2B5EF4-FFF2-40B4-BE49-F238E27FC236}">
              <a16:creationId xmlns:a16="http://schemas.microsoft.com/office/drawing/2014/main" id="{DEFBD673-6298-49F5-8811-16C9B2969741}"/>
            </a:ext>
          </a:extLst>
        </xdr:cNvPr>
        <xdr:cNvSpPr/>
      </xdr:nvSpPr>
      <xdr:spPr>
        <a:xfrm>
          <a:off x="16642557" y="4309585"/>
          <a:ext cx="5959792" cy="1004413"/>
        </a:xfrm>
        <a:prstGeom prst="roundRect">
          <a:avLst>
            <a:gd name="adj" fmla="val 689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t>💰</a:t>
          </a:r>
          <a:r>
            <a:rPr lang="en-IN" sz="2400" b="1">
              <a:solidFill>
                <a:sysClr val="windowText" lastClr="000000"/>
              </a:solidFill>
            </a:rPr>
            <a:t>Furniture</a:t>
          </a:r>
          <a:r>
            <a:rPr lang="en-IN" sz="2400">
              <a:solidFill>
                <a:sysClr val="windowText" lastClr="000000"/>
              </a:solidFill>
            </a:rPr>
            <a:t> has the highest profit margin (</a:t>
          </a:r>
          <a:r>
            <a:rPr lang="en-IN" sz="2400" b="1">
              <a:solidFill>
                <a:sysClr val="windowText" lastClr="000000"/>
              </a:solidFill>
            </a:rPr>
            <a:t>29%</a:t>
          </a:r>
          <a:r>
            <a:rPr lang="en-IN" sz="2400">
              <a:solidFill>
                <a:sysClr val="windowText" lastClr="000000"/>
              </a:solidFill>
            </a:rPr>
            <a:t>), despite lower total sales.</a:t>
          </a:r>
        </a:p>
      </xdr:txBody>
    </xdr:sp>
    <xdr:clientData/>
  </xdr:twoCellAnchor>
  <xdr:twoCellAnchor>
    <xdr:from>
      <xdr:col>27</xdr:col>
      <xdr:colOff>247651</xdr:colOff>
      <xdr:row>30</xdr:row>
      <xdr:rowOff>47146</xdr:rowOff>
    </xdr:from>
    <xdr:to>
      <xdr:col>37</xdr:col>
      <xdr:colOff>135255</xdr:colOff>
      <xdr:row>37</xdr:row>
      <xdr:rowOff>87153</xdr:rowOff>
    </xdr:to>
    <xdr:sp macro="" textlink="">
      <xdr:nvSpPr>
        <xdr:cNvPr id="31" name="Rectangle: Rounded Corners 30">
          <a:extLst>
            <a:ext uri="{FF2B5EF4-FFF2-40B4-BE49-F238E27FC236}">
              <a16:creationId xmlns:a16="http://schemas.microsoft.com/office/drawing/2014/main" id="{6F8A9958-44C2-462A-A158-CDB8EE6CEA2A}"/>
            </a:ext>
          </a:extLst>
        </xdr:cNvPr>
        <xdr:cNvSpPr/>
      </xdr:nvSpPr>
      <xdr:spPr>
        <a:xfrm>
          <a:off x="16642557" y="5404959"/>
          <a:ext cx="5959792" cy="1290163"/>
        </a:xfrm>
        <a:prstGeom prst="roundRect">
          <a:avLst>
            <a:gd name="adj" fmla="val 689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t>👩</a:t>
          </a:r>
          <a:r>
            <a:rPr lang="en-IN" sz="2400" b="1">
              <a:solidFill>
                <a:sysClr val="windowText" lastClr="000000"/>
              </a:solidFill>
            </a:rPr>
            <a:t>Priya</a:t>
          </a:r>
          <a:r>
            <a:rPr lang="en-IN" sz="2400">
              <a:solidFill>
                <a:sysClr val="windowText" lastClr="000000"/>
              </a:solidFill>
            </a:rPr>
            <a:t> generated the highest total profit (</a:t>
          </a:r>
          <a:r>
            <a:rPr lang="en-IN" sz="2400" b="1">
              <a:solidFill>
                <a:sysClr val="windowText" lastClr="000000"/>
              </a:solidFill>
            </a:rPr>
            <a:t>₹76,000</a:t>
          </a:r>
          <a:r>
            <a:rPr lang="en-IN" sz="2400">
              <a:solidFill>
                <a:sysClr val="windowText" lastClr="000000"/>
              </a:solidFill>
            </a:rPr>
            <a:t>) and also has the highest profit margin (</a:t>
          </a:r>
          <a:r>
            <a:rPr lang="en-IN" sz="2400" b="1">
              <a:solidFill>
                <a:sysClr val="windowText" lastClr="000000"/>
              </a:solidFill>
            </a:rPr>
            <a:t>25%</a:t>
          </a:r>
          <a:r>
            <a:rPr lang="en-IN" sz="2400">
              <a:solidFill>
                <a:sysClr val="windowText" lastClr="000000"/>
              </a:solidFill>
            </a:rPr>
            <a:t>).</a:t>
          </a:r>
        </a:p>
      </xdr:txBody>
    </xdr:sp>
    <xdr:clientData/>
  </xdr:twoCellAnchor>
  <xdr:twoCellAnchor>
    <xdr:from>
      <xdr:col>27</xdr:col>
      <xdr:colOff>247651</xdr:colOff>
      <xdr:row>37</xdr:row>
      <xdr:rowOff>156207</xdr:rowOff>
    </xdr:from>
    <xdr:to>
      <xdr:col>37</xdr:col>
      <xdr:colOff>135255</xdr:colOff>
      <xdr:row>43</xdr:row>
      <xdr:rowOff>95250</xdr:rowOff>
    </xdr:to>
    <xdr:sp macro="" textlink="">
      <xdr:nvSpPr>
        <xdr:cNvPr id="32" name="Rectangle: Rounded Corners 31">
          <a:extLst>
            <a:ext uri="{FF2B5EF4-FFF2-40B4-BE49-F238E27FC236}">
              <a16:creationId xmlns:a16="http://schemas.microsoft.com/office/drawing/2014/main" id="{E9CB54B0-DF2A-4826-95E4-6FAF05FDA1DA}"/>
            </a:ext>
          </a:extLst>
        </xdr:cNvPr>
        <xdr:cNvSpPr/>
      </xdr:nvSpPr>
      <xdr:spPr>
        <a:xfrm>
          <a:off x="16642557" y="6764176"/>
          <a:ext cx="5959792" cy="1010605"/>
        </a:xfrm>
        <a:prstGeom prst="roundRect">
          <a:avLst>
            <a:gd name="adj" fmla="val 689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t>📈</a:t>
          </a:r>
          <a:r>
            <a:rPr lang="en-IN" sz="2400" b="1">
              <a:solidFill>
                <a:sysClr val="windowText" lastClr="000000"/>
              </a:solidFill>
            </a:rPr>
            <a:t>Q3</a:t>
          </a:r>
          <a:r>
            <a:rPr lang="en-IN" sz="2400">
              <a:solidFill>
                <a:sysClr val="windowText" lastClr="000000"/>
              </a:solidFill>
            </a:rPr>
            <a:t> recorded the highest sales (</a:t>
          </a:r>
          <a:r>
            <a:rPr lang="en-IN" sz="2400" b="1">
              <a:solidFill>
                <a:sysClr val="windowText" lastClr="000000"/>
              </a:solidFill>
            </a:rPr>
            <a:t>₹3.08 lakh</a:t>
          </a:r>
          <a:r>
            <a:rPr lang="en-IN" sz="2400">
              <a:solidFill>
                <a:sysClr val="windowText" lastClr="000000"/>
              </a:solidFill>
            </a:rPr>
            <a:t>), while </a:t>
          </a:r>
          <a:r>
            <a:rPr lang="en-IN" sz="2400" b="1">
              <a:solidFill>
                <a:sysClr val="windowText" lastClr="000000"/>
              </a:solidFill>
            </a:rPr>
            <a:t>Q2</a:t>
          </a:r>
          <a:r>
            <a:rPr lang="en-IN" sz="2400">
              <a:solidFill>
                <a:sysClr val="windowText" lastClr="000000"/>
              </a:solidFill>
            </a:rPr>
            <a:t> recorded the lowest (</a:t>
          </a:r>
          <a:r>
            <a:rPr lang="en-IN" sz="2400" b="1">
              <a:solidFill>
                <a:sysClr val="windowText" lastClr="000000"/>
              </a:solidFill>
            </a:rPr>
            <a:t>₹2.53 lakh</a:t>
          </a:r>
          <a:r>
            <a:rPr lang="en-IN" sz="2400">
              <a:solidFill>
                <a:sysClr val="windowText" lastClr="000000"/>
              </a:solidFill>
            </a:rPr>
            <a:t>).</a:t>
          </a:r>
        </a:p>
      </xdr:txBody>
    </xdr:sp>
    <xdr:clientData/>
  </xdr:twoCellAnchor>
  <xdr:twoCellAnchor>
    <xdr:from>
      <xdr:col>27</xdr:col>
      <xdr:colOff>243841</xdr:colOff>
      <xdr:row>45</xdr:row>
      <xdr:rowOff>166203</xdr:rowOff>
    </xdr:from>
    <xdr:to>
      <xdr:col>37</xdr:col>
      <xdr:colOff>131445</xdr:colOff>
      <xdr:row>53</xdr:row>
      <xdr:rowOff>58096</xdr:rowOff>
    </xdr:to>
    <xdr:sp macro="" textlink="">
      <xdr:nvSpPr>
        <xdr:cNvPr id="33" name="Rectangle: Rounded Corners 32">
          <a:extLst>
            <a:ext uri="{FF2B5EF4-FFF2-40B4-BE49-F238E27FC236}">
              <a16:creationId xmlns:a16="http://schemas.microsoft.com/office/drawing/2014/main" id="{0DC34B8F-67CF-442F-BD58-72C0195E649A}"/>
            </a:ext>
          </a:extLst>
        </xdr:cNvPr>
        <xdr:cNvSpPr/>
      </xdr:nvSpPr>
      <xdr:spPr>
        <a:xfrm>
          <a:off x="16638747" y="8202922"/>
          <a:ext cx="5959792" cy="1320643"/>
        </a:xfrm>
        <a:prstGeom prst="roundRect">
          <a:avLst>
            <a:gd name="adj" fmla="val 6898"/>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solidFill>
                <a:schemeClr val="bg1"/>
              </a:solidFill>
            </a:rPr>
            <a:t>Note:</a:t>
          </a:r>
          <a:br>
            <a:rPr lang="en-IN" sz="2400" b="1">
              <a:solidFill>
                <a:schemeClr val="bg1"/>
              </a:solidFill>
            </a:rPr>
          </a:br>
          <a:r>
            <a:rPr lang="en-IN" sz="2400" b="1">
              <a:solidFill>
                <a:schemeClr val="bg1"/>
              </a:solidFill>
            </a:rPr>
            <a:t>Profit = Sales</a:t>
          </a:r>
          <a:r>
            <a:rPr lang="en-IN" sz="2400" b="1" baseline="0">
              <a:solidFill>
                <a:schemeClr val="bg1"/>
              </a:solidFill>
            </a:rPr>
            <a:t> - Cost</a:t>
          </a:r>
          <a:br>
            <a:rPr lang="en-IN" sz="2400" b="1" baseline="0">
              <a:solidFill>
                <a:schemeClr val="bg1"/>
              </a:solidFill>
            </a:rPr>
          </a:br>
          <a:r>
            <a:rPr lang="en-IN" sz="2400" b="1" baseline="0">
              <a:solidFill>
                <a:schemeClr val="bg1"/>
              </a:solidFill>
            </a:rPr>
            <a:t>Profit Margin % = Profit / Sales</a:t>
          </a:r>
          <a:endParaRPr lang="en-IN" sz="2400">
            <a:solidFill>
              <a:schemeClr val="bg1"/>
            </a:solidFill>
          </a:endParaRPr>
        </a:p>
      </xdr:txBody>
    </xdr:sp>
    <xdr:clientData/>
  </xdr:twoCellAnchor>
  <xdr:twoCellAnchor>
    <xdr:from>
      <xdr:col>27</xdr:col>
      <xdr:colOff>250031</xdr:colOff>
      <xdr:row>44</xdr:row>
      <xdr:rowOff>130969</xdr:rowOff>
    </xdr:from>
    <xdr:to>
      <xdr:col>37</xdr:col>
      <xdr:colOff>130968</xdr:colOff>
      <xdr:row>44</xdr:row>
      <xdr:rowOff>130969</xdr:rowOff>
    </xdr:to>
    <xdr:cxnSp macro="">
      <xdr:nvCxnSpPr>
        <xdr:cNvPr id="34" name="Straight Connector 33">
          <a:extLst>
            <a:ext uri="{FF2B5EF4-FFF2-40B4-BE49-F238E27FC236}">
              <a16:creationId xmlns:a16="http://schemas.microsoft.com/office/drawing/2014/main" id="{FCD6951A-C9A4-46F3-8FC6-1120DF45B9D6}"/>
            </a:ext>
          </a:extLst>
        </xdr:cNvPr>
        <xdr:cNvCxnSpPr/>
      </xdr:nvCxnSpPr>
      <xdr:spPr>
        <a:xfrm>
          <a:off x="16644937" y="7989094"/>
          <a:ext cx="595312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ptik Beg" refreshedDate="46262.420043171296" createdVersion="7" refreshedVersion="7" minRefreshableVersion="3" recordCount="24" xr:uid="{B9F23894-EEC5-4871-8C5B-2276AB2ADCB9}">
  <cacheSource type="worksheet">
    <worksheetSource ref="A1:J25" sheet="RAW-DATA"/>
  </cacheSource>
  <cacheFields count="12">
    <cacheField name="Order ID" numFmtId="0">
      <sharedItems containsSemiMixedTypes="0" containsString="0" containsNumber="1" containsInteger="1" minValue="1001" maxValue="1024"/>
    </cacheField>
    <cacheField name="Date" numFmtId="15">
      <sharedItems containsSemiMixedTypes="0" containsNonDate="0" containsDate="1" containsString="0" minDate="2025-01-02T00:00:00" maxDate="2025-12-19T00:00:00" count="24">
        <d v="2025-01-02T00:00:00"/>
        <d v="2025-01-05T00:00:00"/>
        <d v="2025-02-08T00:00:00"/>
        <d v="2025-02-10T00:00:00"/>
        <d v="2025-03-18T00:00:00"/>
        <d v="2025-03-22T00:00:00"/>
        <d v="2025-04-02T00:00:00"/>
        <d v="2025-04-08T00:00:00"/>
        <d v="2025-05-14T00:00:00"/>
        <d v="2025-05-18T00:00:00"/>
        <d v="2025-06-05T00:00:00"/>
        <d v="2025-06-15T00:00:00"/>
        <d v="2025-07-04T00:00:00"/>
        <d v="2025-07-12T00:00:00"/>
        <d v="2025-08-18T00:00:00"/>
        <d v="2025-08-25T00:00:00"/>
        <d v="2025-09-06T00:00:00"/>
        <d v="2025-09-14T00:00:00"/>
        <d v="2025-10-03T00:00:00"/>
        <d v="2025-10-21T00:00:00"/>
        <d v="2025-11-08T00:00:00"/>
        <d v="2025-11-16T00:00:00"/>
        <d v="2025-12-02T00:00:00"/>
        <d v="2025-12-18T00:00:00"/>
      </sharedItems>
    </cacheField>
    <cacheField name="Region" numFmtId="0">
      <sharedItems count="4">
        <s v="East"/>
        <s v="West"/>
        <s v="North"/>
        <s v="South"/>
      </sharedItems>
    </cacheField>
    <cacheField name="Salesperson" numFmtId="0">
      <sharedItems count="4">
        <s v="Amit"/>
        <s v="Rahul"/>
        <s v="Priya"/>
        <s v="Neha"/>
      </sharedItems>
    </cacheField>
    <cacheField name="Category" numFmtId="0">
      <sharedItems count="3">
        <s v="Electronics"/>
        <s v="Furniture"/>
        <s v="Office Supplies"/>
      </sharedItems>
    </cacheField>
    <cacheField name="Product" numFmtId="0">
      <sharedItems/>
    </cacheField>
    <cacheField name="Month" numFmtId="0">
      <sharedItems count="16">
        <s v="Jan"/>
        <s v="Feb"/>
        <s v="Mar"/>
        <s v="Apr"/>
        <s v="May"/>
        <s v="Jun"/>
        <s v="Jul"/>
        <s v="Aug"/>
        <s v="Sep"/>
        <s v="Oct"/>
        <s v="Nov"/>
        <s v="Dec"/>
        <s v="Q1" f="1"/>
        <s v="Q2" f="1"/>
        <s v="Q3" f="1"/>
        <s v="Q4" f="1"/>
      </sharedItems>
    </cacheField>
    <cacheField name="Sales" numFmtId="0">
      <sharedItems containsSemiMixedTypes="0" containsString="0" containsNumber="1" containsInteger="1" minValue="15000" maxValue="102000"/>
    </cacheField>
    <cacheField name="Cost" numFmtId="0">
      <sharedItems containsSemiMixedTypes="0" containsString="0" containsNumber="1" containsInteger="1" minValue="10000" maxValue="82000"/>
    </cacheField>
    <cacheField name="Quantity" numFmtId="0">
      <sharedItems containsSemiMixedTypes="0" containsString="0" containsNumber="1" containsInteger="1" minValue="2" maxValue="8"/>
    </cacheField>
    <cacheField name="Profit" numFmtId="0" formula="Sales-Cost" databaseField="0"/>
    <cacheField name="Profit %" numFmtId="0" formula="Profit/Sales" databaseField="0"/>
  </cacheFields>
  <calculatedItems count="4">
    <calculatedItem formula="Month[Jan]+Month[Feb]+Month[Mar]">
      <pivotArea cacheIndex="1" outline="0" fieldPosition="0">
        <references count="1">
          <reference field="6" count="1">
            <x v="12"/>
          </reference>
        </references>
      </pivotArea>
    </calculatedItem>
    <calculatedItem formula="Month[Apr]+Month[May]+Month[Jun]">
      <pivotArea cacheIndex="1" outline="0" fieldPosition="0">
        <references count="1">
          <reference field="6" count="1">
            <x v="13"/>
          </reference>
        </references>
      </pivotArea>
    </calculatedItem>
    <calculatedItem formula="Month[Jul]+Month[Aug]+Month[Sep]">
      <pivotArea cacheIndex="1" outline="0" fieldPosition="0">
        <references count="1">
          <reference field="6" count="1">
            <x v="14"/>
          </reference>
        </references>
      </pivotArea>
    </calculatedItem>
    <calculatedItem formula="Month[Oct]+Month[Nov]+Month[Dec]">
      <pivotArea cacheIndex="1" outline="0" fieldPosition="0">
        <references count="1">
          <reference field="6" count="1">
            <x v="15"/>
          </reference>
        </references>
      </pivotArea>
    </calculatedItem>
  </calculatedItems>
  <extLst>
    <ext xmlns:x14="http://schemas.microsoft.com/office/spreadsheetml/2009/9/main" uri="{725AE2AE-9491-48be-B2B4-4EB974FC3084}">
      <x14:pivotCacheDefinition pivotCacheId="871924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n v="1001"/>
    <x v="0"/>
    <x v="0"/>
    <x v="0"/>
    <x v="0"/>
    <s v="Laptop"/>
    <x v="0"/>
    <n v="85000"/>
    <n v="70000"/>
    <n v="2"/>
  </r>
  <r>
    <n v="1002"/>
    <x v="1"/>
    <x v="1"/>
    <x v="1"/>
    <x v="1"/>
    <s v="Chair"/>
    <x v="0"/>
    <n v="15000"/>
    <n v="10000"/>
    <n v="5"/>
  </r>
  <r>
    <n v="1003"/>
    <x v="2"/>
    <x v="2"/>
    <x v="2"/>
    <x v="0"/>
    <s v="Mobile"/>
    <x v="1"/>
    <n v="45000"/>
    <n v="32000"/>
    <n v="4"/>
  </r>
  <r>
    <n v="1004"/>
    <x v="3"/>
    <x v="3"/>
    <x v="3"/>
    <x v="2"/>
    <s v="Printer"/>
    <x v="1"/>
    <n v="28000"/>
    <n v="22000"/>
    <n v="2"/>
  </r>
  <r>
    <n v="1005"/>
    <x v="4"/>
    <x v="0"/>
    <x v="0"/>
    <x v="1"/>
    <s v="Table"/>
    <x v="2"/>
    <n v="35000"/>
    <n v="25000"/>
    <n v="3"/>
  </r>
  <r>
    <n v="1006"/>
    <x v="5"/>
    <x v="1"/>
    <x v="1"/>
    <x v="0"/>
    <s v="Laptop"/>
    <x v="2"/>
    <n v="90000"/>
    <n v="75000"/>
    <n v="2"/>
  </r>
  <r>
    <n v="1007"/>
    <x v="6"/>
    <x v="2"/>
    <x v="2"/>
    <x v="1"/>
    <s v="Chair"/>
    <x v="3"/>
    <n v="18000"/>
    <n v="12000"/>
    <n v="6"/>
  </r>
  <r>
    <n v="1008"/>
    <x v="7"/>
    <x v="3"/>
    <x v="3"/>
    <x v="0"/>
    <s v="Mobile"/>
    <x v="3"/>
    <n v="50000"/>
    <n v="36000"/>
    <n v="5"/>
  </r>
  <r>
    <n v="1009"/>
    <x v="8"/>
    <x v="0"/>
    <x v="0"/>
    <x v="2"/>
    <s v="Printer"/>
    <x v="4"/>
    <n v="32000"/>
    <n v="25000"/>
    <n v="3"/>
  </r>
  <r>
    <n v="1010"/>
    <x v="9"/>
    <x v="1"/>
    <x v="1"/>
    <x v="1"/>
    <s v="Table"/>
    <x v="4"/>
    <n v="38000"/>
    <n v="28000"/>
    <n v="4"/>
  </r>
  <r>
    <n v="1011"/>
    <x v="10"/>
    <x v="2"/>
    <x v="2"/>
    <x v="0"/>
    <s v="Laptop"/>
    <x v="5"/>
    <n v="95000"/>
    <n v="76000"/>
    <n v="2"/>
  </r>
  <r>
    <n v="1012"/>
    <x v="11"/>
    <x v="3"/>
    <x v="3"/>
    <x v="1"/>
    <s v="Chair"/>
    <x v="5"/>
    <n v="20000"/>
    <n v="14000"/>
    <n v="7"/>
  </r>
  <r>
    <n v="1013"/>
    <x v="12"/>
    <x v="0"/>
    <x v="0"/>
    <x v="0"/>
    <s v="Mobile"/>
    <x v="6"/>
    <n v="55000"/>
    <n v="40000"/>
    <n v="5"/>
  </r>
  <r>
    <n v="1014"/>
    <x v="13"/>
    <x v="1"/>
    <x v="1"/>
    <x v="2"/>
    <s v="Printer"/>
    <x v="6"/>
    <n v="31000"/>
    <n v="24000"/>
    <n v="2"/>
  </r>
  <r>
    <n v="1015"/>
    <x v="14"/>
    <x v="2"/>
    <x v="2"/>
    <x v="1"/>
    <s v="Table"/>
    <x v="7"/>
    <n v="42000"/>
    <n v="30000"/>
    <n v="4"/>
  </r>
  <r>
    <n v="1016"/>
    <x v="15"/>
    <x v="3"/>
    <x v="3"/>
    <x v="0"/>
    <s v="Laptop"/>
    <x v="7"/>
    <n v="98000"/>
    <n v="79000"/>
    <n v="2"/>
  </r>
  <r>
    <n v="1017"/>
    <x v="16"/>
    <x v="0"/>
    <x v="0"/>
    <x v="1"/>
    <s v="Chair"/>
    <x v="8"/>
    <n v="22000"/>
    <n v="15000"/>
    <n v="8"/>
  </r>
  <r>
    <n v="1018"/>
    <x v="17"/>
    <x v="1"/>
    <x v="1"/>
    <x v="0"/>
    <s v="Mobile"/>
    <x v="8"/>
    <n v="60000"/>
    <n v="45000"/>
    <n v="6"/>
  </r>
  <r>
    <n v="1019"/>
    <x v="18"/>
    <x v="2"/>
    <x v="2"/>
    <x v="2"/>
    <s v="Printer"/>
    <x v="9"/>
    <n v="34000"/>
    <n v="26000"/>
    <n v="3"/>
  </r>
  <r>
    <n v="1020"/>
    <x v="19"/>
    <x v="3"/>
    <x v="3"/>
    <x v="1"/>
    <s v="Table"/>
    <x v="9"/>
    <n v="46000"/>
    <n v="33000"/>
    <n v="5"/>
  </r>
  <r>
    <n v="1021"/>
    <x v="20"/>
    <x v="0"/>
    <x v="0"/>
    <x v="0"/>
    <s v="Laptop"/>
    <x v="10"/>
    <n v="102000"/>
    <n v="82000"/>
    <n v="2"/>
  </r>
  <r>
    <n v="1022"/>
    <x v="21"/>
    <x v="1"/>
    <x v="1"/>
    <x v="1"/>
    <s v="Chair"/>
    <x v="10"/>
    <n v="24000"/>
    <n v="17000"/>
    <n v="7"/>
  </r>
  <r>
    <n v="1023"/>
    <x v="22"/>
    <x v="2"/>
    <x v="2"/>
    <x v="0"/>
    <s v="Mobile"/>
    <x v="11"/>
    <n v="65000"/>
    <n v="47000"/>
    <n v="5"/>
  </r>
  <r>
    <n v="1024"/>
    <x v="23"/>
    <x v="3"/>
    <x v="3"/>
    <x v="2"/>
    <s v="Printer"/>
    <x v="11"/>
    <n v="36000"/>
    <n v="2700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265EEB-ACA6-4903-B85F-B5D0CD7C701B}"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Category">
  <location ref="A8:C12" firstHeaderRow="0" firstDataRow="1" firstDataCol="1"/>
  <pivotFields count="12">
    <pivotField showAll="0"/>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2"/>
        <item x="3"/>
        <item x="1"/>
        <item t="default"/>
      </items>
    </pivotField>
    <pivotField showAll="0">
      <items count="5">
        <item x="0"/>
        <item x="3"/>
        <item x="2"/>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17">
        <item x="0"/>
        <item x="1"/>
        <item x="2"/>
        <item x="3"/>
        <item x="4"/>
        <item x="5"/>
        <item x="6"/>
        <item x="7"/>
        <item x="8"/>
        <item x="9"/>
        <item x="10"/>
        <item x="11"/>
        <item f="1" x="12"/>
        <item f="1" x="13"/>
        <item f="1" x="14"/>
        <item f="1" x="15"/>
        <item t="default"/>
      </items>
    </pivotField>
    <pivotField dataField="1" showAll="0"/>
    <pivotField showAll="0"/>
    <pivotField showAll="0"/>
    <pivotField dataField="1" dragToRow="0" dragToCol="0" dragToPage="0" showAll="0" defaultSubtotal="0"/>
    <pivotField dragToRow="0" dragToCol="0" dragToPage="0" showAll="0" defaultSubtotal="0"/>
  </pivotFields>
  <rowFields count="1">
    <field x="4"/>
  </rowFields>
  <rowItems count="4">
    <i>
      <x/>
    </i>
    <i>
      <x v="1"/>
    </i>
    <i>
      <x v="2"/>
    </i>
    <i t="grand">
      <x/>
    </i>
  </rowItems>
  <colFields count="1">
    <field x="-2"/>
  </colFields>
  <colItems count="2">
    <i>
      <x/>
    </i>
    <i i="1">
      <x v="1"/>
    </i>
  </colItems>
  <dataFields count="2">
    <dataField name="Total Sales" fld="7" baseField="4" baseItem="2" numFmtId="166"/>
    <dataField name="Total Profit" fld="10" baseField="4" baseItem="0" numFmtId="166"/>
  </dataFields>
  <formats count="17">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grandRow="1" outline="0" fieldPosition="0"/>
    </format>
    <format dxfId="16">
      <pivotArea dataOnly="0" labelOnly="1" outline="0" axis="axisValues" fieldPosition="0"/>
    </format>
    <format dxfId="15">
      <pivotArea collapsedLevelsAreSubtotals="1" fieldPosition="0">
        <references count="1">
          <reference field="4" count="0"/>
        </references>
      </pivotArea>
    </format>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fieldPosition="0">
        <references count="1">
          <reference field="4" count="0"/>
        </references>
      </pivotArea>
    </format>
    <format dxfId="10">
      <pivotArea dataOnly="0" labelOnly="1" grandRow="1" outline="0" fieldPosition="0"/>
    </format>
    <format dxfId="9">
      <pivotArea dataOnly="0" labelOnly="1" outline="0" axis="axisValues" fieldPosition="0"/>
    </format>
    <format dxfId="8">
      <pivotArea outline="0" fieldPosition="0">
        <references count="1">
          <reference field="4294967294" count="1">
            <x v="0"/>
          </reference>
        </references>
      </pivotArea>
    </format>
    <format dxfId="7">
      <pivotArea collapsedLevelsAreSubtotals="1" fieldPosition="0">
        <references count="2">
          <reference field="4294967294" count="1" selected="0">
            <x v="1"/>
          </reference>
          <reference field="4" count="0"/>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2">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3" id="{EB2ADE7D-F985-4C2F-816F-79436438EAD6}">
            <x14:pivotAreas count="1">
              <pivotArea type="data" collapsedLevelsAreSubtotals="1" fieldPosition="0">
                <references count="1">
                  <reference field="4" count="3">
                    <x v="0"/>
                    <x v="1"/>
                    <x v="2"/>
                  </reference>
                </references>
              </pivotArea>
            </x14:pivotAreas>
          </x14:conditionalFormat>
          <x14:conditionalFormat priority="4" id="{35E7D0AD-2215-4CC6-BBC8-A002F6455462}">
            <x14:pivotAreas count="1">
              <pivotArea type="data" collapsedLevelsAreSubtotals="1" fieldPosition="0">
                <references count="2">
                  <reference field="4294967294" count="1" selected="0">
                    <x v="1"/>
                  </reference>
                  <reference field="4" count="1">
                    <x v="0"/>
                  </reference>
                </references>
              </pivotArea>
            </x14:pivotAreas>
          </x14:conditionalFormat>
          <x14:conditionalFormat priority="7" id="{1A2FF24F-F533-4A6D-B5D3-FE54E59966DD}">
            <x14:pivotAreas count="1">
              <pivotArea type="data" collapsedLevelsAreSubtotals="1" fieldPosition="0">
                <references count="2">
                  <reference field="4294967294" count="1" selected="0">
                    <x v="0"/>
                  </reference>
                  <reference field="4" count="3">
                    <x v="0"/>
                    <x v="1"/>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5CBC7-8C9E-4E19-8892-CF642452B3CA}"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Region">
  <location ref="A1:B6" firstHeaderRow="1" firstDataRow="1" firstDataCol="1"/>
  <pivotFields count="12">
    <pivotField showAll="0"/>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showAll="0"/>
    <pivotField showAll="0">
      <items count="17">
        <item x="0"/>
        <item x="1"/>
        <item x="2"/>
        <item x="3"/>
        <item x="4"/>
        <item x="5"/>
        <item x="6"/>
        <item x="7"/>
        <item x="8"/>
        <item x="9"/>
        <item x="10"/>
        <item x="11"/>
        <item f="1" x="12"/>
        <item f="1" x="13"/>
        <item f="1" x="14"/>
        <item f="1" x="15"/>
        <item t="default"/>
      </items>
    </pivotField>
    <pivotField dataField="1" showAll="0"/>
    <pivotField showAll="0"/>
    <pivotField showAl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Total Sales" fld="7" baseField="2" baseItem="0" numFmtId="166"/>
  </dataFields>
  <formats count="16">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dataOnly="0" labelOnly="1" outline="0" axis="axisValues" fieldPosition="0"/>
    </format>
    <format dxfId="29">
      <pivotArea collapsedLevelsAreSubtotals="1" fieldPosition="0">
        <references count="1">
          <reference field="2" count="0"/>
        </references>
      </pivotArea>
    </format>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outline="0" axis="axisValues" fieldPosition="0"/>
    </format>
    <format dxfId="22">
      <pivotArea outline="0" fieldPosition="0">
        <references count="1">
          <reference field="4294967294" count="1">
            <x v="0"/>
          </reference>
        </references>
      </pivotArea>
    </format>
    <format dxfId="6">
      <pivotArea collapsedLevelsAreSubtotals="1" fieldPosition="0">
        <references count="1">
          <reference field="2" count="1">
            <x v="0"/>
          </reference>
        </references>
      </pivotArea>
    </format>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8" id="{51083062-ED85-474D-B3D8-CF3B14E0F675}">
            <x14:pivotAreas count="1">
              <pivotArea type="data" collapsedLevelsAreSubtotals="1" fieldPosition="0">
                <references count="2">
                  <reference field="4294967294" count="1" selected="0">
                    <x v="0"/>
                  </reference>
                  <reference field="2" count="4">
                    <x v="0"/>
                    <x v="1"/>
                    <x v="2"/>
                    <x v="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83BE1B-9B54-4FE8-A90F-2C226FCCE725}"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Quarter">
  <location ref="A35:B40" firstHeaderRow="1" firstDataRow="1" firstDataCol="1"/>
  <pivotFields count="12">
    <pivotField showAll="0"/>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2"/>
        <item x="3"/>
        <item x="1"/>
        <item t="default"/>
      </items>
    </pivotField>
    <pivotField showAll="0">
      <items count="5">
        <item x="0"/>
        <item x="3"/>
        <item x="2"/>
        <item x="1"/>
        <item t="default"/>
      </items>
    </pivotField>
    <pivotField showAll="0"/>
    <pivotField showAll="0"/>
    <pivotField axis="axisRow" showAll="0" sortType="descending">
      <items count="17">
        <item h="1" x="0"/>
        <item h="1" x="1"/>
        <item h="1" x="2"/>
        <item h="1" x="3"/>
        <item h="1" x="4"/>
        <item h="1" x="5"/>
        <item h="1" x="6"/>
        <item h="1" x="7"/>
        <item h="1" x="8"/>
        <item h="1" x="9"/>
        <item h="1" x="10"/>
        <item h="1" x="11"/>
        <item f="1" x="12"/>
        <item f="1" x="13"/>
        <item f="1" x="14"/>
        <item f="1" x="1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ragToRow="0" dragToCol="0" dragToPage="0" showAll="0" defaultSubtotal="0"/>
    <pivotField dragToRow="0" dragToCol="0" dragToPage="0" showAll="0" defaultSubtotal="0"/>
  </pivotFields>
  <rowFields count="1">
    <field x="6"/>
  </rowFields>
  <rowItems count="5">
    <i>
      <x v="14"/>
    </i>
    <i>
      <x v="15"/>
    </i>
    <i>
      <x v="12"/>
    </i>
    <i>
      <x v="13"/>
    </i>
    <i t="grand">
      <x/>
    </i>
  </rowItems>
  <colItems count="1">
    <i/>
  </colItems>
  <dataFields count="1">
    <dataField name="Total Sales" fld="7" baseField="6" baseItem="14" numFmtId="166"/>
  </dataFields>
  <formats count="7">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outline="0" axis="axisValues" fieldPosition="0"/>
    </format>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F8647BF5-1D3B-4564-89E1-D09C5911B880}">
            <x14:pivotAreas count="1">
              <pivotArea type="data" collapsedLevelsAreSubtotals="1" fieldPosition="0">
                <references count="2">
                  <reference field="4294967294" count="1" selected="0">
                    <x v="0"/>
                  </reference>
                  <reference field="6" count="4">
                    <x v="12"/>
                    <x v="13"/>
                    <x v="14"/>
                    <x v="15"/>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CE967D-D95A-4DBC-A5E4-A9EF0F44BFEF}"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Sales Person">
  <location ref="A28:B33" firstHeaderRow="1" firstDataRow="1" firstDataCol="1"/>
  <pivotFields count="12">
    <pivotField showAll="0"/>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2"/>
        <item x="3"/>
        <item x="1"/>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7">
        <item x="0"/>
        <item x="1"/>
        <item x="2"/>
        <item x="3"/>
        <item x="4"/>
        <item x="5"/>
        <item x="6"/>
        <item x="7"/>
        <item x="8"/>
        <item x="9"/>
        <item x="10"/>
        <item x="11"/>
        <item f="1" x="12"/>
        <item f="1" x="13"/>
        <item f="1" x="14"/>
        <item f="1" x="15"/>
        <item t="default"/>
      </items>
    </pivotField>
    <pivotField showAll="0"/>
    <pivotField showAll="0"/>
    <pivotField showAll="0"/>
    <pivotField dragToRow="0" dragToCol="0" dragToPage="0" showAll="0" defaultSubtotal="0"/>
    <pivotField dataField="1" dragToRow="0" dragToCol="0" dragToPage="0" showAll="0" defaultSubtotal="0"/>
  </pivotFields>
  <rowFields count="1">
    <field x="3"/>
  </rowFields>
  <rowItems count="5">
    <i>
      <x v="2"/>
    </i>
    <i>
      <x v="1"/>
    </i>
    <i>
      <x v="3"/>
    </i>
    <i>
      <x/>
    </i>
    <i t="grand">
      <x/>
    </i>
  </rowItems>
  <colItems count="1">
    <i/>
  </colItems>
  <dataFields count="1">
    <dataField name="Profit % Margin" fld="11" baseField="3" baseItem="0" numFmtId="9"/>
  </dataFields>
  <formats count="6">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grandRow="1" outline="0" fieldPosition="0"/>
    </format>
    <format dxfId="4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2" id="{4597C418-0677-45ED-ADEA-7AB7A5525146}">
            <x14:pivotAreas count="1">
              <pivotArea type="data" collapsedLevelsAreSubtotals="1" fieldPosition="0">
                <references count="2">
                  <reference field="4294967294" count="1" selected="0">
                    <x v="0"/>
                  </reference>
                  <reference field="3" count="4">
                    <x v="0"/>
                    <x v="1"/>
                    <x v="2"/>
                    <x v="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D38755-4D4D-42A3-BC1D-EF7DDAF92EEB}"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Sals Person">
  <location ref="A21:B26" firstHeaderRow="1" firstDataRow="1" firstDataCol="1"/>
  <pivotFields count="12">
    <pivotField showAll="0"/>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2"/>
        <item x="3"/>
        <item x="1"/>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7">
        <item x="0"/>
        <item x="1"/>
        <item x="2"/>
        <item x="3"/>
        <item x="4"/>
        <item x="5"/>
        <item x="6"/>
        <item x="7"/>
        <item x="8"/>
        <item x="9"/>
        <item x="10"/>
        <item x="11"/>
        <item f="1" x="12"/>
        <item f="1" x="13"/>
        <item f="1" x="14"/>
        <item f="1" x="15"/>
        <item t="default"/>
      </items>
    </pivotField>
    <pivotField showAll="0"/>
    <pivotField showAll="0"/>
    <pivotField showAll="0"/>
    <pivotField dataField="1" dragToRow="0" dragToCol="0" dragToPage="0" showAll="0" defaultSubtotal="0"/>
    <pivotField dragToRow="0" dragToCol="0" dragToPage="0" showAll="0" defaultSubtotal="0"/>
  </pivotFields>
  <rowFields count="1">
    <field x="3"/>
  </rowFields>
  <rowItems count="5">
    <i>
      <x v="2"/>
    </i>
    <i>
      <x/>
    </i>
    <i>
      <x v="1"/>
    </i>
    <i>
      <x v="3"/>
    </i>
    <i t="grand">
      <x/>
    </i>
  </rowItems>
  <colItems count="1">
    <i/>
  </colItems>
  <dataFields count="1">
    <dataField name="Total Profit" fld="10" baseField="3" baseItem="0" numFmtId="166"/>
  </dataFields>
  <formats count="7">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grandRow="1" outline="0" fieldPosition="0"/>
    </format>
    <format dxfId="48">
      <pivotArea dataOnly="0" labelOnly="1" outline="0" axis="axisValues" fieldPosition="0"/>
    </format>
    <format dxfId="1">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5" id="{233C8A59-B688-41D9-82C9-6A91C199BC08}">
            <x14:pivotAreas count="1">
              <pivotArea type="data" collapsedLevelsAreSubtotals="1" fieldPosition="0">
                <references count="2">
                  <reference field="4294967294" count="1" selected="0">
                    <x v="0"/>
                  </reference>
                  <reference field="3" count="4">
                    <x v="0"/>
                    <x v="1"/>
                    <x v="2"/>
                    <x v="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742AB6-953F-424F-A36A-92D9FEE5FC83}"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Region">
  <location ref="A14:B19" firstHeaderRow="1" firstDataRow="1" firstDataCol="1"/>
  <pivotFields count="12">
    <pivotField showAll="0"/>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showAll="0"/>
    <pivotField showAll="0">
      <items count="17">
        <item x="0"/>
        <item x="1"/>
        <item x="2"/>
        <item x="3"/>
        <item x="4"/>
        <item x="5"/>
        <item x="6"/>
        <item x="7"/>
        <item x="8"/>
        <item x="9"/>
        <item x="10"/>
        <item x="11"/>
        <item f="1" x="12"/>
        <item f="1" x="13"/>
        <item f="1" x="14"/>
        <item f="1" x="15"/>
        <item t="default"/>
      </items>
    </pivotField>
    <pivotField showAll="0"/>
    <pivotField showAll="0"/>
    <pivotField showAll="0"/>
    <pivotField dataField="1" dragToRow="0" dragToCol="0" dragToPage="0" showAll="0" defaultSubtotal="0"/>
    <pivotField dragToRow="0" dragToCol="0" dragToPage="0" showAll="0" defaultSubtotal="0"/>
  </pivotFields>
  <rowFields count="1">
    <field x="2"/>
  </rowFields>
  <rowItems count="5">
    <i>
      <x v="1"/>
    </i>
    <i>
      <x/>
    </i>
    <i>
      <x v="2"/>
    </i>
    <i>
      <x v="3"/>
    </i>
    <i t="grand">
      <x/>
    </i>
  </rowItems>
  <colItems count="1">
    <i/>
  </colItems>
  <dataFields count="1">
    <dataField name="Total Profit" fld="10" baseField="2" baseItem="0" numFmtId="166"/>
  </dataFields>
  <formats count="7">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outline="0" axis="axisValues" fieldPosition="0"/>
    </format>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6" id="{ED31DC93-0F96-4839-AF09-1E9B4DCC8C7D}">
            <x14:pivotAreas count="1">
              <pivotArea type="data" collapsedLevelsAreSubtotals="1" fieldPosition="0">
                <references count="2">
                  <reference field="4294967294" count="1" selected="0">
                    <x v="0"/>
                  </reference>
                  <reference field="2" count="4">
                    <x v="0"/>
                    <x v="1"/>
                    <x v="2"/>
                    <x v="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C0E0BC-B10A-45A4-98B4-34A5A02EBDF3}" sourceName="Region">
  <pivotTables>
    <pivotTable tabId="4" name="PivotTable2"/>
    <pivotTable tabId="4" name="PivotTable1"/>
    <pivotTable tabId="4" name="PivotTable3"/>
    <pivotTable tabId="4" name="PivotTable4"/>
    <pivotTable tabId="4" name="PivotTable5"/>
    <pivotTable tabId="4" name="PivotTable6"/>
  </pivotTables>
  <data>
    <tabular pivotCacheId="871924256">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F2B0D0A-62C9-4504-8ACA-75F9C69DE7C8}" sourceName="Salesperson">
  <pivotTables>
    <pivotTable tabId="4" name="PivotTable2"/>
    <pivotTable tabId="4" name="PivotTable1"/>
    <pivotTable tabId="4" name="PivotTable3"/>
    <pivotTable tabId="4" name="PivotTable4"/>
    <pivotTable tabId="4" name="PivotTable5"/>
    <pivotTable tabId="4" name="PivotTable6"/>
  </pivotTables>
  <data>
    <tabular pivotCacheId="87192425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D14988-419A-4621-A49C-C975FDC073A2}" cache="Slicer_Region" caption="Region" columnCount="4" style="SlicerStyleDark5" rowHeight="432000"/>
  <slicer name="Salesperson" xr10:uid="{66BA1197-BE44-455F-96AA-32334420A2B4}" cache="Slicer_Salesperson" caption="Salesperson" columnCount="4" style="SlicerStyleDark5"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DACBD6F-2792-4A27-8294-2458F12D30E1}" sourceName="Date">
  <pivotTables>
    <pivotTable tabId="4" name="PivotTable2"/>
    <pivotTable tabId="4" name="PivotTable1"/>
    <pivotTable tabId="4" name="PivotTable3"/>
    <pivotTable tabId="4" name="PivotTable4"/>
    <pivotTable tabId="4" name="PivotTable5"/>
    <pivotTable tabId="4" name="PivotTable6"/>
  </pivotTables>
  <state minimalRefreshVersion="6" lastRefreshVersion="6" pivotCacheId="87192425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4DEEC3C-6CFC-4B29-AE6C-EB2261E7F706}"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3BF1-2E93-42EA-98FE-D691B80BC6CD}">
  <dimension ref="A1:J25"/>
  <sheetViews>
    <sheetView tabSelected="1" zoomScale="130" zoomScaleNormal="130" workbookViewId="0">
      <selection activeCell="P17" sqref="P17"/>
    </sheetView>
  </sheetViews>
  <sheetFormatPr defaultRowHeight="14.4" x14ac:dyDescent="0.3"/>
  <cols>
    <col min="1" max="1" width="8.21875" bestFit="1" customWidth="1"/>
    <col min="2" max="2" width="10.109375" bestFit="1" customWidth="1"/>
    <col min="3" max="3" width="6.77734375" bestFit="1" customWidth="1"/>
    <col min="4" max="4" width="11.21875" bestFit="1" customWidth="1"/>
    <col min="5" max="5" width="13.21875" bestFit="1" customWidth="1"/>
    <col min="6" max="6" width="7.6640625" bestFit="1" customWidth="1"/>
    <col min="7" max="7" width="6.77734375" bestFit="1" customWidth="1"/>
    <col min="8" max="8" width="7.33203125" bestFit="1" customWidth="1"/>
    <col min="9" max="9" width="6.33203125" bestFit="1" customWidth="1"/>
    <col min="10" max="10" width="8.44140625" bestFit="1" customWidth="1"/>
    <col min="11" max="11" width="5.44140625" bestFit="1" customWidth="1"/>
    <col min="12" max="12" width="6.33203125" bestFit="1" customWidth="1"/>
  </cols>
  <sheetData>
    <row r="1" spans="1:10" x14ac:dyDescent="0.3">
      <c r="A1" s="1" t="s">
        <v>0</v>
      </c>
      <c r="B1" s="1" t="s">
        <v>1</v>
      </c>
      <c r="C1" s="1" t="s">
        <v>2</v>
      </c>
      <c r="D1" s="1" t="s">
        <v>3</v>
      </c>
      <c r="E1" s="1" t="s">
        <v>4</v>
      </c>
      <c r="F1" s="1" t="s">
        <v>5</v>
      </c>
      <c r="G1" s="1" t="s">
        <v>6</v>
      </c>
      <c r="H1" s="1" t="s">
        <v>8</v>
      </c>
      <c r="I1" s="1" t="s">
        <v>9</v>
      </c>
      <c r="J1" s="1" t="s">
        <v>32</v>
      </c>
    </row>
    <row r="2" spans="1:10" x14ac:dyDescent="0.3">
      <c r="A2" s="2">
        <v>1001</v>
      </c>
      <c r="B2" s="3">
        <v>45659</v>
      </c>
      <c r="C2" s="2" t="s">
        <v>10</v>
      </c>
      <c r="D2" s="2" t="s">
        <v>33</v>
      </c>
      <c r="E2" s="2" t="s">
        <v>12</v>
      </c>
      <c r="F2" s="2" t="s">
        <v>13</v>
      </c>
      <c r="G2" s="2" t="s">
        <v>14</v>
      </c>
      <c r="H2" s="2">
        <v>85000</v>
      </c>
      <c r="I2" s="2">
        <v>70000</v>
      </c>
      <c r="J2" s="2">
        <v>2</v>
      </c>
    </row>
    <row r="3" spans="1:10" x14ac:dyDescent="0.3">
      <c r="A3" s="2">
        <v>1002</v>
      </c>
      <c r="B3" s="3">
        <v>45662</v>
      </c>
      <c r="C3" s="2" t="s">
        <v>16</v>
      </c>
      <c r="D3" s="2" t="s">
        <v>11</v>
      </c>
      <c r="E3" s="2" t="s">
        <v>17</v>
      </c>
      <c r="F3" s="2" t="s">
        <v>18</v>
      </c>
      <c r="G3" s="2" t="s">
        <v>14</v>
      </c>
      <c r="H3" s="2">
        <v>15000</v>
      </c>
      <c r="I3" s="2">
        <v>10000</v>
      </c>
      <c r="J3" s="2">
        <v>5</v>
      </c>
    </row>
    <row r="4" spans="1:10" x14ac:dyDescent="0.3">
      <c r="A4" s="2">
        <v>1003</v>
      </c>
      <c r="B4" s="3">
        <v>45696</v>
      </c>
      <c r="C4" s="2" t="s">
        <v>19</v>
      </c>
      <c r="D4" s="2" t="s">
        <v>34</v>
      </c>
      <c r="E4" s="2" t="s">
        <v>12</v>
      </c>
      <c r="F4" s="2" t="s">
        <v>23</v>
      </c>
      <c r="G4" s="2" t="s">
        <v>25</v>
      </c>
      <c r="H4" s="2">
        <v>45000</v>
      </c>
      <c r="I4" s="2">
        <v>32000</v>
      </c>
      <c r="J4" s="2">
        <v>4</v>
      </c>
    </row>
    <row r="5" spans="1:10" x14ac:dyDescent="0.3">
      <c r="A5" s="2">
        <v>1004</v>
      </c>
      <c r="B5" s="3">
        <v>45698</v>
      </c>
      <c r="C5" s="2" t="s">
        <v>22</v>
      </c>
      <c r="D5" s="2" t="s">
        <v>35</v>
      </c>
      <c r="E5" s="2" t="s">
        <v>20</v>
      </c>
      <c r="F5" s="2" t="s">
        <v>21</v>
      </c>
      <c r="G5" s="2" t="s">
        <v>25</v>
      </c>
      <c r="H5" s="2">
        <v>28000</v>
      </c>
      <c r="I5" s="2">
        <v>22000</v>
      </c>
      <c r="J5" s="2">
        <v>2</v>
      </c>
    </row>
    <row r="6" spans="1:10" x14ac:dyDescent="0.3">
      <c r="A6" s="2">
        <v>1005</v>
      </c>
      <c r="B6" s="3">
        <v>45734</v>
      </c>
      <c r="C6" s="2" t="s">
        <v>10</v>
      </c>
      <c r="D6" s="2" t="s">
        <v>33</v>
      </c>
      <c r="E6" s="2" t="s">
        <v>17</v>
      </c>
      <c r="F6" s="2" t="s">
        <v>24</v>
      </c>
      <c r="G6" s="2" t="s">
        <v>26</v>
      </c>
      <c r="H6" s="2">
        <v>35000</v>
      </c>
      <c r="I6" s="2">
        <v>25000</v>
      </c>
      <c r="J6" s="2">
        <v>3</v>
      </c>
    </row>
    <row r="7" spans="1:10" x14ac:dyDescent="0.3">
      <c r="A7" s="2">
        <v>1006</v>
      </c>
      <c r="B7" s="3">
        <v>45738</v>
      </c>
      <c r="C7" s="2" t="s">
        <v>16</v>
      </c>
      <c r="D7" s="2" t="s">
        <v>11</v>
      </c>
      <c r="E7" s="2" t="s">
        <v>12</v>
      </c>
      <c r="F7" s="2" t="s">
        <v>13</v>
      </c>
      <c r="G7" s="2" t="s">
        <v>26</v>
      </c>
      <c r="H7" s="2">
        <v>90000</v>
      </c>
      <c r="I7" s="2">
        <v>75000</v>
      </c>
      <c r="J7" s="2">
        <v>2</v>
      </c>
    </row>
    <row r="8" spans="1:10" x14ac:dyDescent="0.3">
      <c r="A8" s="2">
        <v>1007</v>
      </c>
      <c r="B8" s="3">
        <v>45749</v>
      </c>
      <c r="C8" s="2" t="s">
        <v>19</v>
      </c>
      <c r="D8" s="2" t="s">
        <v>34</v>
      </c>
      <c r="E8" s="2" t="s">
        <v>17</v>
      </c>
      <c r="F8" s="2" t="s">
        <v>18</v>
      </c>
      <c r="G8" s="2" t="s">
        <v>27</v>
      </c>
      <c r="H8" s="2">
        <v>18000</v>
      </c>
      <c r="I8" s="2">
        <v>12000</v>
      </c>
      <c r="J8" s="2">
        <v>6</v>
      </c>
    </row>
    <row r="9" spans="1:10" x14ac:dyDescent="0.3">
      <c r="A9" s="2">
        <v>1008</v>
      </c>
      <c r="B9" s="3">
        <v>45755</v>
      </c>
      <c r="C9" s="2" t="s">
        <v>22</v>
      </c>
      <c r="D9" s="2" t="s">
        <v>35</v>
      </c>
      <c r="E9" s="2" t="s">
        <v>12</v>
      </c>
      <c r="F9" s="2" t="s">
        <v>23</v>
      </c>
      <c r="G9" s="2" t="s">
        <v>27</v>
      </c>
      <c r="H9" s="2">
        <v>50000</v>
      </c>
      <c r="I9" s="2">
        <v>36000</v>
      </c>
      <c r="J9" s="2">
        <v>5</v>
      </c>
    </row>
    <row r="10" spans="1:10" x14ac:dyDescent="0.3">
      <c r="A10" s="2">
        <v>1009</v>
      </c>
      <c r="B10" s="3">
        <v>45791</v>
      </c>
      <c r="C10" s="2" t="s">
        <v>10</v>
      </c>
      <c r="D10" s="2" t="s">
        <v>33</v>
      </c>
      <c r="E10" s="2" t="s">
        <v>20</v>
      </c>
      <c r="F10" s="2" t="s">
        <v>21</v>
      </c>
      <c r="G10" s="2" t="s">
        <v>29</v>
      </c>
      <c r="H10" s="2">
        <v>32000</v>
      </c>
      <c r="I10" s="2">
        <v>25000</v>
      </c>
      <c r="J10" s="2">
        <v>3</v>
      </c>
    </row>
    <row r="11" spans="1:10" x14ac:dyDescent="0.3">
      <c r="A11" s="2">
        <v>1010</v>
      </c>
      <c r="B11" s="3">
        <v>45795</v>
      </c>
      <c r="C11" s="2" t="s">
        <v>16</v>
      </c>
      <c r="D11" s="2" t="s">
        <v>11</v>
      </c>
      <c r="E11" s="2" t="s">
        <v>17</v>
      </c>
      <c r="F11" s="2" t="s">
        <v>24</v>
      </c>
      <c r="G11" s="2" t="s">
        <v>29</v>
      </c>
      <c r="H11" s="2">
        <v>38000</v>
      </c>
      <c r="I11" s="2">
        <v>28000</v>
      </c>
      <c r="J11" s="2">
        <v>4</v>
      </c>
    </row>
    <row r="12" spans="1:10" x14ac:dyDescent="0.3">
      <c r="A12" s="2">
        <v>1011</v>
      </c>
      <c r="B12" s="3">
        <v>45813</v>
      </c>
      <c r="C12" s="2" t="s">
        <v>19</v>
      </c>
      <c r="D12" s="2" t="s">
        <v>34</v>
      </c>
      <c r="E12" s="2" t="s">
        <v>12</v>
      </c>
      <c r="F12" s="2" t="s">
        <v>13</v>
      </c>
      <c r="G12" s="2" t="s">
        <v>36</v>
      </c>
      <c r="H12" s="2">
        <v>95000</v>
      </c>
      <c r="I12" s="2">
        <v>76000</v>
      </c>
      <c r="J12" s="2">
        <v>2</v>
      </c>
    </row>
    <row r="13" spans="1:10" x14ac:dyDescent="0.3">
      <c r="A13" s="2">
        <v>1012</v>
      </c>
      <c r="B13" s="3">
        <v>45823</v>
      </c>
      <c r="C13" s="2" t="s">
        <v>22</v>
      </c>
      <c r="D13" s="2" t="s">
        <v>35</v>
      </c>
      <c r="E13" s="2" t="s">
        <v>17</v>
      </c>
      <c r="F13" s="2" t="s">
        <v>18</v>
      </c>
      <c r="G13" s="2" t="s">
        <v>36</v>
      </c>
      <c r="H13" s="2">
        <v>20000</v>
      </c>
      <c r="I13" s="2">
        <v>14000</v>
      </c>
      <c r="J13" s="2">
        <v>7</v>
      </c>
    </row>
    <row r="14" spans="1:10" x14ac:dyDescent="0.3">
      <c r="A14" s="2">
        <v>1013</v>
      </c>
      <c r="B14" s="3">
        <v>45842</v>
      </c>
      <c r="C14" s="2" t="s">
        <v>10</v>
      </c>
      <c r="D14" s="2" t="s">
        <v>33</v>
      </c>
      <c r="E14" s="2" t="s">
        <v>12</v>
      </c>
      <c r="F14" s="2" t="s">
        <v>23</v>
      </c>
      <c r="G14" s="2" t="s">
        <v>37</v>
      </c>
      <c r="H14" s="2">
        <v>55000</v>
      </c>
      <c r="I14" s="2">
        <v>40000</v>
      </c>
      <c r="J14" s="2">
        <v>5</v>
      </c>
    </row>
    <row r="15" spans="1:10" x14ac:dyDescent="0.3">
      <c r="A15" s="2">
        <v>1014</v>
      </c>
      <c r="B15" s="3">
        <v>45850</v>
      </c>
      <c r="C15" s="2" t="s">
        <v>16</v>
      </c>
      <c r="D15" s="2" t="s">
        <v>11</v>
      </c>
      <c r="E15" s="2" t="s">
        <v>20</v>
      </c>
      <c r="F15" s="2" t="s">
        <v>21</v>
      </c>
      <c r="G15" s="2" t="s">
        <v>37</v>
      </c>
      <c r="H15" s="2">
        <v>31000</v>
      </c>
      <c r="I15" s="2">
        <v>24000</v>
      </c>
      <c r="J15" s="2">
        <v>2</v>
      </c>
    </row>
    <row r="16" spans="1:10" x14ac:dyDescent="0.3">
      <c r="A16" s="2">
        <v>1015</v>
      </c>
      <c r="B16" s="3">
        <v>45887</v>
      </c>
      <c r="C16" s="2" t="s">
        <v>19</v>
      </c>
      <c r="D16" s="2" t="s">
        <v>34</v>
      </c>
      <c r="E16" s="2" t="s">
        <v>17</v>
      </c>
      <c r="F16" s="2" t="s">
        <v>24</v>
      </c>
      <c r="G16" s="2" t="s">
        <v>38</v>
      </c>
      <c r="H16" s="2">
        <v>42000</v>
      </c>
      <c r="I16" s="2">
        <v>30000</v>
      </c>
      <c r="J16" s="2">
        <v>4</v>
      </c>
    </row>
    <row r="17" spans="1:10" x14ac:dyDescent="0.3">
      <c r="A17" s="2">
        <v>1016</v>
      </c>
      <c r="B17" s="3">
        <v>45894</v>
      </c>
      <c r="C17" s="2" t="s">
        <v>22</v>
      </c>
      <c r="D17" s="2" t="s">
        <v>35</v>
      </c>
      <c r="E17" s="2" t="s">
        <v>12</v>
      </c>
      <c r="F17" s="2" t="s">
        <v>13</v>
      </c>
      <c r="G17" s="2" t="s">
        <v>38</v>
      </c>
      <c r="H17" s="2">
        <v>98000</v>
      </c>
      <c r="I17" s="2">
        <v>79000</v>
      </c>
      <c r="J17" s="2">
        <v>2</v>
      </c>
    </row>
    <row r="18" spans="1:10" x14ac:dyDescent="0.3">
      <c r="A18" s="2">
        <v>1017</v>
      </c>
      <c r="B18" s="3">
        <v>45906</v>
      </c>
      <c r="C18" s="2" t="s">
        <v>10</v>
      </c>
      <c r="D18" s="2" t="s">
        <v>33</v>
      </c>
      <c r="E18" s="2" t="s">
        <v>17</v>
      </c>
      <c r="F18" s="2" t="s">
        <v>18</v>
      </c>
      <c r="G18" s="2" t="s">
        <v>39</v>
      </c>
      <c r="H18" s="2">
        <v>22000</v>
      </c>
      <c r="I18" s="2">
        <v>15000</v>
      </c>
      <c r="J18" s="2">
        <v>8</v>
      </c>
    </row>
    <row r="19" spans="1:10" x14ac:dyDescent="0.3">
      <c r="A19" s="2">
        <v>1018</v>
      </c>
      <c r="B19" s="3">
        <v>45914</v>
      </c>
      <c r="C19" s="2" t="s">
        <v>16</v>
      </c>
      <c r="D19" s="2" t="s">
        <v>11</v>
      </c>
      <c r="E19" s="2" t="s">
        <v>12</v>
      </c>
      <c r="F19" s="2" t="s">
        <v>23</v>
      </c>
      <c r="G19" s="2" t="s">
        <v>39</v>
      </c>
      <c r="H19" s="2">
        <v>60000</v>
      </c>
      <c r="I19" s="2">
        <v>45000</v>
      </c>
      <c r="J19" s="2">
        <v>6</v>
      </c>
    </row>
    <row r="20" spans="1:10" x14ac:dyDescent="0.3">
      <c r="A20" s="2">
        <v>1019</v>
      </c>
      <c r="B20" s="3">
        <v>45933</v>
      </c>
      <c r="C20" s="2" t="s">
        <v>19</v>
      </c>
      <c r="D20" s="2" t="s">
        <v>34</v>
      </c>
      <c r="E20" s="2" t="s">
        <v>20</v>
      </c>
      <c r="F20" s="2" t="s">
        <v>21</v>
      </c>
      <c r="G20" s="2" t="s">
        <v>40</v>
      </c>
      <c r="H20" s="2">
        <v>34000</v>
      </c>
      <c r="I20" s="2">
        <v>26000</v>
      </c>
      <c r="J20" s="2">
        <v>3</v>
      </c>
    </row>
    <row r="21" spans="1:10" x14ac:dyDescent="0.3">
      <c r="A21" s="2">
        <v>1020</v>
      </c>
      <c r="B21" s="3">
        <v>45951</v>
      </c>
      <c r="C21" s="2" t="s">
        <v>22</v>
      </c>
      <c r="D21" s="2" t="s">
        <v>35</v>
      </c>
      <c r="E21" s="2" t="s">
        <v>17</v>
      </c>
      <c r="F21" s="2" t="s">
        <v>24</v>
      </c>
      <c r="G21" s="2" t="s">
        <v>40</v>
      </c>
      <c r="H21" s="2">
        <v>46000</v>
      </c>
      <c r="I21" s="2">
        <v>33000</v>
      </c>
      <c r="J21" s="2">
        <v>5</v>
      </c>
    </row>
    <row r="22" spans="1:10" x14ac:dyDescent="0.3">
      <c r="A22" s="2">
        <v>1021</v>
      </c>
      <c r="B22" s="3">
        <v>45969</v>
      </c>
      <c r="C22" s="2" t="s">
        <v>10</v>
      </c>
      <c r="D22" s="2" t="s">
        <v>33</v>
      </c>
      <c r="E22" s="2" t="s">
        <v>12</v>
      </c>
      <c r="F22" s="2" t="s">
        <v>13</v>
      </c>
      <c r="G22" s="2" t="s">
        <v>41</v>
      </c>
      <c r="H22" s="2">
        <v>102000</v>
      </c>
      <c r="I22" s="2">
        <v>82000</v>
      </c>
      <c r="J22" s="2">
        <v>2</v>
      </c>
    </row>
    <row r="23" spans="1:10" x14ac:dyDescent="0.3">
      <c r="A23" s="2">
        <v>1022</v>
      </c>
      <c r="B23" s="3">
        <v>45977</v>
      </c>
      <c r="C23" s="2" t="s">
        <v>16</v>
      </c>
      <c r="D23" s="2" t="s">
        <v>11</v>
      </c>
      <c r="E23" s="2" t="s">
        <v>17</v>
      </c>
      <c r="F23" s="2" t="s">
        <v>18</v>
      </c>
      <c r="G23" s="2" t="s">
        <v>41</v>
      </c>
      <c r="H23" s="2">
        <v>24000</v>
      </c>
      <c r="I23" s="2">
        <v>17000</v>
      </c>
      <c r="J23" s="2">
        <v>7</v>
      </c>
    </row>
    <row r="24" spans="1:10" x14ac:dyDescent="0.3">
      <c r="A24" s="2">
        <v>1023</v>
      </c>
      <c r="B24" s="3">
        <v>45993</v>
      </c>
      <c r="C24" s="2" t="s">
        <v>19</v>
      </c>
      <c r="D24" s="2" t="s">
        <v>34</v>
      </c>
      <c r="E24" s="2" t="s">
        <v>12</v>
      </c>
      <c r="F24" s="2" t="s">
        <v>23</v>
      </c>
      <c r="G24" s="2" t="s">
        <v>42</v>
      </c>
      <c r="H24" s="2">
        <v>65000</v>
      </c>
      <c r="I24" s="2">
        <v>47000</v>
      </c>
      <c r="J24" s="2">
        <v>5</v>
      </c>
    </row>
    <row r="25" spans="1:10" x14ac:dyDescent="0.3">
      <c r="A25" s="2">
        <v>1024</v>
      </c>
      <c r="B25" s="3">
        <v>46009</v>
      </c>
      <c r="C25" s="2" t="s">
        <v>22</v>
      </c>
      <c r="D25" s="2" t="s">
        <v>35</v>
      </c>
      <c r="E25" s="2" t="s">
        <v>20</v>
      </c>
      <c r="F25" s="2" t="s">
        <v>21</v>
      </c>
      <c r="G25" s="2" t="s">
        <v>42</v>
      </c>
      <c r="H25" s="2">
        <v>36000</v>
      </c>
      <c r="I25" s="2">
        <v>27000</v>
      </c>
      <c r="J25" s="2">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9C-27C3-4711-B773-B8EFCA25D142}">
  <dimension ref="A1:F40"/>
  <sheetViews>
    <sheetView showGridLines="0" zoomScale="145" zoomScaleNormal="145" workbookViewId="0">
      <selection activeCell="B33" sqref="B33"/>
    </sheetView>
  </sheetViews>
  <sheetFormatPr defaultRowHeight="14.4" x14ac:dyDescent="0.3"/>
  <cols>
    <col min="1" max="1" width="10.77734375" style="8" bestFit="1" customWidth="1"/>
    <col min="2" max="3" width="14.44140625" style="8" bestFit="1" customWidth="1"/>
    <col min="4" max="4" width="14.109375" style="8" customWidth="1"/>
    <col min="5" max="5" width="13.21875" style="8" bestFit="1" customWidth="1"/>
    <col min="6" max="6" width="13.33203125" bestFit="1" customWidth="1"/>
  </cols>
  <sheetData>
    <row r="1" spans="1:6" x14ac:dyDescent="0.3">
      <c r="A1" s="4" t="s">
        <v>2</v>
      </c>
      <c r="B1" s="5" t="s">
        <v>31</v>
      </c>
    </row>
    <row r="2" spans="1:6" x14ac:dyDescent="0.3">
      <c r="A2" s="6" t="s">
        <v>10</v>
      </c>
      <c r="B2" s="15">
        <v>331000</v>
      </c>
    </row>
    <row r="3" spans="1:6" x14ac:dyDescent="0.3">
      <c r="A3" s="6" t="s">
        <v>19</v>
      </c>
      <c r="B3" s="15">
        <v>299000</v>
      </c>
      <c r="E3" s="9" t="s">
        <v>31</v>
      </c>
      <c r="F3" s="12">
        <f>GETPIVOTDATA("Sales",$A$1)</f>
        <v>1166000</v>
      </c>
    </row>
    <row r="4" spans="1:6" x14ac:dyDescent="0.3">
      <c r="A4" s="6" t="s">
        <v>22</v>
      </c>
      <c r="B4" s="15">
        <v>278000</v>
      </c>
      <c r="E4" s="9" t="s">
        <v>43</v>
      </c>
      <c r="F4" s="12">
        <f>GETPIVOTDATA("Total Profit",$A$8)</f>
        <v>276000</v>
      </c>
    </row>
    <row r="5" spans="1:6" x14ac:dyDescent="0.3">
      <c r="A5" s="6" t="s">
        <v>16</v>
      </c>
      <c r="B5" s="15">
        <v>258000</v>
      </c>
      <c r="E5" s="9" t="s">
        <v>49</v>
      </c>
      <c r="F5" s="13">
        <f>GETPIVOTDATA("Profit %",$A$28)</f>
        <v>0.23670668953687821</v>
      </c>
    </row>
    <row r="6" spans="1:6" x14ac:dyDescent="0.3">
      <c r="A6" s="6" t="s">
        <v>30</v>
      </c>
      <c r="B6" s="12">
        <v>1166000</v>
      </c>
      <c r="E6" s="9" t="s">
        <v>50</v>
      </c>
      <c r="F6" s="5">
        <f>COUNTA('RAW-DATA'!A2:A25)</f>
        <v>24</v>
      </c>
    </row>
    <row r="8" spans="1:6" x14ac:dyDescent="0.3">
      <c r="A8" s="4" t="s">
        <v>4</v>
      </c>
      <c r="B8" s="5" t="s">
        <v>31</v>
      </c>
      <c r="C8" s="5" t="s">
        <v>43</v>
      </c>
    </row>
    <row r="9" spans="1:6" x14ac:dyDescent="0.3">
      <c r="A9" s="6" t="s">
        <v>12</v>
      </c>
      <c r="B9" s="14">
        <v>745000</v>
      </c>
      <c r="C9" s="15">
        <v>163000</v>
      </c>
    </row>
    <row r="10" spans="1:6" x14ac:dyDescent="0.3">
      <c r="A10" s="6" t="s">
        <v>17</v>
      </c>
      <c r="B10" s="14">
        <v>260000</v>
      </c>
      <c r="C10" s="15">
        <v>76000</v>
      </c>
    </row>
    <row r="11" spans="1:6" x14ac:dyDescent="0.3">
      <c r="A11" s="6" t="s">
        <v>20</v>
      </c>
      <c r="B11" s="14">
        <v>161000</v>
      </c>
      <c r="C11" s="15">
        <v>37000</v>
      </c>
    </row>
    <row r="12" spans="1:6" x14ac:dyDescent="0.3">
      <c r="A12" s="6" t="s">
        <v>30</v>
      </c>
      <c r="B12" s="12">
        <v>1166000</v>
      </c>
      <c r="C12" s="12">
        <v>276000</v>
      </c>
    </row>
    <row r="14" spans="1:6" x14ac:dyDescent="0.3">
      <c r="A14" s="4" t="s">
        <v>2</v>
      </c>
      <c r="B14" s="5" t="s">
        <v>43</v>
      </c>
    </row>
    <row r="15" spans="1:6" x14ac:dyDescent="0.3">
      <c r="A15" s="6" t="s">
        <v>19</v>
      </c>
      <c r="B15" s="12">
        <v>76000</v>
      </c>
    </row>
    <row r="16" spans="1:6" x14ac:dyDescent="0.3">
      <c r="A16" s="6" t="s">
        <v>10</v>
      </c>
      <c r="B16" s="12">
        <v>74000</v>
      </c>
    </row>
    <row r="17" spans="1:2" x14ac:dyDescent="0.3">
      <c r="A17" s="6" t="s">
        <v>22</v>
      </c>
      <c r="B17" s="12">
        <v>67000</v>
      </c>
    </row>
    <row r="18" spans="1:2" x14ac:dyDescent="0.3">
      <c r="A18" s="6" t="s">
        <v>16</v>
      </c>
      <c r="B18" s="12">
        <v>59000</v>
      </c>
    </row>
    <row r="19" spans="1:2" x14ac:dyDescent="0.3">
      <c r="A19" s="6" t="s">
        <v>30</v>
      </c>
      <c r="B19" s="12">
        <v>276000</v>
      </c>
    </row>
    <row r="21" spans="1:2" x14ac:dyDescent="0.3">
      <c r="A21" s="4" t="s">
        <v>44</v>
      </c>
      <c r="B21" s="5" t="s">
        <v>43</v>
      </c>
    </row>
    <row r="22" spans="1:2" x14ac:dyDescent="0.3">
      <c r="A22" s="6" t="s">
        <v>34</v>
      </c>
      <c r="B22" s="12">
        <v>76000</v>
      </c>
    </row>
    <row r="23" spans="1:2" x14ac:dyDescent="0.3">
      <c r="A23" s="6" t="s">
        <v>33</v>
      </c>
      <c r="B23" s="12">
        <v>74000</v>
      </c>
    </row>
    <row r="24" spans="1:2" x14ac:dyDescent="0.3">
      <c r="A24" s="6" t="s">
        <v>35</v>
      </c>
      <c r="B24" s="12">
        <v>67000</v>
      </c>
    </row>
    <row r="25" spans="1:2" x14ac:dyDescent="0.3">
      <c r="A25" s="6" t="s">
        <v>11</v>
      </c>
      <c r="B25" s="12">
        <v>59000</v>
      </c>
    </row>
    <row r="26" spans="1:2" x14ac:dyDescent="0.3">
      <c r="A26" s="6" t="s">
        <v>30</v>
      </c>
      <c r="B26" s="12">
        <v>276000</v>
      </c>
    </row>
    <row r="28" spans="1:2" x14ac:dyDescent="0.3">
      <c r="A28" s="4" t="s">
        <v>48</v>
      </c>
      <c r="B28" s="5" t="s">
        <v>45</v>
      </c>
    </row>
    <row r="29" spans="1:2" x14ac:dyDescent="0.3">
      <c r="A29" s="6" t="s">
        <v>34</v>
      </c>
      <c r="B29" s="7">
        <v>0.25418060200668896</v>
      </c>
    </row>
    <row r="30" spans="1:2" x14ac:dyDescent="0.3">
      <c r="A30" s="6" t="s">
        <v>35</v>
      </c>
      <c r="B30" s="7">
        <v>0.24100719424460432</v>
      </c>
    </row>
    <row r="31" spans="1:2" x14ac:dyDescent="0.3">
      <c r="A31" s="6" t="s">
        <v>11</v>
      </c>
      <c r="B31" s="7">
        <v>0.22868217054263565</v>
      </c>
    </row>
    <row r="32" spans="1:2" x14ac:dyDescent="0.3">
      <c r="A32" s="6" t="s">
        <v>33</v>
      </c>
      <c r="B32" s="7">
        <v>0.22356495468277945</v>
      </c>
    </row>
    <row r="33" spans="1:2" x14ac:dyDescent="0.3">
      <c r="A33" s="6" t="s">
        <v>30</v>
      </c>
      <c r="B33" s="7">
        <v>0.23670668953687821</v>
      </c>
    </row>
    <row r="35" spans="1:2" x14ac:dyDescent="0.3">
      <c r="A35" s="4" t="s">
        <v>7</v>
      </c>
      <c r="B35" s="5" t="s">
        <v>31</v>
      </c>
    </row>
    <row r="36" spans="1:2" x14ac:dyDescent="0.3">
      <c r="A36" s="6" t="s">
        <v>46</v>
      </c>
      <c r="B36" s="12">
        <v>308000</v>
      </c>
    </row>
    <row r="37" spans="1:2" x14ac:dyDescent="0.3">
      <c r="A37" s="6" t="s">
        <v>47</v>
      </c>
      <c r="B37" s="12">
        <v>307000</v>
      </c>
    </row>
    <row r="38" spans="1:2" x14ac:dyDescent="0.3">
      <c r="A38" s="6" t="s">
        <v>15</v>
      </c>
      <c r="B38" s="12">
        <v>298000</v>
      </c>
    </row>
    <row r="39" spans="1:2" x14ac:dyDescent="0.3">
      <c r="A39" s="6" t="s">
        <v>28</v>
      </c>
      <c r="B39" s="12">
        <v>253000</v>
      </c>
    </row>
    <row r="40" spans="1:2" x14ac:dyDescent="0.3">
      <c r="A40" s="6" t="s">
        <v>30</v>
      </c>
      <c r="B40" s="12">
        <v>1166000</v>
      </c>
    </row>
  </sheetData>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pivot="1">
          <x14:cfRule type="iconSet" priority="8" id="{51083062-ED85-474D-B3D8-CF3B14E0F675}">
            <x14:iconSet iconSet="3Triangles">
              <x14:cfvo type="percent">
                <xm:f>0</xm:f>
              </x14:cfvo>
              <x14:cfvo type="percent">
                <xm:f>33</xm:f>
              </x14:cfvo>
              <x14:cfvo type="percent">
                <xm:f>67</xm:f>
              </x14:cfvo>
            </x14:iconSet>
          </x14:cfRule>
          <xm:sqref>B2:B5</xm:sqref>
        </x14:conditionalFormatting>
        <x14:conditionalFormatting xmlns:xm="http://schemas.microsoft.com/office/excel/2006/main" pivot="1">
          <x14:cfRule type="iconSet" priority="7" id="{1A2FF24F-F533-4A6D-B5D3-FE54E59966DD}">
            <x14:iconSet iconSet="3Triangles">
              <x14:cfvo type="percent">
                <xm:f>0</xm:f>
              </x14:cfvo>
              <x14:cfvo type="percent">
                <xm:f>33</xm:f>
              </x14:cfvo>
              <x14:cfvo type="percent">
                <xm:f>67</xm:f>
              </x14:cfvo>
            </x14:iconSet>
          </x14:cfRule>
          <xm:sqref>B9:B11</xm:sqref>
        </x14:conditionalFormatting>
        <x14:conditionalFormatting xmlns:xm="http://schemas.microsoft.com/office/excel/2006/main" pivot="1">
          <x14:cfRule type="iconSet" priority="6" id="{ED31DC93-0F96-4839-AF09-1E9B4DCC8C7D}">
            <x14:iconSet iconSet="3Triangles">
              <x14:cfvo type="percent">
                <xm:f>0</xm:f>
              </x14:cfvo>
              <x14:cfvo type="percent">
                <xm:f>33</xm:f>
              </x14:cfvo>
              <x14:cfvo type="percent">
                <xm:f>67</xm:f>
              </x14:cfvo>
            </x14:iconSet>
          </x14:cfRule>
          <xm:sqref>B15:B18</xm:sqref>
        </x14:conditionalFormatting>
        <x14:conditionalFormatting xmlns:xm="http://schemas.microsoft.com/office/excel/2006/main" pivot="1">
          <x14:cfRule type="iconSet" priority="5" id="{233C8A59-B688-41D9-82C9-6A91C199BC08}">
            <x14:iconSet iconSet="3Triangles">
              <x14:cfvo type="percent">
                <xm:f>0</xm:f>
              </x14:cfvo>
              <x14:cfvo type="percent">
                <xm:f>33</xm:f>
              </x14:cfvo>
              <x14:cfvo type="percent">
                <xm:f>67</xm:f>
              </x14:cfvo>
            </x14:iconSet>
          </x14:cfRule>
          <xm:sqref>B22:B25</xm:sqref>
        </x14:conditionalFormatting>
        <x14:conditionalFormatting xmlns:xm="http://schemas.microsoft.com/office/excel/2006/main" pivot="1">
          <x14:cfRule type="iconSet" priority="4" id="{35E7D0AD-2215-4CC6-BBC8-A002F6455462}">
            <x14:iconSet iconSet="3Triangles">
              <x14:cfvo type="percent">
                <xm:f>0</xm:f>
              </x14:cfvo>
              <x14:cfvo type="percent">
                <xm:f>33</xm:f>
              </x14:cfvo>
              <x14:cfvo type="percent">
                <xm:f>67</xm:f>
              </x14:cfvo>
            </x14:iconSet>
          </x14:cfRule>
          <xm:sqref>C9</xm:sqref>
        </x14:conditionalFormatting>
        <x14:conditionalFormatting xmlns:xm="http://schemas.microsoft.com/office/excel/2006/main" pivot="1">
          <x14:cfRule type="iconSet" priority="3" id="{EB2ADE7D-F985-4C2F-816F-79436438EAD6}">
            <x14:iconSet iconSet="3Triangles">
              <x14:cfvo type="percent">
                <xm:f>0</xm:f>
              </x14:cfvo>
              <x14:cfvo type="percent">
                <xm:f>33</xm:f>
              </x14:cfvo>
              <x14:cfvo type="percent">
                <xm:f>67</xm:f>
              </x14:cfvo>
            </x14:iconSet>
          </x14:cfRule>
          <xm:sqref>B9:C11</xm:sqref>
        </x14:conditionalFormatting>
        <x14:conditionalFormatting xmlns:xm="http://schemas.microsoft.com/office/excel/2006/main" pivot="1">
          <x14:cfRule type="iconSet" priority="2" id="{4597C418-0677-45ED-ADEA-7AB7A5525146}">
            <x14:iconSet iconSet="3Triangles">
              <x14:cfvo type="percent">
                <xm:f>0</xm:f>
              </x14:cfvo>
              <x14:cfvo type="percent">
                <xm:f>33</xm:f>
              </x14:cfvo>
              <x14:cfvo type="percent">
                <xm:f>67</xm:f>
              </x14:cfvo>
            </x14:iconSet>
          </x14:cfRule>
          <xm:sqref>B29:B32</xm:sqref>
        </x14:conditionalFormatting>
        <x14:conditionalFormatting xmlns:xm="http://schemas.microsoft.com/office/excel/2006/main" pivot="1">
          <x14:cfRule type="iconSet" priority="1" id="{F8647BF5-1D3B-4564-89E1-D09C5911B880}">
            <x14:iconSet iconSet="3Triangles">
              <x14:cfvo type="percent">
                <xm:f>0</xm:f>
              </x14:cfvo>
              <x14:cfvo type="percent">
                <xm:f>33</xm:f>
              </x14:cfvo>
              <x14:cfvo type="percent">
                <xm:f>67</xm:f>
              </x14:cfvo>
            </x14:iconSet>
          </x14:cfRule>
          <xm:sqref>B36:B39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2D02-A374-46DB-82A2-85D36E127271}">
  <sheetPr>
    <pageSetUpPr fitToPage="1"/>
  </sheetPr>
  <dimension ref="A1"/>
  <sheetViews>
    <sheetView zoomScale="78" zoomScaleNormal="78" workbookViewId="0">
      <selection activeCell="AB56" sqref="AB56"/>
    </sheetView>
  </sheetViews>
  <sheetFormatPr defaultRowHeight="14.4" x14ac:dyDescent="0.3"/>
  <sheetData/>
  <pageMargins left="0.25" right="0.25" top="0.75" bottom="0.75" header="0.3" footer="0.3"/>
  <pageSetup paperSize="9" scale="42"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B751-12F2-478D-BC5B-5642C1488665}">
  <sheetPr>
    <pageSetUpPr fitToPage="1"/>
  </sheetPr>
  <dimension ref="A1:C18"/>
  <sheetViews>
    <sheetView workbookViewId="0">
      <selection activeCell="H25" sqref="H25"/>
    </sheetView>
  </sheetViews>
  <sheetFormatPr defaultRowHeight="14.4" x14ac:dyDescent="0.3"/>
  <cols>
    <col min="1" max="1" width="15.44140625" bestFit="1" customWidth="1"/>
    <col min="2" max="2" width="7.77734375" bestFit="1" customWidth="1"/>
    <col min="3" max="3" width="13.5546875" bestFit="1" customWidth="1"/>
  </cols>
  <sheetData>
    <row r="1" spans="1:3" x14ac:dyDescent="0.3">
      <c r="A1" s="10" t="s">
        <v>51</v>
      </c>
    </row>
    <row r="2" spans="1:3" x14ac:dyDescent="0.3">
      <c r="A2" s="11" t="s">
        <v>52</v>
      </c>
      <c r="B2" s="11" t="s">
        <v>53</v>
      </c>
      <c r="C2" s="11" t="s">
        <v>54</v>
      </c>
    </row>
    <row r="3" spans="1:3" x14ac:dyDescent="0.3">
      <c r="A3">
        <v>1</v>
      </c>
      <c r="B3" t="s">
        <v>55</v>
      </c>
      <c r="C3" t="s">
        <v>56</v>
      </c>
    </row>
    <row r="4" spans="1:3" x14ac:dyDescent="0.3">
      <c r="A4">
        <v>2</v>
      </c>
      <c r="B4" t="s">
        <v>57</v>
      </c>
      <c r="C4" t="s">
        <v>58</v>
      </c>
    </row>
    <row r="6" spans="1:3" x14ac:dyDescent="0.3">
      <c r="A6" s="10" t="s">
        <v>59</v>
      </c>
    </row>
    <row r="7" spans="1:3" x14ac:dyDescent="0.3">
      <c r="A7" s="11" t="s">
        <v>52</v>
      </c>
      <c r="B7" s="11" t="s">
        <v>60</v>
      </c>
      <c r="C7" s="11" t="s">
        <v>54</v>
      </c>
    </row>
    <row r="8" spans="1:3" x14ac:dyDescent="0.3">
      <c r="A8">
        <v>1</v>
      </c>
      <c r="B8" t="s">
        <v>15</v>
      </c>
      <c r="C8" t="s">
        <v>61</v>
      </c>
    </row>
    <row r="9" spans="1:3" x14ac:dyDescent="0.3">
      <c r="A9">
        <v>2</v>
      </c>
      <c r="B9" t="s">
        <v>28</v>
      </c>
      <c r="C9" t="s">
        <v>62</v>
      </c>
    </row>
    <row r="10" spans="1:3" x14ac:dyDescent="0.3">
      <c r="A10">
        <v>3</v>
      </c>
      <c r="B10" t="s">
        <v>46</v>
      </c>
      <c r="C10" t="s">
        <v>63</v>
      </c>
    </row>
    <row r="11" spans="1:3" x14ac:dyDescent="0.3">
      <c r="A11">
        <v>4</v>
      </c>
      <c r="B11" t="s">
        <v>47</v>
      </c>
      <c r="C11" t="s">
        <v>64</v>
      </c>
    </row>
    <row r="14" spans="1:3" x14ac:dyDescent="0.3">
      <c r="A14" s="10" t="s">
        <v>65</v>
      </c>
      <c r="B14" t="s">
        <v>66</v>
      </c>
    </row>
    <row r="15" spans="1:3" x14ac:dyDescent="0.3">
      <c r="B15" t="s">
        <v>67</v>
      </c>
    </row>
    <row r="17" spans="2:2" x14ac:dyDescent="0.3">
      <c r="B17" t="s">
        <v>68</v>
      </c>
    </row>
    <row r="18" spans="2:2" x14ac:dyDescent="0.3">
      <c r="B18" t="s">
        <v>69</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Pivot-Tables</vt:lpstr>
      <vt:lpstr>Dashboard</vt:lpstr>
      <vt:lpstr>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Souptik Bej</dc:creator>
  <cp:lastModifiedBy>Souptik Bej</cp:lastModifiedBy>
  <cp:lastPrinted>2026-08-28T17:12:19Z</cp:lastPrinted>
  <dcterms:created xsi:type="dcterms:W3CDTF">2026-08-26T16:27:09Z</dcterms:created>
  <dcterms:modified xsi:type="dcterms:W3CDTF">2026-08-28T17:13:20Z</dcterms:modified>
</cp:coreProperties>
</file>