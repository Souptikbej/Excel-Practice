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42E2780-2315-4FB7-9CC7-571F470E8B72}" xr6:coauthVersionLast="47" xr6:coauthVersionMax="47" xr10:uidLastSave="{00000000-0000-0000-0000-000000000000}"/>
  <bookViews>
    <workbookView xWindow="-28920" yWindow="-90" windowWidth="29040" windowHeight="16440" activeTab="6" xr2:uid="{AE46254B-DEFF-448A-A754-5E71B6D4F77B}"/>
  </bookViews>
  <sheets>
    <sheet name="RAW-DATA" sheetId="1" r:id="rId1"/>
    <sheet name="Problem1" sheetId="2" r:id="rId2"/>
    <sheet name="Problem2" sheetId="5" r:id="rId3"/>
    <sheet name="Problem3" sheetId="6" r:id="rId4"/>
    <sheet name="Problem4" sheetId="7" r:id="rId5"/>
    <sheet name="Drill-Down-Problem4" sheetId="9" r:id="rId6"/>
    <sheet name="Problem5" sheetId="8" r:id="rId7"/>
  </sheets>
  <calcPr calcId="191029"/>
  <pivotCaches>
    <pivotCache cacheId="8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<sst xmlns="http://schemas.openxmlformats.org/spreadsheetml/2006/main" count="339" uniqueCount="158">
  <si>
    <t>Order ID</t>
  </si>
  <si>
    <t>Order Date</t>
  </si>
  <si>
    <t>Region</t>
  </si>
  <si>
    <t>State</t>
  </si>
  <si>
    <t>Category</t>
  </si>
  <si>
    <t>Sub-Category</t>
  </si>
  <si>
    <t>Product</t>
  </si>
  <si>
    <t>Salesperson</t>
  </si>
  <si>
    <t>Customer Type</t>
  </si>
  <si>
    <t>Quantity</t>
  </si>
  <si>
    <t>Unit Price</t>
  </si>
  <si>
    <t>Sales Amount</t>
  </si>
  <si>
    <t>O1001</t>
  </si>
  <si>
    <t>North</t>
  </si>
  <si>
    <t>Delhi</t>
  </si>
  <si>
    <t>Electronics</t>
  </si>
  <si>
    <t>Laptop</t>
  </si>
  <si>
    <t>Dell Inspiron</t>
  </si>
  <si>
    <t>Amit</t>
  </si>
  <si>
    <t>Retail</t>
  </si>
  <si>
    <t>O1002</t>
  </si>
  <si>
    <t>South</t>
  </si>
  <si>
    <t>Chennai</t>
  </si>
  <si>
    <t>Mobile</t>
  </si>
  <si>
    <t>Samsung S24</t>
  </si>
  <si>
    <t>Priya</t>
  </si>
  <si>
    <t>Corporate</t>
  </si>
  <si>
    <t>O1003</t>
  </si>
  <si>
    <t>East</t>
  </si>
  <si>
    <t>Kolkata</t>
  </si>
  <si>
    <t>Furniture</t>
  </si>
  <si>
    <t>Chair</t>
  </si>
  <si>
    <t>Office Chair</t>
  </si>
  <si>
    <t>Rahul</t>
  </si>
  <si>
    <t>O1004</t>
  </si>
  <si>
    <t>West</t>
  </si>
  <si>
    <t>Mumbai</t>
  </si>
  <si>
    <t>HP Pavilion</t>
  </si>
  <si>
    <t>Sneha</t>
  </si>
  <si>
    <t>O1005</t>
  </si>
  <si>
    <t>Table</t>
  </si>
  <si>
    <t>Study Table</t>
  </si>
  <si>
    <t>O1006</t>
  </si>
  <si>
    <t>Bangalore</t>
  </si>
  <si>
    <t>iPhone 16</t>
  </si>
  <si>
    <t>O1007</t>
  </si>
  <si>
    <t>Bhubaneswar</t>
  </si>
  <si>
    <t>Gaming Chair</t>
  </si>
  <si>
    <t>O1008</t>
  </si>
  <si>
    <t>Pune</t>
  </si>
  <si>
    <t>Lenovo ThinkPad</t>
  </si>
  <si>
    <t>O1009</t>
  </si>
  <si>
    <t>Chandigarh</t>
  </si>
  <si>
    <t>Tablet</t>
  </si>
  <si>
    <t>iPad Air</t>
  </si>
  <si>
    <t>O1010</t>
  </si>
  <si>
    <t>Office Table</t>
  </si>
  <si>
    <t>O1011</t>
  </si>
  <si>
    <t>OnePlus 13</t>
  </si>
  <si>
    <t>O1012</t>
  </si>
  <si>
    <t>Sofa</t>
  </si>
  <si>
    <t>Recliner Sofa</t>
  </si>
  <si>
    <t>O1013</t>
  </si>
  <si>
    <t>ASUS VivoBook</t>
  </si>
  <si>
    <t>O1014</t>
  </si>
  <si>
    <t>Samsung Tab</t>
  </si>
  <si>
    <t>O1015</t>
  </si>
  <si>
    <t>Wooden Chair</t>
  </si>
  <si>
    <t>O1016</t>
  </si>
  <si>
    <t>Google Pixel</t>
  </si>
  <si>
    <t>O1017</t>
  </si>
  <si>
    <t>Luxury Sofa</t>
  </si>
  <si>
    <t>O1018</t>
  </si>
  <si>
    <t>Acer Aspire</t>
  </si>
  <si>
    <t>O1019</t>
  </si>
  <si>
    <t>Vivo X200</t>
  </si>
  <si>
    <t>O1020</t>
  </si>
  <si>
    <t>Dining Table</t>
  </si>
  <si>
    <t>Grand Total</t>
  </si>
  <si>
    <t>Sum of Sales Amount</t>
  </si>
  <si>
    <t>Column Labels</t>
  </si>
  <si>
    <t>Which region generated the highest sales?</t>
  </si>
  <si>
    <t>South region generated the highest sales. Total is 8,62,000.</t>
  </si>
  <si>
    <t>Which category generated the highest sales?</t>
  </si>
  <si>
    <t>Electronics Category generated the highest sales. Total is 20,49,000.</t>
  </si>
  <si>
    <t>Which Region–Category combination has the maximum sales?</t>
  </si>
  <si>
    <t>The Sales Director wants to know which region generated the highest sales and which product category contributed most.</t>
  </si>
  <si>
    <t>The maximun sales genarated combination of Region - categoty is Electronice in south region. It total around 8,02,000.</t>
  </si>
  <si>
    <t>Jan</t>
  </si>
  <si>
    <t>Feb</t>
  </si>
  <si>
    <t>Mar</t>
  </si>
  <si>
    <t>Apr</t>
  </si>
  <si>
    <t>May</t>
  </si>
  <si>
    <t>Months</t>
  </si>
  <si>
    <t>Management wants a monthly sales report instead of individual dates.</t>
  </si>
  <si>
    <t>Average of Sales</t>
  </si>
  <si>
    <t>Sum of Sales</t>
  </si>
  <si>
    <t>Count of Order</t>
  </si>
  <si>
    <t>Max of Sales</t>
  </si>
  <si>
    <t>Min of Sales</t>
  </si>
  <si>
    <t>Sales preson</t>
  </si>
  <si>
    <t>The HR department wants salesperson performance</t>
  </si>
  <si>
    <t>Who generated the highest total sales?</t>
  </si>
  <si>
    <t>Who has the highest average order value?</t>
  </si>
  <si>
    <t>Which salesperson handled the most orders?</t>
  </si>
  <si>
    <t>What is the highest single order sold by each salesperson?</t>
  </si>
  <si>
    <t>Priya generated the highest total sales.</t>
  </si>
  <si>
    <t>Priya has the highest average order valuse.</t>
  </si>
  <si>
    <t>All selasperson handled 5 orders each.</t>
  </si>
  <si>
    <t>Check Max of Sales Amount.</t>
  </si>
  <si>
    <t>Row Labels</t>
  </si>
  <si>
    <t>(All)</t>
  </si>
  <si>
    <t>The Sales Manager wants to analyze only Electronics sales</t>
  </si>
  <si>
    <t>Which electronic product generated the highest sales?</t>
  </si>
  <si>
    <t>Samsung S24 generated the highest sales.</t>
  </si>
  <si>
    <t>Which generated the lowest sales?</t>
  </si>
  <si>
    <t>HP Pavilion generated the lowest sales.</t>
  </si>
  <si>
    <t>Use Drill Down (Double Click) on the highest sales value and identify: Order IDs, Region, Salesperson</t>
  </si>
  <si>
    <t>The Highest sales value is 2,60,000.Product Order IDs is O1002 from South Region and Salesperson is Priya</t>
  </si>
  <si>
    <t>Total Number of Orders</t>
  </si>
  <si>
    <t>Number of Orders</t>
  </si>
  <si>
    <t>Total Total Sales</t>
  </si>
  <si>
    <t>Total Sales</t>
  </si>
  <si>
    <t>Total Average Sales</t>
  </si>
  <si>
    <t>Average Sales</t>
  </si>
  <si>
    <t>08-Jan</t>
  </si>
  <si>
    <t>10-Feb</t>
  </si>
  <si>
    <t>08-Mar</t>
  </si>
  <si>
    <t>12-Apr</t>
  </si>
  <si>
    <t>18-May</t>
  </si>
  <si>
    <t>03-Jan</t>
  </si>
  <si>
    <t>21-Jan</t>
  </si>
  <si>
    <t>22-Feb</t>
  </si>
  <si>
    <t>28-Mar</t>
  </si>
  <si>
    <t>02-May</t>
  </si>
  <si>
    <t>05-Jan</t>
  </si>
  <si>
    <t>02-Feb</t>
  </si>
  <si>
    <t>03-Mar</t>
  </si>
  <si>
    <t>04-Apr</t>
  </si>
  <si>
    <t>10-May</t>
  </si>
  <si>
    <t>15-Jan</t>
  </si>
  <si>
    <t>18-Feb</t>
  </si>
  <si>
    <t>15-Mar</t>
  </si>
  <si>
    <t>20-Apr</t>
  </si>
  <si>
    <t>26-May</t>
  </si>
  <si>
    <t>Values</t>
  </si>
  <si>
    <t>Create ONE professional Pivot Report</t>
  </si>
  <si>
    <t>Which region has the highest Corporate sales?</t>
  </si>
  <si>
    <t>South region has the highest corporate sales.</t>
  </si>
  <si>
    <t>Which month generated the highest Retail sales?</t>
  </si>
  <si>
    <t>March generated the highest Retail sales.</t>
  </si>
  <si>
    <t>Which customer type places more orders?</t>
  </si>
  <si>
    <t>Retail Places more orders.</t>
  </si>
  <si>
    <t>Which region has the highest average sales?</t>
  </si>
  <si>
    <t>South has the highest average sales.</t>
  </si>
  <si>
    <t>1. The South region contributes the highest sales, making it a key revenue driver.
2. Retail customers generate more orders than Corporate customers, indicating a larger customer base.
3. Electronics consistently outperform Furniture, suggesting stronger customer demand and a potential area for increased inventory or marketing.</t>
  </si>
  <si>
    <t>If you were presenting this report to management, what three business insights would you provide?</t>
  </si>
  <si>
    <t>Category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</si>
</sst>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9" formatCode="&quot;₹&quot;\ #,##0.00"/>
  </numFmts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i/>
      <u/>
      <sz val="14"/>
      <color rgb="FFFF0000"/>
      <name val="Calibri"/>
      <family val="2"/>
      <scheme val="minor"/>
    </font>
    <font>
      <b/>
      <i/>
      <u/>
      <sz val="16"/>
      <color rgb="FFFF00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20"/>
      <color rgb="FFFF0000"/>
      <name val="Calibri"/>
      <family val="2"/>
      <scheme val="minor"/>
    </font>
    <font>
      <b/>
      <sz val="16"/>
      <color rgb="FF9C0006"/>
      <name val="Calibri"/>
      <family val="2"/>
      <scheme val="minor"/>
    </font>
    <font>
      <b/>
      <sz val="16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55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5" fontId="5" fillId="0" borderId="2" xfId="0" applyNumberFormat="1" applyFont="1" applyBorder="1" applyAlignment="1">
      <alignment vertical="center"/>
    </xf>
    <xf numFmtId="0" fontId="5" fillId="0" borderId="2" xfId="0" applyFont="1" applyBorder="1"/>
    <xf numFmtId="164" fontId="5" fillId="0" borderId="2" xfId="0" applyNumberFormat="1" applyFont="1" applyBorder="1"/>
    <xf numFmtId="0" fontId="5" fillId="0" borderId="2" xfId="0" pivotButton="1" applyFont="1" applyBorder="1"/>
    <xf numFmtId="0" fontId="5" fillId="0" borderId="2" xfId="0" applyFont="1" applyBorder="1" applyAlignment="1">
      <alignment horizontal="left"/>
    </xf>
    <xf numFmtId="0" fontId="5" fillId="0" borderId="2" xfId="0" applyNumberFormat="1" applyFont="1" applyBorder="1"/>
    <xf numFmtId="0" fontId="5" fillId="0" borderId="0" xfId="0" applyFont="1"/>
    <xf numFmtId="0" fontId="11" fillId="2" borderId="2" xfId="1" applyFont="1" applyBorder="1" applyAlignment="1">
      <alignment horizontal="left"/>
    </xf>
    <xf numFmtId="164" fontId="11" fillId="2" borderId="2" xfId="1" applyNumberFormat="1" applyFont="1" applyBorder="1"/>
    <xf numFmtId="0" fontId="8" fillId="4" borderId="2" xfId="3" applyFont="1" applyBorder="1" applyAlignment="1">
      <alignment horizontal="center" vertical="center" wrapText="1"/>
    </xf>
    <xf numFmtId="0" fontId="6" fillId="3" borderId="2" xfId="2" applyFont="1" applyBorder="1" applyAlignment="1">
      <alignment horizontal="left" vertical="center"/>
    </xf>
    <xf numFmtId="0" fontId="7" fillId="2" borderId="2" xfId="1" applyFont="1" applyBorder="1" applyAlignment="1">
      <alignment horizontal="left" vertical="center"/>
    </xf>
    <xf numFmtId="0" fontId="7" fillId="2" borderId="2" xfId="1" applyFont="1" applyBorder="1" applyAlignment="1">
      <alignment horizontal="left" vertical="center" wrapText="1"/>
    </xf>
    <xf numFmtId="0" fontId="9" fillId="4" borderId="3" xfId="3" applyFont="1" applyBorder="1" applyAlignment="1">
      <alignment horizontal="center" vertical="center" wrapText="1"/>
    </xf>
    <xf numFmtId="0" fontId="9" fillId="4" borderId="4" xfId="3" applyFont="1" applyBorder="1" applyAlignment="1">
      <alignment horizontal="center" vertical="center" wrapText="1"/>
    </xf>
    <xf numFmtId="0" fontId="9" fillId="4" borderId="5" xfId="3" applyFont="1" applyBorder="1" applyAlignment="1">
      <alignment horizontal="center" vertical="center" wrapText="1"/>
    </xf>
    <xf numFmtId="0" fontId="9" fillId="4" borderId="6" xfId="3" applyFont="1" applyBorder="1" applyAlignment="1">
      <alignment horizontal="center" vertical="center" wrapText="1"/>
    </xf>
    <xf numFmtId="0" fontId="9" fillId="4" borderId="0" xfId="3" applyFont="1" applyBorder="1" applyAlignment="1">
      <alignment horizontal="center" vertical="center" wrapText="1"/>
    </xf>
    <xf numFmtId="0" fontId="9" fillId="4" borderId="7" xfId="3" applyFont="1" applyBorder="1" applyAlignment="1">
      <alignment horizontal="center" vertical="center" wrapText="1"/>
    </xf>
    <xf numFmtId="0" fontId="9" fillId="4" borderId="8" xfId="3" applyFont="1" applyBorder="1" applyAlignment="1">
      <alignment horizontal="center" vertical="center" wrapText="1"/>
    </xf>
    <xf numFmtId="0" fontId="9" fillId="4" borderId="9" xfId="3" applyFont="1" applyBorder="1" applyAlignment="1">
      <alignment horizontal="center" vertical="center" wrapText="1"/>
    </xf>
    <xf numFmtId="0" fontId="9" fillId="4" borderId="10" xfId="3" applyFont="1" applyBorder="1" applyAlignment="1">
      <alignment horizontal="center" vertical="center" wrapText="1"/>
    </xf>
    <xf numFmtId="0" fontId="11" fillId="2" borderId="2" xfId="1" applyFont="1" applyBorder="1" applyAlignment="1">
      <alignment horizontal="left"/>
    </xf>
    <xf numFmtId="0" fontId="11" fillId="2" borderId="2" xfId="1" applyFont="1" applyBorder="1" applyAlignment="1">
      <alignment horizontal="center"/>
    </xf>
    <xf numFmtId="0" fontId="10" fillId="4" borderId="1" xfId="3" applyFont="1" applyAlignment="1">
      <alignment horizontal="center" vertical="center"/>
    </xf>
    <xf numFmtId="14" fontId="0" fillId="0" borderId="0" xfId="0" applyNumberFormat="1"/>
    <xf numFmtId="0" fontId="5" fillId="0" borderId="0" xfId="0" pivotButton="1" applyFont="1"/>
    <xf numFmtId="0" fontId="5" fillId="0" borderId="0" xfId="0" applyNumberFormat="1" applyFont="1"/>
    <xf numFmtId="0" fontId="3" fillId="4" borderId="1" xfId="3" applyAlignment="1">
      <alignment horizontal="center" vertical="center"/>
    </xf>
    <xf numFmtId="164" fontId="5" fillId="0" borderId="0" xfId="0" applyNumberFormat="1" applyFont="1"/>
    <xf numFmtId="0" fontId="11" fillId="2" borderId="2" xfId="1" applyFont="1" applyBorder="1" applyAlignment="1">
      <alignment horizontal="left" vertical="center"/>
    </xf>
    <xf numFmtId="0" fontId="6" fillId="3" borderId="2" xfId="2" applyFont="1" applyBorder="1" applyAlignment="1">
      <alignment horizontal="left" vertical="center" wrapText="1"/>
    </xf>
    <xf numFmtId="0" fontId="11" fillId="2" borderId="2" xfId="1" applyFont="1" applyBorder="1" applyAlignment="1">
      <alignment horizontal="left" vertical="center" wrapText="1"/>
    </xf>
    <xf numFmtId="0" fontId="5" fillId="0" borderId="11" xfId="0" pivotButton="1" applyFont="1" applyBorder="1"/>
    <xf numFmtId="0" fontId="5" fillId="0" borderId="11" xfId="0" applyFont="1" applyBorder="1"/>
    <xf numFmtId="15" fontId="5" fillId="0" borderId="2" xfId="0" applyNumberFormat="1" applyFont="1" applyBorder="1" applyAlignment="1">
      <alignment horizontal="left" indent="1"/>
    </xf>
    <xf numFmtId="0" fontId="13" fillId="4" borderId="1" xfId="3" applyFont="1" applyAlignment="1">
      <alignment horizontal="center" vertical="center"/>
    </xf>
    <xf numFmtId="0" fontId="14" fillId="3" borderId="2" xfId="2" applyFont="1" applyBorder="1" applyAlignment="1">
      <alignment horizontal="left" vertical="center"/>
    </xf>
    <xf numFmtId="0" fontId="15" fillId="2" borderId="2" xfId="1" applyFont="1" applyBorder="1" applyAlignment="1">
      <alignment horizontal="left" vertical="center"/>
    </xf>
    <xf numFmtId="0" fontId="5" fillId="0" borderId="13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5" xfId="0" applyFont="1" applyBorder="1"/>
    <xf numFmtId="169" fontId="5" fillId="0" borderId="0" xfId="0" applyNumberFormat="1" applyFont="1"/>
    <xf numFmtId="0" fontId="14" fillId="3" borderId="2" xfId="2" applyFont="1" applyBorder="1" applyAlignment="1">
      <alignment vertical="center"/>
    </xf>
    <xf numFmtId="0" fontId="15" fillId="2" borderId="2" xfId="1" applyFont="1" applyBorder="1" applyAlignment="1">
      <alignment vertical="center"/>
    </xf>
    <xf numFmtId="0" fontId="15" fillId="2" borderId="2" xfId="1" applyFont="1" applyBorder="1" applyAlignment="1">
      <alignment horizontal="left" vertical="center" wrapText="1"/>
    </xf>
    <xf numFmtId="0" fontId="14" fillId="3" borderId="2" xfId="2" applyFont="1" applyBorder="1" applyAlignment="1">
      <alignment horizontal="left" vertical="center" wrapText="1"/>
    </xf>
    <xf numFmtId="0" fontId="12" fillId="0" borderId="0" xfId="0" pivotButton="1" applyFont="1"/>
  </cellXfs>
  <cellStyles count="4">
    <cellStyle name="Bad" xfId="2" builtinId="27"/>
    <cellStyle name="Calculation" xfId="3" builtinId="22"/>
    <cellStyle name="Good" xfId="1" builtinId="26"/>
    <cellStyle name="Normal" xfId="0" builtinId="0"/>
  </cellStyles>
  <dxfs count="1385">
    <dxf>
      <font>
        <sz val="12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9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&quot;₹&quot;\ #,##0.00"/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ptik Beg" refreshedDate="46260.455319328707" createdVersion="7" refreshedVersion="7" minRefreshableVersion="3" recordCount="20" xr:uid="{0EB6C0AA-5FFB-4F4C-AA39-0172F518D282}">
  <cacheSource type="worksheet">
    <worksheetSource ref="A1:L21" sheet="RAW-DATA"/>
  </cacheSource>
  <cacheFields count="13">
    <cacheField name="Order ID" numFmtId="0">
      <sharedItems/>
    </cacheField>
    <cacheField name="Order Date" numFmtId="15">
      <sharedItems containsSemiMixedTypes="0" containsNonDate="0" containsDate="1" containsString="0" minDate="2025-01-03T00:00:00" maxDate="2025-05-27T00:00:00" count="20">
        <d v="2025-01-03T00:00:00"/>
        <d v="2025-01-05T00:00:00"/>
        <d v="2025-01-08T00:00:00"/>
        <d v="2025-01-15T00:00:00"/>
        <d v="2025-01-21T00:00:00"/>
        <d v="2025-02-02T00:00:00"/>
        <d v="2025-02-10T00:00:00"/>
        <d v="2025-02-18T00:00:00"/>
        <d v="2025-02-22T00:00:00"/>
        <d v="2025-03-03T00:00:00"/>
        <d v="2025-03-08T00:00:00"/>
        <d v="2025-03-15T00:00:00"/>
        <d v="2025-03-28T00:00:00"/>
        <d v="2025-04-04T00:00:00"/>
        <d v="2025-04-12T00:00:00"/>
        <d v="2025-04-20T00:00:00"/>
        <d v="2025-05-02T00:00:00"/>
        <d v="2025-05-10T00:00:00"/>
        <d v="2025-05-18T00:00:00"/>
        <d v="2025-05-26T00:00:00"/>
      </sharedItems>
      <fieldGroup par="12" base="1">
        <rangePr groupBy="days" startDate="2025-01-03T00:00:00" endDate="2025-05-27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-05-2025"/>
        </groupItems>
      </fieldGroup>
    </cacheField>
    <cacheField name="Region" numFmtId="0">
      <sharedItems count="4">
        <s v="North"/>
        <s v="South"/>
        <s v="East"/>
        <s v="West"/>
      </sharedItems>
    </cacheField>
    <cacheField name="State" numFmtId="0">
      <sharedItems/>
    </cacheField>
    <cacheField name="Category" numFmtId="0">
      <sharedItems count="2">
        <s v="Electronics"/>
        <s v="Furniture"/>
      </sharedItems>
    </cacheField>
    <cacheField name="Sub-Category" numFmtId="0">
      <sharedItems/>
    </cacheField>
    <cacheField name="Product" numFmtId="0">
      <sharedItems count="20">
        <s v="Dell Inspiron"/>
        <s v="Samsung S24"/>
        <s v="Office Chair"/>
        <s v="HP Pavilion"/>
        <s v="Study Table"/>
        <s v="iPhone 16"/>
        <s v="Gaming Chair"/>
        <s v="Lenovo ThinkPad"/>
        <s v="iPad Air"/>
        <s v="Office Table"/>
        <s v="OnePlus 13"/>
        <s v="Recliner Sofa"/>
        <s v="ASUS VivoBook"/>
        <s v="Samsung Tab"/>
        <s v="Wooden Chair"/>
        <s v="Google Pixel"/>
        <s v="Luxury Sofa"/>
        <s v="Acer Aspire"/>
        <s v="Vivo X200"/>
        <s v="Dining Table"/>
      </sharedItems>
    </cacheField>
    <cacheField name="Salesperson" numFmtId="0">
      <sharedItems count="4">
        <s v="Amit"/>
        <s v="Priya"/>
        <s v="Rahul"/>
        <s v="Sneha"/>
      </sharedItems>
    </cacheField>
    <cacheField name="Customer Type" numFmtId="0">
      <sharedItems count="2">
        <s v="Retail"/>
        <s v="Corporate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2500" maxValue="85000"/>
    </cacheField>
    <cacheField name="Sales Amount" numFmtId="0">
      <sharedItems containsSemiMixedTypes="0" containsString="0" containsNumber="1" containsInteger="1" minValue="20000" maxValue="260000"/>
    </cacheField>
    <cacheField name="Months" numFmtId="0" databaseField="0">
      <fieldGroup base="1">
        <rangePr groupBy="months" startDate="2025-01-03T00:00:00" endDate="2025-05-27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1001"/>
    <x v="0"/>
    <x v="0"/>
    <s v="Delhi"/>
    <x v="0"/>
    <s v="Laptop"/>
    <x v="0"/>
    <x v="0"/>
    <x v="0"/>
    <n v="2"/>
    <n v="55000"/>
    <n v="110000"/>
  </r>
  <r>
    <s v="O1002"/>
    <x v="1"/>
    <x v="1"/>
    <s v="Chennai"/>
    <x v="0"/>
    <s v="Mobile"/>
    <x v="1"/>
    <x v="1"/>
    <x v="1"/>
    <n v="4"/>
    <n v="65000"/>
    <n v="260000"/>
  </r>
  <r>
    <s v="O1003"/>
    <x v="2"/>
    <x v="2"/>
    <s v="Kolkata"/>
    <x v="1"/>
    <s v="Chair"/>
    <x v="2"/>
    <x v="2"/>
    <x v="0"/>
    <n v="5"/>
    <n v="4000"/>
    <n v="20000"/>
  </r>
  <r>
    <s v="O1004"/>
    <x v="3"/>
    <x v="3"/>
    <s v="Mumbai"/>
    <x v="0"/>
    <s v="Laptop"/>
    <x v="3"/>
    <x v="3"/>
    <x v="0"/>
    <n v="1"/>
    <n v="62000"/>
    <n v="62000"/>
  </r>
  <r>
    <s v="O1005"/>
    <x v="4"/>
    <x v="0"/>
    <s v="Delhi"/>
    <x v="1"/>
    <s v="Table"/>
    <x v="4"/>
    <x v="0"/>
    <x v="1"/>
    <n v="3"/>
    <n v="9000"/>
    <n v="27000"/>
  </r>
  <r>
    <s v="O1006"/>
    <x v="5"/>
    <x v="1"/>
    <s v="Bangalore"/>
    <x v="0"/>
    <s v="Mobile"/>
    <x v="5"/>
    <x v="1"/>
    <x v="0"/>
    <n v="2"/>
    <n v="85000"/>
    <n v="170000"/>
  </r>
  <r>
    <s v="O1007"/>
    <x v="6"/>
    <x v="2"/>
    <s v="Bhubaneswar"/>
    <x v="1"/>
    <s v="Chair"/>
    <x v="6"/>
    <x v="2"/>
    <x v="1"/>
    <n v="2"/>
    <n v="12000"/>
    <n v="24000"/>
  </r>
  <r>
    <s v="O1008"/>
    <x v="7"/>
    <x v="3"/>
    <s v="Pune"/>
    <x v="0"/>
    <s v="Laptop"/>
    <x v="7"/>
    <x v="3"/>
    <x v="0"/>
    <n v="3"/>
    <n v="70000"/>
    <n v="210000"/>
  </r>
  <r>
    <s v="O1009"/>
    <x v="8"/>
    <x v="0"/>
    <s v="Chandigarh"/>
    <x v="0"/>
    <s v="Tablet"/>
    <x v="8"/>
    <x v="0"/>
    <x v="0"/>
    <n v="2"/>
    <n v="50000"/>
    <n v="100000"/>
  </r>
  <r>
    <s v="O1010"/>
    <x v="9"/>
    <x v="1"/>
    <s v="Chennai"/>
    <x v="1"/>
    <s v="Table"/>
    <x v="9"/>
    <x v="1"/>
    <x v="1"/>
    <n v="4"/>
    <n v="15000"/>
    <n v="60000"/>
  </r>
  <r>
    <s v="O1011"/>
    <x v="10"/>
    <x v="2"/>
    <s v="Kolkata"/>
    <x v="0"/>
    <s v="Mobile"/>
    <x v="10"/>
    <x v="2"/>
    <x v="0"/>
    <n v="5"/>
    <n v="45000"/>
    <n v="225000"/>
  </r>
  <r>
    <s v="O1012"/>
    <x v="11"/>
    <x v="3"/>
    <s v="Mumbai"/>
    <x v="1"/>
    <s v="Sofa"/>
    <x v="11"/>
    <x v="3"/>
    <x v="1"/>
    <n v="2"/>
    <n v="35000"/>
    <n v="70000"/>
  </r>
  <r>
    <s v="O1013"/>
    <x v="12"/>
    <x v="0"/>
    <s v="Delhi"/>
    <x v="0"/>
    <s v="Laptop"/>
    <x v="12"/>
    <x v="0"/>
    <x v="0"/>
    <n v="3"/>
    <n v="50000"/>
    <n v="150000"/>
  </r>
  <r>
    <s v="O1014"/>
    <x v="13"/>
    <x v="1"/>
    <s v="Bangalore"/>
    <x v="0"/>
    <s v="Tablet"/>
    <x v="13"/>
    <x v="1"/>
    <x v="1"/>
    <n v="6"/>
    <n v="30000"/>
    <n v="180000"/>
  </r>
  <r>
    <s v="O1015"/>
    <x v="14"/>
    <x v="2"/>
    <s v="Bhubaneswar"/>
    <x v="1"/>
    <s v="Chair"/>
    <x v="14"/>
    <x v="2"/>
    <x v="0"/>
    <n v="8"/>
    <n v="2500"/>
    <n v="20000"/>
  </r>
  <r>
    <s v="O1016"/>
    <x v="15"/>
    <x v="3"/>
    <s v="Pune"/>
    <x v="0"/>
    <s v="Mobile"/>
    <x v="15"/>
    <x v="3"/>
    <x v="1"/>
    <n v="3"/>
    <n v="60000"/>
    <n v="180000"/>
  </r>
  <r>
    <s v="O1017"/>
    <x v="16"/>
    <x v="0"/>
    <s v="Chandigarh"/>
    <x v="1"/>
    <s v="Sofa"/>
    <x v="16"/>
    <x v="0"/>
    <x v="0"/>
    <n v="2"/>
    <n v="45000"/>
    <n v="90000"/>
  </r>
  <r>
    <s v="O1018"/>
    <x v="17"/>
    <x v="1"/>
    <s v="Chennai"/>
    <x v="0"/>
    <s v="Laptop"/>
    <x v="17"/>
    <x v="1"/>
    <x v="0"/>
    <n v="4"/>
    <n v="48000"/>
    <n v="192000"/>
  </r>
  <r>
    <s v="O1019"/>
    <x v="18"/>
    <x v="2"/>
    <s v="Kolkata"/>
    <x v="0"/>
    <s v="Mobile"/>
    <x v="18"/>
    <x v="2"/>
    <x v="1"/>
    <n v="5"/>
    <n v="42000"/>
    <n v="210000"/>
  </r>
  <r>
    <s v="O1020"/>
    <x v="19"/>
    <x v="3"/>
    <s v="Mumbai"/>
    <x v="1"/>
    <s v="Table"/>
    <x v="19"/>
    <x v="3"/>
    <x v="0"/>
    <n v="2"/>
    <n v="28000"/>
    <n v="5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ACA20-6D7C-4D07-A2B3-B8E62FDD5735}" name="PivotTable1" cacheId="8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Region">
  <location ref="A5:D11" firstHeaderRow="1" firstDataRow="2" firstDataCol="1"/>
  <pivotFields count="13"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Sales Amount" fld="11" baseField="2" baseItem="3" numFmtId="164"/>
  </dataFields>
  <formats count="27">
    <format dxfId="1384">
      <pivotArea type="all" dataOnly="0" outline="0" fieldPosition="0"/>
    </format>
    <format dxfId="1383">
      <pivotArea outline="0" collapsedLevelsAreSubtotals="1" fieldPosition="0"/>
    </format>
    <format dxfId="1382">
      <pivotArea type="origin" dataOnly="0" labelOnly="1" outline="0" fieldPosition="0"/>
    </format>
    <format dxfId="1381">
      <pivotArea field="4" type="button" dataOnly="0" labelOnly="1" outline="0" axis="axisCol" fieldPosition="0"/>
    </format>
    <format dxfId="1380">
      <pivotArea type="topRight" dataOnly="0" labelOnly="1" outline="0" fieldPosition="0"/>
    </format>
    <format dxfId="1379">
      <pivotArea field="2" type="button" dataOnly="0" labelOnly="1" outline="0" axis="axisRow" fieldPosition="0"/>
    </format>
    <format dxfId="1378">
      <pivotArea dataOnly="0" labelOnly="1" fieldPosition="0">
        <references count="1">
          <reference field="2" count="0"/>
        </references>
      </pivotArea>
    </format>
    <format dxfId="1377">
      <pivotArea dataOnly="0" labelOnly="1" fieldPosition="0">
        <references count="1">
          <reference field="4" count="0"/>
        </references>
      </pivotArea>
    </format>
    <format dxfId="1376">
      <pivotArea dataOnly="0" labelOnly="1" grandCol="1" outline="0" fieldPosition="0"/>
    </format>
    <format dxfId="1375">
      <pivotArea type="all" dataOnly="0" outline="0" fieldPosition="0"/>
    </format>
    <format dxfId="1374">
      <pivotArea outline="0" collapsedLevelsAreSubtotals="1" fieldPosition="0"/>
    </format>
    <format dxfId="1373">
      <pivotArea type="origin" dataOnly="0" labelOnly="1" outline="0" fieldPosition="0"/>
    </format>
    <format dxfId="1372">
      <pivotArea field="4" type="button" dataOnly="0" labelOnly="1" outline="0" axis="axisCol" fieldPosition="0"/>
    </format>
    <format dxfId="1371">
      <pivotArea type="topRight" dataOnly="0" labelOnly="1" outline="0" fieldPosition="0"/>
    </format>
    <format dxfId="1370">
      <pivotArea field="2" type="button" dataOnly="0" labelOnly="1" outline="0" axis="axisRow" fieldPosition="0"/>
    </format>
    <format dxfId="1369">
      <pivotArea dataOnly="0" labelOnly="1" fieldPosition="0">
        <references count="1">
          <reference field="2" count="0"/>
        </references>
      </pivotArea>
    </format>
    <format dxfId="1368">
      <pivotArea dataOnly="0" labelOnly="1" fieldPosition="0">
        <references count="1">
          <reference field="4" count="0"/>
        </references>
      </pivotArea>
    </format>
    <format dxfId="1367">
      <pivotArea dataOnly="0" labelOnly="1" grandCol="1" outline="0" fieldPosition="0"/>
    </format>
    <format dxfId="1366">
      <pivotArea type="all" dataOnly="0" outline="0" fieldPosition="0"/>
    </format>
    <format dxfId="1365">
      <pivotArea outline="0" collapsedLevelsAreSubtotals="1" fieldPosition="0"/>
    </format>
    <format dxfId="1364">
      <pivotArea type="origin" dataOnly="0" labelOnly="1" outline="0" fieldPosition="0"/>
    </format>
    <format dxfId="1363">
      <pivotArea field="4" type="button" dataOnly="0" labelOnly="1" outline="0" axis="axisCol" fieldPosition="0"/>
    </format>
    <format dxfId="1362">
      <pivotArea type="topRight" dataOnly="0" labelOnly="1" outline="0" fieldPosition="0"/>
    </format>
    <format dxfId="1361">
      <pivotArea field="2" type="button" dataOnly="0" labelOnly="1" outline="0" axis="axisRow" fieldPosition="0"/>
    </format>
    <format dxfId="1360">
      <pivotArea dataOnly="0" labelOnly="1" fieldPosition="0">
        <references count="1">
          <reference field="2" count="0"/>
        </references>
      </pivotArea>
    </format>
    <format dxfId="1359">
      <pivotArea dataOnly="0" labelOnly="1" fieldPosition="0">
        <references count="1">
          <reference field="4" count="0"/>
        </references>
      </pivotArea>
    </format>
    <format dxfId="13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C1340-A1F5-4549-BB50-9609B3946A02}" name="PivotTable2" cacheId="8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 rowHeaderCaption="Months">
  <location ref="A5:B30" firstHeaderRow="1" firstDataRow="1" firstDataCol="1"/>
  <pivotFields count="13">
    <pivotField showAll="0"/>
    <pivotField axis="axisRow"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2"/>
    <field x="1"/>
  </rowFields>
  <rowItems count="25">
    <i>
      <x v="1"/>
    </i>
    <i r="1">
      <x v="3"/>
    </i>
    <i r="1">
      <x v="5"/>
    </i>
    <i r="1">
      <x v="8"/>
    </i>
    <i r="1">
      <x v="15"/>
    </i>
    <i r="1">
      <x v="21"/>
    </i>
    <i>
      <x v="2"/>
    </i>
    <i r="1">
      <x v="33"/>
    </i>
    <i r="1">
      <x v="41"/>
    </i>
    <i r="1">
      <x v="49"/>
    </i>
    <i r="1">
      <x v="53"/>
    </i>
    <i>
      <x v="3"/>
    </i>
    <i r="1">
      <x v="63"/>
    </i>
    <i r="1">
      <x v="68"/>
    </i>
    <i r="1">
      <x v="75"/>
    </i>
    <i r="1">
      <x v="88"/>
    </i>
    <i>
      <x v="4"/>
    </i>
    <i r="1">
      <x v="95"/>
    </i>
    <i r="1">
      <x v="103"/>
    </i>
    <i r="1">
      <x v="111"/>
    </i>
    <i>
      <x v="5"/>
    </i>
    <i r="1">
      <x v="123"/>
    </i>
    <i r="1">
      <x v="131"/>
    </i>
    <i r="1">
      <x v="139"/>
    </i>
    <i r="1">
      <x v="147"/>
    </i>
  </rowItems>
  <colItems count="1">
    <i/>
  </colItems>
  <dataFields count="1">
    <dataField name="Sum of Sales Amount" fld="11" baseField="12" baseItem="3" numFmtId="164"/>
  </dataFields>
  <formats count="7">
    <format dxfId="1339">
      <pivotArea type="all" dataOnly="0" outline="0" fieldPosition="0"/>
    </format>
    <format dxfId="1340">
      <pivotArea outline="0" collapsedLevelsAreSubtotals="1" fieldPosition="0"/>
    </format>
    <format dxfId="1341">
      <pivotArea dataOnly="0" labelOnly="1" outline="0" axis="axisValues" fieldPosition="0"/>
    </format>
    <format dxfId="1342">
      <pivotArea type="all" dataOnly="0" outline="0" fieldPosition="0"/>
    </format>
    <format dxfId="1343">
      <pivotArea outline="0" collapsedLevelsAreSubtotals="1" fieldPosition="0"/>
    </format>
    <format dxfId="1344">
      <pivotArea dataOnly="0" labelOnly="1" outline="0" axis="axisValues" fieldPosition="0"/>
    </format>
    <format dxfId="134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B9C6D-3216-45BA-AD66-35A8FBE414CB}" name="PivotTable3" cacheId="8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ales preson">
  <location ref="A4:F9" firstHeaderRow="0" firstDataRow="1" firstDataCol="1"/>
  <pivotFields count="13">
    <pivotField dataField="1"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1" baseField="7" baseItem="0"/>
    <dataField name="Average of Sales" fld="11" subtotal="average" baseField="7" baseItem="0"/>
    <dataField name="Count of Order" fld="0" subtotal="count" baseField="7" baseItem="0"/>
    <dataField name="Max of Sales" fld="11" subtotal="max" baseField="7" baseItem="0"/>
    <dataField name="Min of Sales" fld="11" subtotal="min" baseField="7" baseItem="0"/>
  </dataFields>
  <formats count="12">
    <format dxfId="1357">
      <pivotArea type="all" dataOnly="0" outline="0" fieldPosition="0"/>
    </format>
    <format dxfId="1356">
      <pivotArea outline="0" collapsedLevelsAreSubtotals="1" fieldPosition="0"/>
    </format>
    <format dxfId="1355">
      <pivotArea field="7" type="button" dataOnly="0" labelOnly="1" outline="0" axis="axisRow" fieldPosition="0"/>
    </format>
    <format dxfId="1354">
      <pivotArea dataOnly="0" labelOnly="1" fieldPosition="0">
        <references count="1">
          <reference field="7" count="0"/>
        </references>
      </pivotArea>
    </format>
    <format dxfId="1353">
      <pivotArea dataOnly="0" labelOnly="1" grandRow="1" outline="0" fieldPosition="0"/>
    </format>
    <format dxfId="13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51">
      <pivotArea type="all" dataOnly="0" outline="0" fieldPosition="0"/>
    </format>
    <format dxfId="1350">
      <pivotArea outline="0" collapsedLevelsAreSubtotals="1" fieldPosition="0"/>
    </format>
    <format dxfId="1349">
      <pivotArea field="7" type="button" dataOnly="0" labelOnly="1" outline="0" axis="axisRow" fieldPosition="0"/>
    </format>
    <format dxfId="1348">
      <pivotArea dataOnly="0" labelOnly="1" fieldPosition="0">
        <references count="1">
          <reference field="7" count="0"/>
        </references>
      </pivotArea>
    </format>
    <format dxfId="1347">
      <pivotArea dataOnly="0" labelOnly="1" grandRow="1" outline="0" fieldPosition="0"/>
    </format>
    <format dxfId="13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DD69A-24F6-4A3F-AA35-CC537EA0396D}" name="PivotTable1" cacheId="8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6:B19" firstHeaderRow="1" firstDataRow="1" firstDataCol="1" rowPageCount="1" colPageCount="1"/>
  <pivotFields count="13"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 sortType="descending">
      <items count="21">
        <item x="17"/>
        <item x="12"/>
        <item x="0"/>
        <item x="19"/>
        <item x="6"/>
        <item x="15"/>
        <item x="3"/>
        <item x="8"/>
        <item x="5"/>
        <item x="7"/>
        <item x="16"/>
        <item x="2"/>
        <item x="9"/>
        <item x="10"/>
        <item x="11"/>
        <item x="1"/>
        <item x="13"/>
        <item x="4"/>
        <item x="1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3">
    <i>
      <x v="15"/>
    </i>
    <i>
      <x v="13"/>
    </i>
    <i>
      <x v="9"/>
    </i>
    <i>
      <x v="18"/>
    </i>
    <i>
      <x/>
    </i>
    <i>
      <x v="16"/>
    </i>
    <i>
      <x v="5"/>
    </i>
    <i>
      <x v="8"/>
    </i>
    <i>
      <x v="1"/>
    </i>
    <i>
      <x v="2"/>
    </i>
    <i>
      <x v="7"/>
    </i>
    <i>
      <x v="6"/>
    </i>
    <i t="grand">
      <x/>
    </i>
  </rowItems>
  <colItems count="1">
    <i/>
  </colItems>
  <pageFields count="1">
    <pageField fld="4" hier="-1"/>
  </pageFields>
  <dataFields count="1">
    <dataField name="Sum of Sales Amount" fld="11" baseField="6" baseItem="9" numFmtId="164"/>
  </dataFields>
  <formats count="13">
    <format dxfId="1337">
      <pivotArea type="all" dataOnly="0" outline="0" fieldPosition="0"/>
    </format>
    <format dxfId="1336">
      <pivotArea outline="0" collapsedLevelsAreSubtotals="1" fieldPosition="0"/>
    </format>
    <format dxfId="1335">
      <pivotArea field="6" type="button" dataOnly="0" labelOnly="1" outline="0" axis="axisRow" fieldPosition="0"/>
    </format>
    <format dxfId="1334">
      <pivotArea dataOnly="0" labelOnly="1" fieldPosition="0">
        <references count="1">
          <reference field="6" count="12">
            <x v="0"/>
            <x v="1"/>
            <x v="2"/>
            <x v="5"/>
            <x v="6"/>
            <x v="7"/>
            <x v="8"/>
            <x v="9"/>
            <x v="13"/>
            <x v="15"/>
            <x v="16"/>
            <x v="18"/>
          </reference>
        </references>
      </pivotArea>
    </format>
    <format dxfId="1333">
      <pivotArea dataOnly="0" labelOnly="1" grandRow="1" outline="0" fieldPosition="0"/>
    </format>
    <format dxfId="1332">
      <pivotArea dataOnly="0" labelOnly="1" outline="0" axis="axisValues" fieldPosition="0"/>
    </format>
    <format dxfId="1331">
      <pivotArea type="all" dataOnly="0" outline="0" fieldPosition="0"/>
    </format>
    <format dxfId="1330">
      <pivotArea outline="0" collapsedLevelsAreSubtotals="1" fieldPosition="0"/>
    </format>
    <format dxfId="1329">
      <pivotArea field="6" type="button" dataOnly="0" labelOnly="1" outline="0" axis="axisRow" fieldPosition="0"/>
    </format>
    <format dxfId="1328">
      <pivotArea dataOnly="0" labelOnly="1" fieldPosition="0">
        <references count="1">
          <reference field="6" count="12">
            <x v="0"/>
            <x v="1"/>
            <x v="2"/>
            <x v="5"/>
            <x v="6"/>
            <x v="7"/>
            <x v="8"/>
            <x v="9"/>
            <x v="13"/>
            <x v="15"/>
            <x v="16"/>
            <x v="18"/>
          </reference>
        </references>
      </pivotArea>
    </format>
    <format dxfId="1327">
      <pivotArea dataOnly="0" labelOnly="1" grandRow="1" outline="0" fieldPosition="0"/>
    </format>
    <format dxfId="1326">
      <pivotArea dataOnly="0" labelOnly="1" outline="0" axis="axisValues" fieldPosition="0"/>
    </format>
    <format dxfId="132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13B86-65EE-4FB5-84F7-7C7CA7D4F2DA}" name="PivotTable2" cacheId="8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3" rowHeaderCaption="Region">
  <location ref="A6:K28" firstHeaderRow="1" firstDataRow="3" firstDataCol="2" rowPageCount="1" colPageCount="1"/>
  <pivotFields count="13">
    <pivotField dataField="1" compact="0" outline="0" showAll="0" defaultSubtotal="0"/>
    <pivotField compact="0" numFmtId="15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compact="0" outline="0" showAll="0" sortType="descending" defaultSubtotal="0">
      <items count="4">
        <item x="2"/>
        <item x="0"/>
        <item x="1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defaultSubtotal="0"/>
    <pivotField name="Category Filter" axis="axisPage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2"/>
    <field x="2"/>
  </rowFields>
  <rowItems count="20">
    <i>
      <x v="1"/>
      <x v="2"/>
    </i>
    <i r="1">
      <x v="1"/>
    </i>
    <i r="1">
      <x v="3"/>
    </i>
    <i r="1">
      <x/>
    </i>
    <i>
      <x v="2"/>
      <x v="3"/>
    </i>
    <i r="1">
      <x v="2"/>
    </i>
    <i r="1">
      <x v="1"/>
    </i>
    <i r="1">
      <x/>
    </i>
    <i>
      <x v="3"/>
      <x/>
    </i>
    <i r="1">
      <x v="1"/>
    </i>
    <i r="1">
      <x v="3"/>
    </i>
    <i r="1">
      <x v="2"/>
    </i>
    <i>
      <x v="4"/>
      <x v="3"/>
    </i>
    <i r="1">
      <x v="2"/>
    </i>
    <i r="1">
      <x/>
    </i>
    <i>
      <x v="5"/>
      <x/>
    </i>
    <i r="1">
      <x v="2"/>
    </i>
    <i r="1">
      <x v="1"/>
    </i>
    <i r="1">
      <x v="3"/>
    </i>
    <i t="grand">
      <x/>
    </i>
  </rowItems>
  <colFields count="2">
    <field x="8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4" hier="-1"/>
  </pageFields>
  <dataFields count="3">
    <dataField name="Total Sales" fld="11" baseField="2" baseItem="1" numFmtId="164"/>
    <dataField name="Average Sales" fld="11" subtotal="average" baseField="2" baseItem="1" numFmtId="169"/>
    <dataField name="Number of Orders" fld="0" subtotal="count" baseField="2" baseItem="0"/>
  </dataFields>
  <formats count="46">
    <format dxfId="1324">
      <pivotArea dataOnly="0" labelOnly="1" fieldPosition="0">
        <references count="1">
          <reference field="8" count="1">
            <x v="0"/>
          </reference>
        </references>
      </pivotArea>
    </format>
    <format dxfId="1323">
      <pivotArea outline="0" fieldPosition="0">
        <references count="1">
          <reference field="4294967294" count="1">
            <x v="0"/>
          </reference>
        </references>
      </pivotArea>
    </format>
    <format dxfId="1322">
      <pivotArea outline="0" fieldPosition="0">
        <references count="1">
          <reference field="4294967294" count="1">
            <x v="1"/>
          </reference>
        </references>
      </pivotArea>
    </format>
    <format dxfId="132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132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"/>
          </reference>
        </references>
      </pivotArea>
    </format>
    <format dxfId="1319">
      <pivotArea dataOnly="0" labelOnly="1" outline="0" fieldPosition="0">
        <references count="1">
          <reference field="8" count="1">
            <x v="0"/>
          </reference>
        </references>
      </pivotArea>
    </format>
    <format dxfId="1318">
      <pivotArea dataOnly="0" labelOnly="1" outline="0" fieldPosition="0">
        <references count="1">
          <reference field="8" count="1">
            <x v="1"/>
          </reference>
        </references>
      </pivotArea>
    </format>
    <format dxfId="1317">
      <pivotArea type="topRight" dataOnly="0" labelOnly="1" outline="0" offset="E1:G1" fieldPosition="0"/>
    </format>
    <format dxfId="1316">
      <pivotArea type="topRight" dataOnly="0" labelOnly="1" outline="0" offset="E1" fieldPosition="0"/>
    </format>
    <format dxfId="1315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14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13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312">
      <pivotArea type="topRight" dataOnly="0" labelOnly="1" outline="0" offset="F1" fieldPosition="0"/>
    </format>
    <format dxfId="1311">
      <pivotArea type="topRight" dataOnly="0" labelOnly="1" outline="0" offset="G1" fieldPosition="0"/>
    </format>
    <format dxfId="1310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09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08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30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130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"/>
          </reference>
        </references>
      </pivotArea>
    </format>
    <format dxfId="1305">
      <pivotArea type="origin" dataOnly="0" labelOnly="1" outline="0" offset="A1:A2" fieldPosition="0"/>
    </format>
    <format dxfId="1304">
      <pivotArea field="12" type="button" dataOnly="0" labelOnly="1" outline="0" axis="axisRow" fieldPosition="0"/>
    </format>
    <format dxfId="1303">
      <pivotArea type="origin" dataOnly="0" labelOnly="1" outline="0" offset="B1:B2" fieldPosition="0"/>
    </format>
    <format dxfId="1302">
      <pivotArea field="2" type="button" dataOnly="0" labelOnly="1" outline="0" axis="axisRow" fieldPosition="1"/>
    </format>
    <format dxfId="1301">
      <pivotArea type="all" dataOnly="0" outline="0" fieldPosition="0"/>
    </format>
    <format dxfId="1300">
      <pivotArea outline="0" collapsedLevelsAreSubtotals="1" fieldPosition="0"/>
    </format>
    <format dxfId="1299">
      <pivotArea type="origin" dataOnly="0" labelOnly="1" outline="0" fieldPosition="0"/>
    </format>
    <format dxfId="1298">
      <pivotArea field="8" type="button" dataOnly="0" labelOnly="1" outline="0" axis="axisCol" fieldPosition="0"/>
    </format>
    <format dxfId="1297">
      <pivotArea field="-2" type="button" dataOnly="0" labelOnly="1" outline="0" axis="axisCol" fieldPosition="1"/>
    </format>
    <format dxfId="1296">
      <pivotArea type="topRight" dataOnly="0" labelOnly="1" outline="0" fieldPosition="0"/>
    </format>
    <format dxfId="1295">
      <pivotArea field="12" type="button" dataOnly="0" labelOnly="1" outline="0" axis="axisRow" fieldPosition="0"/>
    </format>
    <format dxfId="1294">
      <pivotArea field="2" type="button" dataOnly="0" labelOnly="1" outline="0" axis="axisRow" fieldPosition="1"/>
    </format>
    <format dxfId="1293">
      <pivotArea dataOnly="0" labelOnly="1" outline="0" fieldPosition="0">
        <references count="1">
          <reference field="12" count="5">
            <x v="1"/>
            <x v="2"/>
            <x v="3"/>
            <x v="4"/>
            <x v="5"/>
          </reference>
        </references>
      </pivotArea>
    </format>
    <format dxfId="1292">
      <pivotArea dataOnly="0" labelOnly="1" grandRow="1" outline="0" fieldPosition="0"/>
    </format>
    <format dxfId="1291">
      <pivotArea dataOnly="0" labelOnly="1" outline="0" fieldPosition="0">
        <references count="2">
          <reference field="2" count="0"/>
          <reference field="12" count="1" selected="0">
            <x v="1"/>
          </reference>
        </references>
      </pivotArea>
    </format>
    <format dxfId="1290">
      <pivotArea dataOnly="0" labelOnly="1" outline="0" fieldPosition="0">
        <references count="2">
          <reference field="2" count="0"/>
          <reference field="12" count="1" selected="0">
            <x v="2"/>
          </reference>
        </references>
      </pivotArea>
    </format>
    <format dxfId="1289">
      <pivotArea dataOnly="0" labelOnly="1" outline="0" fieldPosition="0">
        <references count="2">
          <reference field="2" count="0"/>
          <reference field="12" count="1" selected="0">
            <x v="3"/>
          </reference>
        </references>
      </pivotArea>
    </format>
    <format dxfId="1288">
      <pivotArea dataOnly="0" labelOnly="1" outline="0" fieldPosition="0">
        <references count="2">
          <reference field="2" count="3">
            <x v="0"/>
            <x v="2"/>
            <x v="3"/>
          </reference>
          <reference field="12" count="1" selected="0">
            <x v="4"/>
          </reference>
        </references>
      </pivotArea>
    </format>
    <format dxfId="1287">
      <pivotArea dataOnly="0" labelOnly="1" outline="0" fieldPosition="0">
        <references count="2">
          <reference field="2" count="0"/>
          <reference field="12" count="1" selected="0">
            <x v="5"/>
          </reference>
        </references>
      </pivotArea>
    </format>
    <format dxfId="1286">
      <pivotArea dataOnly="0" labelOnly="1" outline="0" fieldPosition="0">
        <references count="1">
          <reference field="8" count="0"/>
        </references>
      </pivotArea>
    </format>
    <format dxfId="1285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84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83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28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128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"/>
          </reference>
        </references>
      </pivotArea>
    </format>
    <format dxfId="1">
      <pivotArea field="4" type="button" dataOnly="0" labelOnly="1" outline="0" axis="axisPage" fieldPosition="0"/>
    </format>
    <format dxfId="0">
      <pivotArea field="4" type="button" dataOnly="0" labelOnly="1" outline="0" axis="axisPage" fieldPosition="0"/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4ED84-4DCF-4DC5-BB1C-510F61A8F4CE}" name="Table1" displayName="Table1" ref="A1:L2" totalsRowShown="0">
  <autoFilter ref="A1:L2" xr:uid="{9074ED84-4DCF-4DC5-BB1C-510F61A8F4CE}"/>
  <tableColumns count="12">
    <tableColumn id="1" xr3:uid="{74E3BC30-7C22-4494-903F-AB713001471B}" name="Order ID"/>
    <tableColumn id="2" xr3:uid="{4BD5B3D3-AF15-49D0-80B2-D2AB11FEA705}" name="Order Date" dataDxfId="1338"/>
    <tableColumn id="3" xr3:uid="{CEC2A889-B93A-4837-8F85-3B1DA4DC59BB}" name="Region"/>
    <tableColumn id="4" xr3:uid="{E63CCEB7-70A4-4450-8BCF-A6CCB3C70FAD}" name="State"/>
    <tableColumn id="5" xr3:uid="{B523724B-CE39-46C1-904B-DE95727C19AD}" name="Category"/>
    <tableColumn id="6" xr3:uid="{85A698D5-1AF8-43E4-8ADD-AF3D1C4F975B}" name="Sub-Category"/>
    <tableColumn id="7" xr3:uid="{B7079F82-8328-46BC-B521-ED135150C05C}" name="Product"/>
    <tableColumn id="8" xr3:uid="{2975792B-9132-46A6-82A0-04D133A2CC9C}" name="Salesperson"/>
    <tableColumn id="9" xr3:uid="{7DDED850-A825-4E67-9A84-CF427DB85218}" name="Customer Type"/>
    <tableColumn id="10" xr3:uid="{2A9B046E-151F-4C66-8AEA-AA6A37169145}" name="Quantity"/>
    <tableColumn id="11" xr3:uid="{D961756E-C513-4BD4-83A1-685AA95FB060}" name="Unit Price"/>
    <tableColumn id="12" xr3:uid="{C810C9E4-39BC-4B4B-B2CD-7B62F387C1C1}" name="Sales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48D0-7128-4D5A-85F4-D54EF2BDE5B1}">
  <dimension ref="A1:L21"/>
  <sheetViews>
    <sheetView workbookViewId="0">
      <selection activeCell="H9" sqref="A1:L21"/>
    </sheetView>
  </sheetViews>
  <sheetFormatPr defaultRowHeight="14.4" x14ac:dyDescent="0.3"/>
  <cols>
    <col min="1" max="1" width="10.6640625" bestFit="1" customWidth="1"/>
    <col min="2" max="2" width="13.77734375" bestFit="1" customWidth="1"/>
    <col min="4" max="4" width="16.109375" bestFit="1" customWidth="1"/>
    <col min="5" max="5" width="12.77734375" bestFit="1" customWidth="1"/>
    <col min="6" max="6" width="16.109375" bestFit="1" customWidth="1"/>
    <col min="7" max="7" width="19.6640625" bestFit="1" customWidth="1"/>
    <col min="8" max="8" width="14.6640625" bestFit="1" customWidth="1"/>
    <col min="9" max="9" width="18" bestFit="1" customWidth="1"/>
    <col min="10" max="10" width="11" bestFit="1" customWidth="1"/>
    <col min="11" max="11" width="12.109375" bestFit="1" customWidth="1"/>
    <col min="12" max="12" width="16.5546875" bestFit="1" customWidth="1"/>
  </cols>
  <sheetData>
    <row r="1" spans="1:12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x14ac:dyDescent="0.3">
      <c r="A2" s="2" t="s">
        <v>12</v>
      </c>
      <c r="B2" s="3">
        <v>45660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2</v>
      </c>
      <c r="K2" s="2">
        <v>55000</v>
      </c>
      <c r="L2" s="2">
        <v>110000</v>
      </c>
    </row>
    <row r="3" spans="1:12" ht="18" x14ac:dyDescent="0.3">
      <c r="A3" s="2" t="s">
        <v>20</v>
      </c>
      <c r="B3" s="3">
        <v>45662</v>
      </c>
      <c r="C3" s="2" t="s">
        <v>21</v>
      </c>
      <c r="D3" s="2" t="s">
        <v>22</v>
      </c>
      <c r="E3" s="2" t="s">
        <v>15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4</v>
      </c>
      <c r="K3" s="2">
        <v>65000</v>
      </c>
      <c r="L3" s="2">
        <v>260000</v>
      </c>
    </row>
    <row r="4" spans="1:12" ht="18" x14ac:dyDescent="0.3">
      <c r="A4" s="2" t="s">
        <v>27</v>
      </c>
      <c r="B4" s="3">
        <v>45665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19</v>
      </c>
      <c r="J4" s="2">
        <v>5</v>
      </c>
      <c r="K4" s="2">
        <v>4000</v>
      </c>
      <c r="L4" s="2">
        <v>20000</v>
      </c>
    </row>
    <row r="5" spans="1:12" ht="18" x14ac:dyDescent="0.3">
      <c r="A5" s="2" t="s">
        <v>34</v>
      </c>
      <c r="B5" s="3">
        <v>45672</v>
      </c>
      <c r="C5" s="2" t="s">
        <v>35</v>
      </c>
      <c r="D5" s="2" t="s">
        <v>36</v>
      </c>
      <c r="E5" s="2" t="s">
        <v>15</v>
      </c>
      <c r="F5" s="2" t="s">
        <v>16</v>
      </c>
      <c r="G5" s="2" t="s">
        <v>37</v>
      </c>
      <c r="H5" s="2" t="s">
        <v>38</v>
      </c>
      <c r="I5" s="2" t="s">
        <v>19</v>
      </c>
      <c r="J5" s="2">
        <v>1</v>
      </c>
      <c r="K5" s="2">
        <v>62000</v>
      </c>
      <c r="L5" s="2">
        <v>62000</v>
      </c>
    </row>
    <row r="6" spans="1:12" ht="18" x14ac:dyDescent="0.3">
      <c r="A6" s="2" t="s">
        <v>39</v>
      </c>
      <c r="B6" s="3">
        <v>45678</v>
      </c>
      <c r="C6" s="2" t="s">
        <v>13</v>
      </c>
      <c r="D6" s="2" t="s">
        <v>14</v>
      </c>
      <c r="E6" s="2" t="s">
        <v>30</v>
      </c>
      <c r="F6" s="2" t="s">
        <v>40</v>
      </c>
      <c r="G6" s="2" t="s">
        <v>41</v>
      </c>
      <c r="H6" s="2" t="s">
        <v>18</v>
      </c>
      <c r="I6" s="2" t="s">
        <v>26</v>
      </c>
      <c r="J6" s="2">
        <v>3</v>
      </c>
      <c r="K6" s="2">
        <v>9000</v>
      </c>
      <c r="L6" s="2">
        <v>27000</v>
      </c>
    </row>
    <row r="7" spans="1:12" ht="18" x14ac:dyDescent="0.3">
      <c r="A7" s="2" t="s">
        <v>42</v>
      </c>
      <c r="B7" s="3">
        <v>45690</v>
      </c>
      <c r="C7" s="2" t="s">
        <v>21</v>
      </c>
      <c r="D7" s="2" t="s">
        <v>43</v>
      </c>
      <c r="E7" s="2" t="s">
        <v>15</v>
      </c>
      <c r="F7" s="2" t="s">
        <v>23</v>
      </c>
      <c r="G7" s="2" t="s">
        <v>44</v>
      </c>
      <c r="H7" s="2" t="s">
        <v>25</v>
      </c>
      <c r="I7" s="2" t="s">
        <v>19</v>
      </c>
      <c r="J7" s="2">
        <v>2</v>
      </c>
      <c r="K7" s="2">
        <v>85000</v>
      </c>
      <c r="L7" s="2">
        <v>170000</v>
      </c>
    </row>
    <row r="8" spans="1:12" ht="18" x14ac:dyDescent="0.3">
      <c r="A8" s="2" t="s">
        <v>45</v>
      </c>
      <c r="B8" s="3">
        <v>45698</v>
      </c>
      <c r="C8" s="2" t="s">
        <v>28</v>
      </c>
      <c r="D8" s="2" t="s">
        <v>46</v>
      </c>
      <c r="E8" s="2" t="s">
        <v>30</v>
      </c>
      <c r="F8" s="2" t="s">
        <v>31</v>
      </c>
      <c r="G8" s="2" t="s">
        <v>47</v>
      </c>
      <c r="H8" s="2" t="s">
        <v>33</v>
      </c>
      <c r="I8" s="2" t="s">
        <v>26</v>
      </c>
      <c r="J8" s="2">
        <v>2</v>
      </c>
      <c r="K8" s="2">
        <v>12000</v>
      </c>
      <c r="L8" s="2">
        <v>24000</v>
      </c>
    </row>
    <row r="9" spans="1:12" ht="18" x14ac:dyDescent="0.3">
      <c r="A9" s="2" t="s">
        <v>48</v>
      </c>
      <c r="B9" s="3">
        <v>45706</v>
      </c>
      <c r="C9" s="2" t="s">
        <v>35</v>
      </c>
      <c r="D9" s="2" t="s">
        <v>49</v>
      </c>
      <c r="E9" s="2" t="s">
        <v>15</v>
      </c>
      <c r="F9" s="2" t="s">
        <v>16</v>
      </c>
      <c r="G9" s="2" t="s">
        <v>50</v>
      </c>
      <c r="H9" s="2" t="s">
        <v>38</v>
      </c>
      <c r="I9" s="2" t="s">
        <v>19</v>
      </c>
      <c r="J9" s="2">
        <v>3</v>
      </c>
      <c r="K9" s="2">
        <v>70000</v>
      </c>
      <c r="L9" s="2">
        <v>210000</v>
      </c>
    </row>
    <row r="10" spans="1:12" ht="18" x14ac:dyDescent="0.3">
      <c r="A10" s="2" t="s">
        <v>51</v>
      </c>
      <c r="B10" s="3">
        <v>45710</v>
      </c>
      <c r="C10" s="2" t="s">
        <v>13</v>
      </c>
      <c r="D10" s="2" t="s">
        <v>52</v>
      </c>
      <c r="E10" s="2" t="s">
        <v>15</v>
      </c>
      <c r="F10" s="2" t="s">
        <v>53</v>
      </c>
      <c r="G10" s="2" t="s">
        <v>54</v>
      </c>
      <c r="H10" s="2" t="s">
        <v>18</v>
      </c>
      <c r="I10" s="2" t="s">
        <v>19</v>
      </c>
      <c r="J10" s="2">
        <v>2</v>
      </c>
      <c r="K10" s="2">
        <v>50000</v>
      </c>
      <c r="L10" s="2">
        <v>100000</v>
      </c>
    </row>
    <row r="11" spans="1:12" ht="18" x14ac:dyDescent="0.3">
      <c r="A11" s="2" t="s">
        <v>55</v>
      </c>
      <c r="B11" s="3">
        <v>45719</v>
      </c>
      <c r="C11" s="2" t="s">
        <v>21</v>
      </c>
      <c r="D11" s="2" t="s">
        <v>22</v>
      </c>
      <c r="E11" s="2" t="s">
        <v>30</v>
      </c>
      <c r="F11" s="2" t="s">
        <v>40</v>
      </c>
      <c r="G11" s="2" t="s">
        <v>56</v>
      </c>
      <c r="H11" s="2" t="s">
        <v>25</v>
      </c>
      <c r="I11" s="2" t="s">
        <v>26</v>
      </c>
      <c r="J11" s="2">
        <v>4</v>
      </c>
      <c r="K11" s="2">
        <v>15000</v>
      </c>
      <c r="L11" s="2">
        <v>60000</v>
      </c>
    </row>
    <row r="12" spans="1:12" ht="18" x14ac:dyDescent="0.3">
      <c r="A12" s="2" t="s">
        <v>57</v>
      </c>
      <c r="B12" s="3">
        <v>45724</v>
      </c>
      <c r="C12" s="2" t="s">
        <v>28</v>
      </c>
      <c r="D12" s="2" t="s">
        <v>29</v>
      </c>
      <c r="E12" s="2" t="s">
        <v>15</v>
      </c>
      <c r="F12" s="2" t="s">
        <v>23</v>
      </c>
      <c r="G12" s="2" t="s">
        <v>58</v>
      </c>
      <c r="H12" s="2" t="s">
        <v>33</v>
      </c>
      <c r="I12" s="2" t="s">
        <v>19</v>
      </c>
      <c r="J12" s="2">
        <v>5</v>
      </c>
      <c r="K12" s="2">
        <v>45000</v>
      </c>
      <c r="L12" s="2">
        <v>225000</v>
      </c>
    </row>
    <row r="13" spans="1:12" ht="18" x14ac:dyDescent="0.3">
      <c r="A13" s="2" t="s">
        <v>59</v>
      </c>
      <c r="B13" s="3">
        <v>45731</v>
      </c>
      <c r="C13" s="2" t="s">
        <v>35</v>
      </c>
      <c r="D13" s="2" t="s">
        <v>36</v>
      </c>
      <c r="E13" s="2" t="s">
        <v>30</v>
      </c>
      <c r="F13" s="2" t="s">
        <v>60</v>
      </c>
      <c r="G13" s="2" t="s">
        <v>61</v>
      </c>
      <c r="H13" s="2" t="s">
        <v>38</v>
      </c>
      <c r="I13" s="2" t="s">
        <v>26</v>
      </c>
      <c r="J13" s="2">
        <v>2</v>
      </c>
      <c r="K13" s="2">
        <v>35000</v>
      </c>
      <c r="L13" s="2">
        <v>70000</v>
      </c>
    </row>
    <row r="14" spans="1:12" ht="18" x14ac:dyDescent="0.3">
      <c r="A14" s="2" t="s">
        <v>62</v>
      </c>
      <c r="B14" s="3">
        <v>45744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63</v>
      </c>
      <c r="H14" s="2" t="s">
        <v>18</v>
      </c>
      <c r="I14" s="2" t="s">
        <v>19</v>
      </c>
      <c r="J14" s="2">
        <v>3</v>
      </c>
      <c r="K14" s="2">
        <v>50000</v>
      </c>
      <c r="L14" s="2">
        <v>150000</v>
      </c>
    </row>
    <row r="15" spans="1:12" ht="18" x14ac:dyDescent="0.3">
      <c r="A15" s="2" t="s">
        <v>64</v>
      </c>
      <c r="B15" s="3">
        <v>45751</v>
      </c>
      <c r="C15" s="2" t="s">
        <v>21</v>
      </c>
      <c r="D15" s="2" t="s">
        <v>43</v>
      </c>
      <c r="E15" s="2" t="s">
        <v>15</v>
      </c>
      <c r="F15" s="2" t="s">
        <v>53</v>
      </c>
      <c r="G15" s="2" t="s">
        <v>65</v>
      </c>
      <c r="H15" s="2" t="s">
        <v>25</v>
      </c>
      <c r="I15" s="2" t="s">
        <v>26</v>
      </c>
      <c r="J15" s="2">
        <v>6</v>
      </c>
      <c r="K15" s="2">
        <v>30000</v>
      </c>
      <c r="L15" s="2">
        <v>180000</v>
      </c>
    </row>
    <row r="16" spans="1:12" ht="18" x14ac:dyDescent="0.3">
      <c r="A16" s="2" t="s">
        <v>66</v>
      </c>
      <c r="B16" s="3">
        <v>45759</v>
      </c>
      <c r="C16" s="2" t="s">
        <v>28</v>
      </c>
      <c r="D16" s="2" t="s">
        <v>46</v>
      </c>
      <c r="E16" s="2" t="s">
        <v>30</v>
      </c>
      <c r="F16" s="2" t="s">
        <v>31</v>
      </c>
      <c r="G16" s="2" t="s">
        <v>67</v>
      </c>
      <c r="H16" s="2" t="s">
        <v>33</v>
      </c>
      <c r="I16" s="2" t="s">
        <v>19</v>
      </c>
      <c r="J16" s="2">
        <v>8</v>
      </c>
      <c r="K16" s="2">
        <v>2500</v>
      </c>
      <c r="L16" s="2">
        <v>20000</v>
      </c>
    </row>
    <row r="17" spans="1:12" ht="18" x14ac:dyDescent="0.3">
      <c r="A17" s="2" t="s">
        <v>68</v>
      </c>
      <c r="B17" s="3">
        <v>45767</v>
      </c>
      <c r="C17" s="2" t="s">
        <v>35</v>
      </c>
      <c r="D17" s="2" t="s">
        <v>49</v>
      </c>
      <c r="E17" s="2" t="s">
        <v>15</v>
      </c>
      <c r="F17" s="2" t="s">
        <v>23</v>
      </c>
      <c r="G17" s="2" t="s">
        <v>69</v>
      </c>
      <c r="H17" s="2" t="s">
        <v>38</v>
      </c>
      <c r="I17" s="2" t="s">
        <v>26</v>
      </c>
      <c r="J17" s="2">
        <v>3</v>
      </c>
      <c r="K17" s="2">
        <v>60000</v>
      </c>
      <c r="L17" s="2">
        <v>180000</v>
      </c>
    </row>
    <row r="18" spans="1:12" ht="18" x14ac:dyDescent="0.3">
      <c r="A18" s="2" t="s">
        <v>70</v>
      </c>
      <c r="B18" s="3">
        <v>45779</v>
      </c>
      <c r="C18" s="2" t="s">
        <v>13</v>
      </c>
      <c r="D18" s="2" t="s">
        <v>52</v>
      </c>
      <c r="E18" s="2" t="s">
        <v>30</v>
      </c>
      <c r="F18" s="2" t="s">
        <v>60</v>
      </c>
      <c r="G18" s="2" t="s">
        <v>71</v>
      </c>
      <c r="H18" s="2" t="s">
        <v>18</v>
      </c>
      <c r="I18" s="2" t="s">
        <v>19</v>
      </c>
      <c r="J18" s="2">
        <v>2</v>
      </c>
      <c r="K18" s="2">
        <v>45000</v>
      </c>
      <c r="L18" s="2">
        <v>90000</v>
      </c>
    </row>
    <row r="19" spans="1:12" ht="18" x14ac:dyDescent="0.3">
      <c r="A19" s="2" t="s">
        <v>72</v>
      </c>
      <c r="B19" s="3">
        <v>45787</v>
      </c>
      <c r="C19" s="2" t="s">
        <v>21</v>
      </c>
      <c r="D19" s="2" t="s">
        <v>22</v>
      </c>
      <c r="E19" s="2" t="s">
        <v>15</v>
      </c>
      <c r="F19" s="2" t="s">
        <v>16</v>
      </c>
      <c r="G19" s="2" t="s">
        <v>73</v>
      </c>
      <c r="H19" s="2" t="s">
        <v>25</v>
      </c>
      <c r="I19" s="2" t="s">
        <v>19</v>
      </c>
      <c r="J19" s="2">
        <v>4</v>
      </c>
      <c r="K19" s="2">
        <v>48000</v>
      </c>
      <c r="L19" s="2">
        <v>192000</v>
      </c>
    </row>
    <row r="20" spans="1:12" ht="18" x14ac:dyDescent="0.3">
      <c r="A20" s="2" t="s">
        <v>74</v>
      </c>
      <c r="B20" s="3">
        <v>45795</v>
      </c>
      <c r="C20" s="2" t="s">
        <v>28</v>
      </c>
      <c r="D20" s="2" t="s">
        <v>29</v>
      </c>
      <c r="E20" s="2" t="s">
        <v>15</v>
      </c>
      <c r="F20" s="2" t="s">
        <v>23</v>
      </c>
      <c r="G20" s="2" t="s">
        <v>75</v>
      </c>
      <c r="H20" s="2" t="s">
        <v>33</v>
      </c>
      <c r="I20" s="2" t="s">
        <v>26</v>
      </c>
      <c r="J20" s="2">
        <v>5</v>
      </c>
      <c r="K20" s="2">
        <v>42000</v>
      </c>
      <c r="L20" s="2">
        <v>210000</v>
      </c>
    </row>
    <row r="21" spans="1:12" ht="18" x14ac:dyDescent="0.3">
      <c r="A21" s="2" t="s">
        <v>76</v>
      </c>
      <c r="B21" s="3">
        <v>45803</v>
      </c>
      <c r="C21" s="2" t="s">
        <v>35</v>
      </c>
      <c r="D21" s="2" t="s">
        <v>36</v>
      </c>
      <c r="E21" s="2" t="s">
        <v>30</v>
      </c>
      <c r="F21" s="2" t="s">
        <v>40</v>
      </c>
      <c r="G21" s="2" t="s">
        <v>77</v>
      </c>
      <c r="H21" s="2" t="s">
        <v>38</v>
      </c>
      <c r="I21" s="2" t="s">
        <v>19</v>
      </c>
      <c r="J21" s="2">
        <v>2</v>
      </c>
      <c r="K21" s="2">
        <v>28000</v>
      </c>
      <c r="L21" s="2">
        <v>56000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BFC9-B3C8-4F77-A924-2900DCDAD564}">
  <dimension ref="A1:D22"/>
  <sheetViews>
    <sheetView zoomScale="130" zoomScaleNormal="130" workbookViewId="0">
      <selection activeCell="A23" sqref="A23"/>
    </sheetView>
  </sheetViews>
  <sheetFormatPr defaultRowHeight="14.4" x14ac:dyDescent="0.3"/>
  <cols>
    <col min="1" max="1" width="24" bestFit="1" customWidth="1"/>
    <col min="2" max="2" width="18.6640625" bestFit="1" customWidth="1"/>
    <col min="3" max="3" width="12.21875" bestFit="1" customWidth="1"/>
    <col min="4" max="4" width="13.6640625" bestFit="1" customWidth="1"/>
    <col min="6" max="6" width="19.44140625" bestFit="1" customWidth="1"/>
    <col min="7" max="7" width="15.77734375" bestFit="1" customWidth="1"/>
    <col min="8" max="8" width="9.44140625" bestFit="1" customWidth="1"/>
    <col min="9" max="9" width="11" bestFit="1" customWidth="1"/>
  </cols>
  <sheetData>
    <row r="1" spans="1:4" x14ac:dyDescent="0.3">
      <c r="A1" s="12" t="s">
        <v>86</v>
      </c>
      <c r="B1" s="12"/>
      <c r="C1" s="12"/>
      <c r="D1" s="12"/>
    </row>
    <row r="2" spans="1:4" x14ac:dyDescent="0.3">
      <c r="A2" s="12"/>
      <c r="B2" s="12"/>
      <c r="C2" s="12"/>
      <c r="D2" s="12"/>
    </row>
    <row r="3" spans="1:4" x14ac:dyDescent="0.3">
      <c r="A3" s="12"/>
      <c r="B3" s="12"/>
      <c r="C3" s="12"/>
      <c r="D3" s="12"/>
    </row>
    <row r="5" spans="1:4" ht="18" x14ac:dyDescent="0.35">
      <c r="A5" s="6" t="s">
        <v>79</v>
      </c>
      <c r="B5" s="6" t="s">
        <v>80</v>
      </c>
      <c r="C5" s="4"/>
      <c r="D5" s="4"/>
    </row>
    <row r="6" spans="1:4" ht="18" x14ac:dyDescent="0.35">
      <c r="A6" s="6" t="s">
        <v>2</v>
      </c>
      <c r="B6" s="4" t="s">
        <v>15</v>
      </c>
      <c r="C6" s="4" t="s">
        <v>30</v>
      </c>
      <c r="D6" s="4" t="s">
        <v>78</v>
      </c>
    </row>
    <row r="7" spans="1:4" ht="18" x14ac:dyDescent="0.35">
      <c r="A7" s="7" t="s">
        <v>21</v>
      </c>
      <c r="B7" s="5">
        <v>802000</v>
      </c>
      <c r="C7" s="5">
        <v>60000</v>
      </c>
      <c r="D7" s="5">
        <v>862000</v>
      </c>
    </row>
    <row r="8" spans="1:4" ht="18" x14ac:dyDescent="0.35">
      <c r="A8" s="7" t="s">
        <v>35</v>
      </c>
      <c r="B8" s="5">
        <v>452000</v>
      </c>
      <c r="C8" s="5">
        <v>126000</v>
      </c>
      <c r="D8" s="5">
        <v>578000</v>
      </c>
    </row>
    <row r="9" spans="1:4" ht="18" x14ac:dyDescent="0.35">
      <c r="A9" s="7" t="s">
        <v>28</v>
      </c>
      <c r="B9" s="5">
        <v>435000</v>
      </c>
      <c r="C9" s="5">
        <v>64000</v>
      </c>
      <c r="D9" s="5">
        <v>499000</v>
      </c>
    </row>
    <row r="10" spans="1:4" ht="18" x14ac:dyDescent="0.35">
      <c r="A10" s="7" t="s">
        <v>13</v>
      </c>
      <c r="B10" s="5">
        <v>360000</v>
      </c>
      <c r="C10" s="5">
        <v>117000</v>
      </c>
      <c r="D10" s="5">
        <v>477000</v>
      </c>
    </row>
    <row r="11" spans="1:4" ht="18" x14ac:dyDescent="0.35">
      <c r="A11" s="7" t="s">
        <v>78</v>
      </c>
      <c r="B11" s="5">
        <v>2049000</v>
      </c>
      <c r="C11" s="5">
        <v>367000</v>
      </c>
      <c r="D11" s="5">
        <v>2416000</v>
      </c>
    </row>
    <row r="13" spans="1:4" ht="18" x14ac:dyDescent="0.3">
      <c r="A13" s="13" t="s">
        <v>81</v>
      </c>
      <c r="B13" s="13"/>
      <c r="C13" s="13"/>
      <c r="D13" s="13"/>
    </row>
    <row r="14" spans="1:4" ht="15.6" x14ac:dyDescent="0.3">
      <c r="A14" s="14" t="s">
        <v>82</v>
      </c>
      <c r="B14" s="14"/>
      <c r="C14" s="14"/>
      <c r="D14" s="14"/>
    </row>
    <row r="16" spans="1:4" ht="18" x14ac:dyDescent="0.3">
      <c r="A16" s="13" t="s">
        <v>83</v>
      </c>
      <c r="B16" s="13"/>
      <c r="C16" s="13"/>
      <c r="D16" s="13"/>
    </row>
    <row r="17" spans="1:4" ht="15.6" x14ac:dyDescent="0.3">
      <c r="A17" s="14" t="s">
        <v>84</v>
      </c>
      <c r="B17" s="14"/>
      <c r="C17" s="14"/>
      <c r="D17" s="14"/>
    </row>
    <row r="19" spans="1:4" ht="18" x14ac:dyDescent="0.3">
      <c r="A19" s="13" t="s">
        <v>85</v>
      </c>
      <c r="B19" s="13"/>
      <c r="C19" s="13"/>
      <c r="D19" s="13"/>
    </row>
    <row r="20" spans="1:4" x14ac:dyDescent="0.3">
      <c r="A20" s="15" t="s">
        <v>87</v>
      </c>
      <c r="B20" s="15"/>
      <c r="C20" s="15"/>
      <c r="D20" s="15"/>
    </row>
    <row r="21" spans="1:4" x14ac:dyDescent="0.3">
      <c r="A21" s="15"/>
      <c r="B21" s="15"/>
      <c r="C21" s="15"/>
      <c r="D21" s="15"/>
    </row>
    <row r="22" spans="1:4" x14ac:dyDescent="0.3">
      <c r="A22" s="15"/>
      <c r="B22" s="15"/>
      <c r="C22" s="15"/>
      <c r="D22" s="15"/>
    </row>
  </sheetData>
  <mergeCells count="7">
    <mergeCell ref="A19:D19"/>
    <mergeCell ref="A20:D22"/>
    <mergeCell ref="A1:D3"/>
    <mergeCell ref="A13:D13"/>
    <mergeCell ref="A14:D14"/>
    <mergeCell ref="A16:D16"/>
    <mergeCell ref="A17: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F2E2-724E-4297-977A-450A5ED547E4}">
  <dimension ref="A1:E30"/>
  <sheetViews>
    <sheetView zoomScale="115" zoomScaleNormal="115" workbookViewId="0">
      <selection activeCell="A6" sqref="A6"/>
    </sheetView>
  </sheetViews>
  <sheetFormatPr defaultRowHeight="14.4" x14ac:dyDescent="0.3"/>
  <cols>
    <col min="1" max="1" width="13.88671875" bestFit="1" customWidth="1"/>
    <col min="2" max="2" width="23.77734375" bestFit="1" customWidth="1"/>
  </cols>
  <sheetData>
    <row r="1" spans="1:5" ht="14.4" customHeight="1" x14ac:dyDescent="0.3">
      <c r="A1" s="16" t="s">
        <v>94</v>
      </c>
      <c r="B1" s="17"/>
      <c r="C1" s="17"/>
      <c r="D1" s="17"/>
      <c r="E1" s="18"/>
    </row>
    <row r="2" spans="1:5" ht="14.4" customHeight="1" x14ac:dyDescent="0.3">
      <c r="A2" s="19"/>
      <c r="B2" s="20"/>
      <c r="C2" s="20"/>
      <c r="D2" s="20"/>
      <c r="E2" s="21"/>
    </row>
    <row r="3" spans="1:5" ht="18" customHeight="1" x14ac:dyDescent="0.3">
      <c r="A3" s="22"/>
      <c r="B3" s="23"/>
      <c r="C3" s="23"/>
      <c r="D3" s="23"/>
      <c r="E3" s="24"/>
    </row>
    <row r="5" spans="1:5" ht="18" x14ac:dyDescent="0.35">
      <c r="A5" s="6" t="s">
        <v>93</v>
      </c>
      <c r="B5" s="4" t="s">
        <v>79</v>
      </c>
    </row>
    <row r="6" spans="1:5" ht="18" x14ac:dyDescent="0.35">
      <c r="A6" s="7" t="s">
        <v>88</v>
      </c>
      <c r="B6" s="5">
        <v>479000</v>
      </c>
    </row>
    <row r="7" spans="1:5" ht="18" x14ac:dyDescent="0.35">
      <c r="A7" s="38" t="s">
        <v>130</v>
      </c>
      <c r="B7" s="5">
        <v>110000</v>
      </c>
    </row>
    <row r="8" spans="1:5" ht="18" x14ac:dyDescent="0.35">
      <c r="A8" s="38" t="s">
        <v>135</v>
      </c>
      <c r="B8" s="5">
        <v>260000</v>
      </c>
    </row>
    <row r="9" spans="1:5" ht="18" x14ac:dyDescent="0.35">
      <c r="A9" s="38" t="s">
        <v>125</v>
      </c>
      <c r="B9" s="5">
        <v>20000</v>
      </c>
    </row>
    <row r="10" spans="1:5" ht="18" x14ac:dyDescent="0.35">
      <c r="A10" s="38" t="s">
        <v>140</v>
      </c>
      <c r="B10" s="5">
        <v>62000</v>
      </c>
    </row>
    <row r="11" spans="1:5" ht="18" x14ac:dyDescent="0.35">
      <c r="A11" s="38" t="s">
        <v>131</v>
      </c>
      <c r="B11" s="5">
        <v>27000</v>
      </c>
    </row>
    <row r="12" spans="1:5" ht="18" x14ac:dyDescent="0.35">
      <c r="A12" s="7" t="s">
        <v>89</v>
      </c>
      <c r="B12" s="5">
        <v>504000</v>
      </c>
    </row>
    <row r="13" spans="1:5" ht="18" x14ac:dyDescent="0.35">
      <c r="A13" s="38" t="s">
        <v>136</v>
      </c>
      <c r="B13" s="5">
        <v>170000</v>
      </c>
    </row>
    <row r="14" spans="1:5" ht="18" x14ac:dyDescent="0.35">
      <c r="A14" s="38" t="s">
        <v>126</v>
      </c>
      <c r="B14" s="5">
        <v>24000</v>
      </c>
    </row>
    <row r="15" spans="1:5" ht="18" x14ac:dyDescent="0.35">
      <c r="A15" s="38" t="s">
        <v>141</v>
      </c>
      <c r="B15" s="5">
        <v>210000</v>
      </c>
    </row>
    <row r="16" spans="1:5" ht="18" x14ac:dyDescent="0.35">
      <c r="A16" s="38" t="s">
        <v>132</v>
      </c>
      <c r="B16" s="5">
        <v>100000</v>
      </c>
    </row>
    <row r="17" spans="1:2" ht="18" x14ac:dyDescent="0.35">
      <c r="A17" s="7" t="s">
        <v>90</v>
      </c>
      <c r="B17" s="5">
        <v>505000</v>
      </c>
    </row>
    <row r="18" spans="1:2" ht="18" x14ac:dyDescent="0.35">
      <c r="A18" s="38" t="s">
        <v>137</v>
      </c>
      <c r="B18" s="5">
        <v>60000</v>
      </c>
    </row>
    <row r="19" spans="1:2" ht="18" x14ac:dyDescent="0.35">
      <c r="A19" s="38" t="s">
        <v>127</v>
      </c>
      <c r="B19" s="5">
        <v>225000</v>
      </c>
    </row>
    <row r="20" spans="1:2" ht="18" x14ac:dyDescent="0.35">
      <c r="A20" s="38" t="s">
        <v>142</v>
      </c>
      <c r="B20" s="5">
        <v>70000</v>
      </c>
    </row>
    <row r="21" spans="1:2" ht="18" x14ac:dyDescent="0.35">
      <c r="A21" s="38" t="s">
        <v>133</v>
      </c>
      <c r="B21" s="5">
        <v>150000</v>
      </c>
    </row>
    <row r="22" spans="1:2" ht="18" x14ac:dyDescent="0.35">
      <c r="A22" s="7" t="s">
        <v>91</v>
      </c>
      <c r="B22" s="5">
        <v>380000</v>
      </c>
    </row>
    <row r="23" spans="1:2" ht="18" x14ac:dyDescent="0.35">
      <c r="A23" s="38" t="s">
        <v>138</v>
      </c>
      <c r="B23" s="5">
        <v>180000</v>
      </c>
    </row>
    <row r="24" spans="1:2" ht="18" x14ac:dyDescent="0.35">
      <c r="A24" s="38" t="s">
        <v>128</v>
      </c>
      <c r="B24" s="5">
        <v>20000</v>
      </c>
    </row>
    <row r="25" spans="1:2" ht="18" x14ac:dyDescent="0.35">
      <c r="A25" s="38" t="s">
        <v>143</v>
      </c>
      <c r="B25" s="5">
        <v>180000</v>
      </c>
    </row>
    <row r="26" spans="1:2" ht="18" x14ac:dyDescent="0.35">
      <c r="A26" s="7" t="s">
        <v>92</v>
      </c>
      <c r="B26" s="5">
        <v>548000</v>
      </c>
    </row>
    <row r="27" spans="1:2" ht="18" x14ac:dyDescent="0.35">
      <c r="A27" s="38" t="s">
        <v>134</v>
      </c>
      <c r="B27" s="5">
        <v>90000</v>
      </c>
    </row>
    <row r="28" spans="1:2" ht="18" x14ac:dyDescent="0.35">
      <c r="A28" s="38" t="s">
        <v>139</v>
      </c>
      <c r="B28" s="5">
        <v>192000</v>
      </c>
    </row>
    <row r="29" spans="1:2" ht="18" x14ac:dyDescent="0.35">
      <c r="A29" s="38" t="s">
        <v>129</v>
      </c>
      <c r="B29" s="5">
        <v>210000</v>
      </c>
    </row>
    <row r="30" spans="1:2" ht="18" x14ac:dyDescent="0.35">
      <c r="A30" s="38" t="s">
        <v>144</v>
      </c>
      <c r="B30" s="5">
        <v>56000</v>
      </c>
    </row>
  </sheetData>
  <mergeCells count="1">
    <mergeCell ref="A1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0FE6-5694-454A-BCA9-FA9916532AED}">
  <dimension ref="A1:F22"/>
  <sheetViews>
    <sheetView workbookViewId="0">
      <selection activeCell="D23" sqref="D23"/>
    </sheetView>
  </sheetViews>
  <sheetFormatPr defaultRowHeight="14.4" x14ac:dyDescent="0.3"/>
  <cols>
    <col min="1" max="1" width="17.44140625" bestFit="1" customWidth="1"/>
    <col min="2" max="2" width="15.109375" bestFit="1" customWidth="1"/>
    <col min="3" max="3" width="19.6640625" bestFit="1" customWidth="1"/>
    <col min="4" max="4" width="17.88671875" bestFit="1" customWidth="1"/>
    <col min="5" max="5" width="15.21875" bestFit="1" customWidth="1"/>
    <col min="6" max="6" width="14.88671875" bestFit="1" customWidth="1"/>
  </cols>
  <sheetData>
    <row r="1" spans="1:6" x14ac:dyDescent="0.3">
      <c r="A1" s="27" t="s">
        <v>101</v>
      </c>
      <c r="B1" s="27"/>
      <c r="C1" s="27"/>
      <c r="D1" s="27"/>
      <c r="E1" s="27"/>
      <c r="F1" s="27"/>
    </row>
    <row r="2" spans="1:6" x14ac:dyDescent="0.3">
      <c r="A2" s="27"/>
      <c r="B2" s="27"/>
      <c r="C2" s="27"/>
      <c r="D2" s="27"/>
      <c r="E2" s="27"/>
      <c r="F2" s="27"/>
    </row>
    <row r="4" spans="1:6" ht="18" x14ac:dyDescent="0.35">
      <c r="A4" s="6" t="s">
        <v>100</v>
      </c>
      <c r="B4" s="4" t="s">
        <v>96</v>
      </c>
      <c r="C4" s="4" t="s">
        <v>95</v>
      </c>
      <c r="D4" s="4" t="s">
        <v>97</v>
      </c>
      <c r="E4" s="4" t="s">
        <v>98</v>
      </c>
      <c r="F4" s="4" t="s">
        <v>99</v>
      </c>
    </row>
    <row r="5" spans="1:6" ht="18" x14ac:dyDescent="0.35">
      <c r="A5" s="7" t="s">
        <v>25</v>
      </c>
      <c r="B5" s="8">
        <v>862000</v>
      </c>
      <c r="C5" s="8">
        <v>172400</v>
      </c>
      <c r="D5" s="8">
        <v>5</v>
      </c>
      <c r="E5" s="8">
        <v>260000</v>
      </c>
      <c r="F5" s="8">
        <v>60000</v>
      </c>
    </row>
    <row r="6" spans="1:6" ht="18" x14ac:dyDescent="0.35">
      <c r="A6" s="7" t="s">
        <v>38</v>
      </c>
      <c r="B6" s="8">
        <v>578000</v>
      </c>
      <c r="C6" s="8">
        <v>115600</v>
      </c>
      <c r="D6" s="8">
        <v>5</v>
      </c>
      <c r="E6" s="8">
        <v>210000</v>
      </c>
      <c r="F6" s="8">
        <v>56000</v>
      </c>
    </row>
    <row r="7" spans="1:6" ht="18" x14ac:dyDescent="0.35">
      <c r="A7" s="7" t="s">
        <v>33</v>
      </c>
      <c r="B7" s="8">
        <v>499000</v>
      </c>
      <c r="C7" s="8">
        <v>99800</v>
      </c>
      <c r="D7" s="8">
        <v>5</v>
      </c>
      <c r="E7" s="8">
        <v>225000</v>
      </c>
      <c r="F7" s="8">
        <v>20000</v>
      </c>
    </row>
    <row r="8" spans="1:6" ht="18" x14ac:dyDescent="0.35">
      <c r="A8" s="7" t="s">
        <v>18</v>
      </c>
      <c r="B8" s="8">
        <v>477000</v>
      </c>
      <c r="C8" s="8">
        <v>95400</v>
      </c>
      <c r="D8" s="8">
        <v>5</v>
      </c>
      <c r="E8" s="8">
        <v>150000</v>
      </c>
      <c r="F8" s="8">
        <v>27000</v>
      </c>
    </row>
    <row r="9" spans="1:6" ht="18" x14ac:dyDescent="0.35">
      <c r="A9" s="7" t="s">
        <v>78</v>
      </c>
      <c r="B9" s="8">
        <v>2416000</v>
      </c>
      <c r="C9" s="8">
        <v>120800</v>
      </c>
      <c r="D9" s="8">
        <v>20</v>
      </c>
      <c r="E9" s="8">
        <v>260000</v>
      </c>
      <c r="F9" s="8">
        <v>20000</v>
      </c>
    </row>
    <row r="11" spans="1:6" ht="18" x14ac:dyDescent="0.3">
      <c r="A11" s="13" t="s">
        <v>102</v>
      </c>
      <c r="B11" s="13"/>
      <c r="C11" s="13"/>
      <c r="D11" s="13"/>
    </row>
    <row r="12" spans="1:6" ht="18" x14ac:dyDescent="0.35">
      <c r="A12" s="25" t="s">
        <v>106</v>
      </c>
      <c r="B12" s="25"/>
      <c r="C12" s="25"/>
      <c r="D12" s="25"/>
    </row>
    <row r="13" spans="1:6" ht="18" x14ac:dyDescent="0.3">
      <c r="A13" s="13" t="s">
        <v>103</v>
      </c>
      <c r="B13" s="13"/>
      <c r="C13" s="13"/>
      <c r="D13" s="13"/>
    </row>
    <row r="14" spans="1:6" ht="18" x14ac:dyDescent="0.35">
      <c r="A14" s="26" t="s">
        <v>107</v>
      </c>
      <c r="B14" s="26"/>
      <c r="C14" s="26"/>
      <c r="D14" s="26"/>
    </row>
    <row r="15" spans="1:6" ht="18" x14ac:dyDescent="0.3">
      <c r="A15" s="13" t="s">
        <v>104</v>
      </c>
      <c r="B15" s="13"/>
      <c r="C15" s="13"/>
      <c r="D15" s="13"/>
    </row>
    <row r="16" spans="1:6" ht="18" x14ac:dyDescent="0.35">
      <c r="A16" s="26" t="s">
        <v>108</v>
      </c>
      <c r="B16" s="26"/>
      <c r="C16" s="26"/>
      <c r="D16" s="26"/>
    </row>
    <row r="17" spans="1:4" ht="18" x14ac:dyDescent="0.3">
      <c r="A17" s="13" t="s">
        <v>105</v>
      </c>
      <c r="B17" s="13"/>
      <c r="C17" s="13"/>
      <c r="D17" s="13"/>
    </row>
    <row r="18" spans="1:4" ht="18" x14ac:dyDescent="0.35">
      <c r="A18" s="26" t="s">
        <v>109</v>
      </c>
      <c r="B18" s="26"/>
      <c r="C18" s="26"/>
      <c r="D18" s="26"/>
    </row>
    <row r="19" spans="1:4" ht="18" x14ac:dyDescent="0.35">
      <c r="A19" s="10" t="s">
        <v>25</v>
      </c>
      <c r="B19" s="11">
        <v>260000</v>
      </c>
      <c r="C19" s="9"/>
      <c r="D19" s="9"/>
    </row>
    <row r="20" spans="1:4" ht="18" x14ac:dyDescent="0.35">
      <c r="A20" s="10" t="s">
        <v>38</v>
      </c>
      <c r="B20" s="11">
        <v>210000</v>
      </c>
      <c r="C20" s="9"/>
      <c r="D20" s="9"/>
    </row>
    <row r="21" spans="1:4" ht="18" x14ac:dyDescent="0.35">
      <c r="A21" s="10" t="s">
        <v>33</v>
      </c>
      <c r="B21" s="11">
        <v>225000</v>
      </c>
      <c r="C21" s="9"/>
      <c r="D21" s="9"/>
    </row>
    <row r="22" spans="1:4" ht="18" x14ac:dyDescent="0.35">
      <c r="A22" s="10" t="s">
        <v>18</v>
      </c>
      <c r="B22" s="11">
        <v>150000</v>
      </c>
      <c r="C22" s="9"/>
      <c r="D22" s="9"/>
    </row>
  </sheetData>
  <mergeCells count="9">
    <mergeCell ref="A12:D12"/>
    <mergeCell ref="A14:D14"/>
    <mergeCell ref="A16:D16"/>
    <mergeCell ref="A18:D18"/>
    <mergeCell ref="A1:F2"/>
    <mergeCell ref="A11:D11"/>
    <mergeCell ref="A13:D13"/>
    <mergeCell ref="A15:D15"/>
    <mergeCell ref="A17:D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8A8C-28C8-46F1-9AEB-95CB0A79D104}">
  <dimension ref="A1:F32"/>
  <sheetViews>
    <sheetView workbookViewId="0">
      <selection activeCell="G14" sqref="G14"/>
    </sheetView>
  </sheetViews>
  <sheetFormatPr defaultRowHeight="14.4" x14ac:dyDescent="0.3"/>
  <cols>
    <col min="1" max="1" width="19.6640625" bestFit="1" customWidth="1"/>
    <col min="2" max="2" width="24.88671875" bestFit="1" customWidth="1"/>
  </cols>
  <sheetData>
    <row r="1" spans="1:6" x14ac:dyDescent="0.3">
      <c r="A1" s="27" t="s">
        <v>112</v>
      </c>
      <c r="B1" s="31"/>
      <c r="C1" s="31"/>
      <c r="D1" s="31"/>
      <c r="E1" s="31"/>
      <c r="F1" s="31"/>
    </row>
    <row r="2" spans="1:6" x14ac:dyDescent="0.3">
      <c r="A2" s="31"/>
      <c r="B2" s="31"/>
      <c r="C2" s="31"/>
      <c r="D2" s="31"/>
      <c r="E2" s="31"/>
      <c r="F2" s="31"/>
    </row>
    <row r="3" spans="1:6" ht="18" x14ac:dyDescent="0.35">
      <c r="A3" s="9"/>
      <c r="B3" s="9"/>
      <c r="C3" s="9"/>
      <c r="D3" s="9"/>
    </row>
    <row r="4" spans="1:6" ht="18" x14ac:dyDescent="0.35">
      <c r="A4" s="6" t="s">
        <v>4</v>
      </c>
      <c r="B4" s="4" t="s">
        <v>15</v>
      </c>
      <c r="C4" s="9"/>
      <c r="D4" s="9"/>
    </row>
    <row r="5" spans="1:6" ht="18" x14ac:dyDescent="0.35">
      <c r="A5" s="9"/>
      <c r="B5" s="9"/>
      <c r="C5" s="9"/>
      <c r="D5" s="9"/>
    </row>
    <row r="6" spans="1:6" ht="18" x14ac:dyDescent="0.35">
      <c r="A6" s="6" t="s">
        <v>110</v>
      </c>
      <c r="B6" s="4" t="s">
        <v>79</v>
      </c>
      <c r="C6" s="9"/>
      <c r="D6" s="9"/>
    </row>
    <row r="7" spans="1:6" ht="18" x14ac:dyDescent="0.35">
      <c r="A7" s="7" t="s">
        <v>24</v>
      </c>
      <c r="B7" s="5">
        <v>260000</v>
      </c>
      <c r="C7" s="9"/>
      <c r="D7" s="9"/>
    </row>
    <row r="8" spans="1:6" ht="18" x14ac:dyDescent="0.35">
      <c r="A8" s="7" t="s">
        <v>58</v>
      </c>
      <c r="B8" s="5">
        <v>225000</v>
      </c>
      <c r="C8" s="9"/>
      <c r="D8" s="9"/>
    </row>
    <row r="9" spans="1:6" ht="18" x14ac:dyDescent="0.35">
      <c r="A9" s="7" t="s">
        <v>50</v>
      </c>
      <c r="B9" s="5">
        <v>210000</v>
      </c>
      <c r="C9" s="9"/>
      <c r="D9" s="9"/>
    </row>
    <row r="10" spans="1:6" ht="18" x14ac:dyDescent="0.35">
      <c r="A10" s="7" t="s">
        <v>75</v>
      </c>
      <c r="B10" s="5">
        <v>210000</v>
      </c>
      <c r="C10" s="9"/>
      <c r="D10" s="9"/>
    </row>
    <row r="11" spans="1:6" ht="18" x14ac:dyDescent="0.35">
      <c r="A11" s="7" t="s">
        <v>73</v>
      </c>
      <c r="B11" s="5">
        <v>192000</v>
      </c>
      <c r="C11" s="9"/>
      <c r="D11" s="9"/>
    </row>
    <row r="12" spans="1:6" ht="18" x14ac:dyDescent="0.35">
      <c r="A12" s="7" t="s">
        <v>65</v>
      </c>
      <c r="B12" s="5">
        <v>180000</v>
      </c>
      <c r="C12" s="9"/>
      <c r="D12" s="9"/>
    </row>
    <row r="13" spans="1:6" ht="18" x14ac:dyDescent="0.35">
      <c r="A13" s="7" t="s">
        <v>69</v>
      </c>
      <c r="B13" s="5">
        <v>180000</v>
      </c>
      <c r="C13" s="9"/>
      <c r="D13" s="9"/>
    </row>
    <row r="14" spans="1:6" ht="18" x14ac:dyDescent="0.35">
      <c r="A14" s="7" t="s">
        <v>44</v>
      </c>
      <c r="B14" s="5">
        <v>170000</v>
      </c>
      <c r="C14" s="9"/>
      <c r="D14" s="9"/>
    </row>
    <row r="15" spans="1:6" ht="18" x14ac:dyDescent="0.35">
      <c r="A15" s="7" t="s">
        <v>63</v>
      </c>
      <c r="B15" s="5">
        <v>150000</v>
      </c>
      <c r="C15" s="9"/>
      <c r="D15" s="9"/>
    </row>
    <row r="16" spans="1:6" ht="18" x14ac:dyDescent="0.35">
      <c r="A16" s="7" t="s">
        <v>17</v>
      </c>
      <c r="B16" s="5">
        <v>110000</v>
      </c>
      <c r="C16" s="9"/>
      <c r="D16" s="9"/>
    </row>
    <row r="17" spans="1:6" ht="18" x14ac:dyDescent="0.35">
      <c r="A17" s="7" t="s">
        <v>54</v>
      </c>
      <c r="B17" s="5">
        <v>100000</v>
      </c>
      <c r="C17" s="9"/>
      <c r="D17" s="9"/>
    </row>
    <row r="18" spans="1:6" ht="18" x14ac:dyDescent="0.35">
      <c r="A18" s="7" t="s">
        <v>37</v>
      </c>
      <c r="B18" s="5">
        <v>62000</v>
      </c>
      <c r="C18" s="9"/>
      <c r="D18" s="9"/>
    </row>
    <row r="19" spans="1:6" ht="18" x14ac:dyDescent="0.35">
      <c r="A19" s="7" t="s">
        <v>78</v>
      </c>
      <c r="B19" s="5">
        <v>2049000</v>
      </c>
      <c r="C19" s="9"/>
      <c r="D19" s="9"/>
    </row>
    <row r="20" spans="1:6" ht="18" x14ac:dyDescent="0.35">
      <c r="A20" s="9"/>
      <c r="B20" s="9"/>
      <c r="C20" s="9"/>
      <c r="D20" s="9"/>
    </row>
    <row r="21" spans="1:6" ht="18" x14ac:dyDescent="0.3">
      <c r="A21" s="13" t="s">
        <v>113</v>
      </c>
      <c r="B21" s="13"/>
      <c r="C21" s="13"/>
      <c r="D21" s="13"/>
      <c r="E21" s="13"/>
      <c r="F21" s="13"/>
    </row>
    <row r="22" spans="1:6" ht="18" customHeight="1" x14ac:dyDescent="0.3">
      <c r="A22" s="33" t="s">
        <v>114</v>
      </c>
      <c r="B22" s="33"/>
      <c r="C22" s="33"/>
      <c r="D22" s="33"/>
      <c r="E22" s="33"/>
      <c r="F22" s="33"/>
    </row>
    <row r="24" spans="1:6" ht="18" x14ac:dyDescent="0.3">
      <c r="A24" s="13" t="s">
        <v>115</v>
      </c>
      <c r="B24" s="13"/>
      <c r="C24" s="13"/>
      <c r="D24" s="13"/>
      <c r="E24" s="13"/>
      <c r="F24" s="13"/>
    </row>
    <row r="25" spans="1:6" ht="18" x14ac:dyDescent="0.3">
      <c r="A25" s="33" t="s">
        <v>116</v>
      </c>
      <c r="B25" s="33"/>
      <c r="C25" s="33"/>
      <c r="D25" s="33"/>
      <c r="E25" s="33"/>
      <c r="F25" s="33"/>
    </row>
    <row r="27" spans="1:6" ht="14.4" customHeight="1" x14ac:dyDescent="0.3">
      <c r="A27" s="34" t="s">
        <v>117</v>
      </c>
      <c r="B27" s="34"/>
      <c r="C27" s="34"/>
      <c r="D27" s="34"/>
      <c r="E27" s="34"/>
      <c r="F27" s="34"/>
    </row>
    <row r="28" spans="1:6" ht="14.4" customHeight="1" x14ac:dyDescent="0.3">
      <c r="A28" s="34"/>
      <c r="B28" s="34"/>
      <c r="C28" s="34"/>
      <c r="D28" s="34"/>
      <c r="E28" s="34"/>
      <c r="F28" s="34"/>
    </row>
    <row r="29" spans="1:6" ht="14.4" customHeight="1" x14ac:dyDescent="0.3">
      <c r="A29" s="34"/>
      <c r="B29" s="34"/>
      <c r="C29" s="34"/>
      <c r="D29" s="34"/>
      <c r="E29" s="34"/>
      <c r="F29" s="34"/>
    </row>
    <row r="30" spans="1:6" x14ac:dyDescent="0.3">
      <c r="A30" s="35" t="s">
        <v>118</v>
      </c>
      <c r="B30" s="35"/>
      <c r="C30" s="35"/>
      <c r="D30" s="35"/>
      <c r="E30" s="35"/>
      <c r="F30" s="35"/>
    </row>
    <row r="31" spans="1:6" x14ac:dyDescent="0.3">
      <c r="A31" s="35"/>
      <c r="B31" s="35"/>
      <c r="C31" s="35"/>
      <c r="D31" s="35"/>
      <c r="E31" s="35"/>
      <c r="F31" s="35"/>
    </row>
    <row r="32" spans="1:6" x14ac:dyDescent="0.3">
      <c r="A32" s="35"/>
      <c r="B32" s="35"/>
      <c r="C32" s="35"/>
      <c r="D32" s="35"/>
      <c r="E32" s="35"/>
      <c r="F32" s="35"/>
    </row>
  </sheetData>
  <mergeCells count="7">
    <mergeCell ref="A30:F32"/>
    <mergeCell ref="A1:F2"/>
    <mergeCell ref="A21:F21"/>
    <mergeCell ref="A22:F22"/>
    <mergeCell ref="A24:F24"/>
    <mergeCell ref="A25:F25"/>
    <mergeCell ref="A27:F29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DCB3-1A88-4547-908C-8A2A01F8C058}">
  <dimension ref="A1:L2"/>
  <sheetViews>
    <sheetView workbookViewId="0">
      <selection activeCell="H23" sqref="H23:H24"/>
    </sheetView>
  </sheetViews>
  <sheetFormatPr defaultRowHeight="14.4" x14ac:dyDescent="0.3"/>
  <cols>
    <col min="1" max="1" width="10.109375" customWidth="1"/>
    <col min="2" max="2" width="12.33203125" customWidth="1"/>
    <col min="5" max="5" width="10.5546875" customWidth="1"/>
    <col min="6" max="6" width="14.44140625" customWidth="1"/>
    <col min="7" max="7" width="9.5546875" customWidth="1"/>
    <col min="8" max="8" width="13.33203125" customWidth="1"/>
    <col min="9" max="9" width="15.88671875" customWidth="1"/>
    <col min="10" max="10" width="10.44140625" customWidth="1"/>
    <col min="11" max="11" width="11.44140625" customWidth="1"/>
    <col min="12" max="12" width="14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20</v>
      </c>
      <c r="B2" s="28">
        <v>45662</v>
      </c>
      <c r="C2" t="s">
        <v>21</v>
      </c>
      <c r="D2" t="s">
        <v>22</v>
      </c>
      <c r="E2" t="s">
        <v>15</v>
      </c>
      <c r="F2" t="s">
        <v>23</v>
      </c>
      <c r="G2" t="s">
        <v>24</v>
      </c>
      <c r="H2" t="s">
        <v>25</v>
      </c>
      <c r="I2" t="s">
        <v>26</v>
      </c>
      <c r="J2">
        <v>4</v>
      </c>
      <c r="K2">
        <v>65000</v>
      </c>
      <c r="L2">
        <v>260000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0F00-555A-41A5-9BEB-A5EBD444FA39}">
  <dimension ref="A1:L57"/>
  <sheetViews>
    <sheetView tabSelected="1" zoomScaleNormal="100" workbookViewId="0">
      <selection activeCell="C4" sqref="C4"/>
    </sheetView>
  </sheetViews>
  <sheetFormatPr defaultRowHeight="14.4" x14ac:dyDescent="0.3"/>
  <cols>
    <col min="1" max="1" width="15" bestFit="1" customWidth="1"/>
    <col min="2" max="2" width="10.6640625" bestFit="1" customWidth="1"/>
    <col min="3" max="8" width="21.21875" bestFit="1" customWidth="1"/>
    <col min="9" max="9" width="18.5546875" bestFit="1" customWidth="1"/>
    <col min="10" max="10" width="22.21875" bestFit="1" customWidth="1"/>
    <col min="11" max="11" width="27.21875" bestFit="1" customWidth="1"/>
  </cols>
  <sheetData>
    <row r="1" spans="1:12" x14ac:dyDescent="0.3">
      <c r="C1" s="39" t="s">
        <v>146</v>
      </c>
      <c r="D1" s="39"/>
      <c r="E1" s="39"/>
      <c r="F1" s="39"/>
      <c r="G1" s="39"/>
      <c r="H1" s="39"/>
      <c r="I1" s="39"/>
    </row>
    <row r="2" spans="1:12" x14ac:dyDescent="0.3">
      <c r="C2" s="39"/>
      <c r="D2" s="39"/>
      <c r="E2" s="39"/>
      <c r="F2" s="39"/>
      <c r="G2" s="39"/>
      <c r="H2" s="39"/>
      <c r="I2" s="39"/>
    </row>
    <row r="4" spans="1:12" ht="18" x14ac:dyDescent="0.35">
      <c r="A4" s="54" t="s">
        <v>157</v>
      </c>
      <c r="B4" s="9" t="s">
        <v>111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8.600000000000001" thickBot="1" x14ac:dyDescent="0.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8.600000000000001" thickBot="1" x14ac:dyDescent="0.4">
      <c r="A6" s="42"/>
      <c r="B6" s="42"/>
      <c r="C6" s="29" t="s">
        <v>8</v>
      </c>
      <c r="D6" s="29" t="s">
        <v>145</v>
      </c>
      <c r="E6" s="9"/>
      <c r="F6" s="9"/>
      <c r="G6" s="9"/>
      <c r="H6" s="9"/>
      <c r="I6" s="37"/>
      <c r="J6" s="43"/>
      <c r="K6" s="43"/>
      <c r="L6" s="9"/>
    </row>
    <row r="7" spans="1:12" ht="18.600000000000001" thickBot="1" x14ac:dyDescent="0.4">
      <c r="A7" s="44"/>
      <c r="B7" s="44"/>
      <c r="C7" s="45" t="s">
        <v>26</v>
      </c>
      <c r="D7" s="46"/>
      <c r="E7" s="47"/>
      <c r="F7" s="48" t="s">
        <v>19</v>
      </c>
      <c r="G7" s="48"/>
      <c r="H7" s="48"/>
      <c r="I7" s="42" t="s">
        <v>121</v>
      </c>
      <c r="J7" s="42" t="s">
        <v>123</v>
      </c>
      <c r="K7" s="42" t="s">
        <v>119</v>
      </c>
      <c r="L7" s="9"/>
    </row>
    <row r="8" spans="1:12" ht="18.600000000000001" thickBot="1" x14ac:dyDescent="0.4">
      <c r="A8" s="36" t="s">
        <v>93</v>
      </c>
      <c r="B8" s="36" t="s">
        <v>2</v>
      </c>
      <c r="C8" s="4" t="s">
        <v>122</v>
      </c>
      <c r="D8" s="4" t="s">
        <v>124</v>
      </c>
      <c r="E8" s="4" t="s">
        <v>120</v>
      </c>
      <c r="F8" s="4" t="s">
        <v>122</v>
      </c>
      <c r="G8" s="4" t="s">
        <v>124</v>
      </c>
      <c r="H8" s="4" t="s">
        <v>120</v>
      </c>
      <c r="I8" s="44"/>
      <c r="J8" s="44"/>
      <c r="K8" s="44"/>
      <c r="L8" s="9"/>
    </row>
    <row r="9" spans="1:12" ht="18" x14ac:dyDescent="0.35">
      <c r="A9" s="9" t="s">
        <v>88</v>
      </c>
      <c r="B9" s="9" t="s">
        <v>21</v>
      </c>
      <c r="C9" s="32">
        <v>260000</v>
      </c>
      <c r="D9" s="49">
        <v>260000</v>
      </c>
      <c r="E9" s="30">
        <v>1</v>
      </c>
      <c r="F9" s="32"/>
      <c r="G9" s="49"/>
      <c r="H9" s="30"/>
      <c r="I9" s="32">
        <v>260000</v>
      </c>
      <c r="J9" s="49">
        <v>260000</v>
      </c>
      <c r="K9" s="30">
        <v>1</v>
      </c>
      <c r="L9" s="9"/>
    </row>
    <row r="10" spans="1:12" ht="18" x14ac:dyDescent="0.35">
      <c r="A10" s="9"/>
      <c r="B10" s="9" t="s">
        <v>13</v>
      </c>
      <c r="C10" s="32">
        <v>27000</v>
      </c>
      <c r="D10" s="49">
        <v>27000</v>
      </c>
      <c r="E10" s="30">
        <v>1</v>
      </c>
      <c r="F10" s="32">
        <v>110000</v>
      </c>
      <c r="G10" s="49">
        <v>110000</v>
      </c>
      <c r="H10" s="30">
        <v>1</v>
      </c>
      <c r="I10" s="32">
        <v>137000</v>
      </c>
      <c r="J10" s="49">
        <v>68500</v>
      </c>
      <c r="K10" s="30">
        <v>2</v>
      </c>
      <c r="L10" s="9"/>
    </row>
    <row r="11" spans="1:12" ht="18" x14ac:dyDescent="0.35">
      <c r="A11" s="9"/>
      <c r="B11" s="9" t="s">
        <v>35</v>
      </c>
      <c r="C11" s="32"/>
      <c r="D11" s="49"/>
      <c r="E11" s="30"/>
      <c r="F11" s="32">
        <v>62000</v>
      </c>
      <c r="G11" s="49">
        <v>62000</v>
      </c>
      <c r="H11" s="30">
        <v>1</v>
      </c>
      <c r="I11" s="32">
        <v>62000</v>
      </c>
      <c r="J11" s="49">
        <v>62000</v>
      </c>
      <c r="K11" s="30">
        <v>1</v>
      </c>
      <c r="L11" s="9"/>
    </row>
    <row r="12" spans="1:12" ht="18" x14ac:dyDescent="0.35">
      <c r="A12" s="9"/>
      <c r="B12" s="9" t="s">
        <v>28</v>
      </c>
      <c r="C12" s="32"/>
      <c r="D12" s="49"/>
      <c r="E12" s="30"/>
      <c r="F12" s="32">
        <v>20000</v>
      </c>
      <c r="G12" s="49">
        <v>20000</v>
      </c>
      <c r="H12" s="30">
        <v>1</v>
      </c>
      <c r="I12" s="32">
        <v>20000</v>
      </c>
      <c r="J12" s="49">
        <v>20000</v>
      </c>
      <c r="K12" s="30">
        <v>1</v>
      </c>
      <c r="L12" s="9"/>
    </row>
    <row r="13" spans="1:12" ht="18" x14ac:dyDescent="0.35">
      <c r="A13" s="9" t="s">
        <v>89</v>
      </c>
      <c r="B13" s="9" t="s">
        <v>35</v>
      </c>
      <c r="C13" s="32"/>
      <c r="D13" s="49"/>
      <c r="E13" s="30"/>
      <c r="F13" s="32">
        <v>210000</v>
      </c>
      <c r="G13" s="49">
        <v>210000</v>
      </c>
      <c r="H13" s="30">
        <v>1</v>
      </c>
      <c r="I13" s="32">
        <v>210000</v>
      </c>
      <c r="J13" s="49">
        <v>210000</v>
      </c>
      <c r="K13" s="30">
        <v>1</v>
      </c>
      <c r="L13" s="9"/>
    </row>
    <row r="14" spans="1:12" ht="18" x14ac:dyDescent="0.35">
      <c r="A14" s="9"/>
      <c r="B14" s="9" t="s">
        <v>21</v>
      </c>
      <c r="C14" s="32"/>
      <c r="D14" s="49"/>
      <c r="E14" s="30"/>
      <c r="F14" s="32">
        <v>170000</v>
      </c>
      <c r="G14" s="49">
        <v>170000</v>
      </c>
      <c r="H14" s="30">
        <v>1</v>
      </c>
      <c r="I14" s="32">
        <v>170000</v>
      </c>
      <c r="J14" s="49">
        <v>170000</v>
      </c>
      <c r="K14" s="30">
        <v>1</v>
      </c>
      <c r="L14" s="9"/>
    </row>
    <row r="15" spans="1:12" ht="18" x14ac:dyDescent="0.35">
      <c r="A15" s="9"/>
      <c r="B15" s="9" t="s">
        <v>13</v>
      </c>
      <c r="C15" s="32"/>
      <c r="D15" s="49"/>
      <c r="E15" s="30"/>
      <c r="F15" s="32">
        <v>100000</v>
      </c>
      <c r="G15" s="49">
        <v>100000</v>
      </c>
      <c r="H15" s="30">
        <v>1</v>
      </c>
      <c r="I15" s="32">
        <v>100000</v>
      </c>
      <c r="J15" s="49">
        <v>100000</v>
      </c>
      <c r="K15" s="30">
        <v>1</v>
      </c>
      <c r="L15" s="9"/>
    </row>
    <row r="16" spans="1:12" ht="18" x14ac:dyDescent="0.35">
      <c r="A16" s="9"/>
      <c r="B16" s="9" t="s">
        <v>28</v>
      </c>
      <c r="C16" s="32">
        <v>24000</v>
      </c>
      <c r="D16" s="49">
        <v>24000</v>
      </c>
      <c r="E16" s="30">
        <v>1</v>
      </c>
      <c r="F16" s="32"/>
      <c r="G16" s="49"/>
      <c r="H16" s="30"/>
      <c r="I16" s="32">
        <v>24000</v>
      </c>
      <c r="J16" s="49">
        <v>24000</v>
      </c>
      <c r="K16" s="30">
        <v>1</v>
      </c>
      <c r="L16" s="9"/>
    </row>
    <row r="17" spans="1:12" ht="18" x14ac:dyDescent="0.35">
      <c r="A17" s="9" t="s">
        <v>90</v>
      </c>
      <c r="B17" s="9" t="s">
        <v>28</v>
      </c>
      <c r="C17" s="32"/>
      <c r="D17" s="49"/>
      <c r="E17" s="30"/>
      <c r="F17" s="32">
        <v>225000</v>
      </c>
      <c r="G17" s="49">
        <v>225000</v>
      </c>
      <c r="H17" s="30">
        <v>1</v>
      </c>
      <c r="I17" s="32">
        <v>225000</v>
      </c>
      <c r="J17" s="49">
        <v>225000</v>
      </c>
      <c r="K17" s="30">
        <v>1</v>
      </c>
      <c r="L17" s="9"/>
    </row>
    <row r="18" spans="1:12" ht="18" x14ac:dyDescent="0.35">
      <c r="A18" s="9"/>
      <c r="B18" s="9" t="s">
        <v>13</v>
      </c>
      <c r="C18" s="32"/>
      <c r="D18" s="49"/>
      <c r="E18" s="30"/>
      <c r="F18" s="32">
        <v>150000</v>
      </c>
      <c r="G18" s="49">
        <v>150000</v>
      </c>
      <c r="H18" s="30">
        <v>1</v>
      </c>
      <c r="I18" s="32">
        <v>150000</v>
      </c>
      <c r="J18" s="49">
        <v>150000</v>
      </c>
      <c r="K18" s="30">
        <v>1</v>
      </c>
      <c r="L18" s="9"/>
    </row>
    <row r="19" spans="1:12" ht="18" x14ac:dyDescent="0.35">
      <c r="A19" s="9"/>
      <c r="B19" s="9" t="s">
        <v>35</v>
      </c>
      <c r="C19" s="32">
        <v>70000</v>
      </c>
      <c r="D19" s="49">
        <v>70000</v>
      </c>
      <c r="E19" s="30">
        <v>1</v>
      </c>
      <c r="F19" s="32"/>
      <c r="G19" s="49"/>
      <c r="H19" s="30"/>
      <c r="I19" s="32">
        <v>70000</v>
      </c>
      <c r="J19" s="49">
        <v>70000</v>
      </c>
      <c r="K19" s="30">
        <v>1</v>
      </c>
      <c r="L19" s="9"/>
    </row>
    <row r="20" spans="1:12" ht="18" x14ac:dyDescent="0.35">
      <c r="A20" s="9"/>
      <c r="B20" s="9" t="s">
        <v>21</v>
      </c>
      <c r="C20" s="32">
        <v>60000</v>
      </c>
      <c r="D20" s="49">
        <v>60000</v>
      </c>
      <c r="E20" s="30">
        <v>1</v>
      </c>
      <c r="F20" s="32"/>
      <c r="G20" s="49"/>
      <c r="H20" s="30"/>
      <c r="I20" s="32">
        <v>60000</v>
      </c>
      <c r="J20" s="49">
        <v>60000</v>
      </c>
      <c r="K20" s="30">
        <v>1</v>
      </c>
      <c r="L20" s="9"/>
    </row>
    <row r="21" spans="1:12" ht="18" x14ac:dyDescent="0.35">
      <c r="A21" s="9" t="s">
        <v>91</v>
      </c>
      <c r="B21" s="9" t="s">
        <v>35</v>
      </c>
      <c r="C21" s="32">
        <v>180000</v>
      </c>
      <c r="D21" s="49">
        <v>180000</v>
      </c>
      <c r="E21" s="30">
        <v>1</v>
      </c>
      <c r="F21" s="32"/>
      <c r="G21" s="49"/>
      <c r="H21" s="30"/>
      <c r="I21" s="32">
        <v>180000</v>
      </c>
      <c r="J21" s="49">
        <v>180000</v>
      </c>
      <c r="K21" s="30">
        <v>1</v>
      </c>
      <c r="L21" s="9"/>
    </row>
    <row r="22" spans="1:12" ht="18" x14ac:dyDescent="0.35">
      <c r="A22" s="9"/>
      <c r="B22" s="9" t="s">
        <v>21</v>
      </c>
      <c r="C22" s="32">
        <v>180000</v>
      </c>
      <c r="D22" s="49">
        <v>180000</v>
      </c>
      <c r="E22" s="30">
        <v>1</v>
      </c>
      <c r="F22" s="32"/>
      <c r="G22" s="49"/>
      <c r="H22" s="30"/>
      <c r="I22" s="32">
        <v>180000</v>
      </c>
      <c r="J22" s="49">
        <v>180000</v>
      </c>
      <c r="K22" s="30">
        <v>1</v>
      </c>
      <c r="L22" s="9"/>
    </row>
    <row r="23" spans="1:12" ht="18" x14ac:dyDescent="0.35">
      <c r="A23" s="9"/>
      <c r="B23" s="9" t="s">
        <v>28</v>
      </c>
      <c r="C23" s="32"/>
      <c r="D23" s="49"/>
      <c r="E23" s="30"/>
      <c r="F23" s="32">
        <v>20000</v>
      </c>
      <c r="G23" s="49">
        <v>20000</v>
      </c>
      <c r="H23" s="30">
        <v>1</v>
      </c>
      <c r="I23" s="32">
        <v>20000</v>
      </c>
      <c r="J23" s="49">
        <v>20000</v>
      </c>
      <c r="K23" s="30">
        <v>1</v>
      </c>
      <c r="L23" s="9"/>
    </row>
    <row r="24" spans="1:12" ht="18" x14ac:dyDescent="0.35">
      <c r="A24" s="9" t="s">
        <v>92</v>
      </c>
      <c r="B24" s="9" t="s">
        <v>28</v>
      </c>
      <c r="C24" s="32">
        <v>210000</v>
      </c>
      <c r="D24" s="49">
        <v>210000</v>
      </c>
      <c r="E24" s="30">
        <v>1</v>
      </c>
      <c r="F24" s="32"/>
      <c r="G24" s="49"/>
      <c r="H24" s="30"/>
      <c r="I24" s="32">
        <v>210000</v>
      </c>
      <c r="J24" s="49">
        <v>210000</v>
      </c>
      <c r="K24" s="30">
        <v>1</v>
      </c>
      <c r="L24" s="9"/>
    </row>
    <row r="25" spans="1:12" ht="18" x14ac:dyDescent="0.35">
      <c r="A25" s="9"/>
      <c r="B25" s="9" t="s">
        <v>21</v>
      </c>
      <c r="C25" s="32"/>
      <c r="D25" s="49"/>
      <c r="E25" s="30"/>
      <c r="F25" s="32">
        <v>192000</v>
      </c>
      <c r="G25" s="49">
        <v>192000</v>
      </c>
      <c r="H25" s="30">
        <v>1</v>
      </c>
      <c r="I25" s="32">
        <v>192000</v>
      </c>
      <c r="J25" s="49">
        <v>192000</v>
      </c>
      <c r="K25" s="30">
        <v>1</v>
      </c>
      <c r="L25" s="9"/>
    </row>
    <row r="26" spans="1:12" ht="18" x14ac:dyDescent="0.35">
      <c r="A26" s="9"/>
      <c r="B26" s="9" t="s">
        <v>13</v>
      </c>
      <c r="C26" s="32"/>
      <c r="D26" s="49"/>
      <c r="E26" s="30"/>
      <c r="F26" s="32">
        <v>90000</v>
      </c>
      <c r="G26" s="49">
        <v>90000</v>
      </c>
      <c r="H26" s="30">
        <v>1</v>
      </c>
      <c r="I26" s="32">
        <v>90000</v>
      </c>
      <c r="J26" s="49">
        <v>90000</v>
      </c>
      <c r="K26" s="30">
        <v>1</v>
      </c>
      <c r="L26" s="9"/>
    </row>
    <row r="27" spans="1:12" ht="18" x14ac:dyDescent="0.35">
      <c r="A27" s="9"/>
      <c r="B27" s="9" t="s">
        <v>35</v>
      </c>
      <c r="C27" s="32"/>
      <c r="D27" s="49"/>
      <c r="E27" s="30"/>
      <c r="F27" s="32">
        <v>56000</v>
      </c>
      <c r="G27" s="49">
        <v>56000</v>
      </c>
      <c r="H27" s="30">
        <v>1</v>
      </c>
      <c r="I27" s="32">
        <v>56000</v>
      </c>
      <c r="J27" s="49">
        <v>56000</v>
      </c>
      <c r="K27" s="30">
        <v>1</v>
      </c>
      <c r="L27" s="9"/>
    </row>
    <row r="28" spans="1:12" ht="18" x14ac:dyDescent="0.35">
      <c r="A28" s="9" t="s">
        <v>78</v>
      </c>
      <c r="B28" s="9"/>
      <c r="C28" s="32">
        <v>1011000</v>
      </c>
      <c r="D28" s="49">
        <v>126375</v>
      </c>
      <c r="E28" s="30">
        <v>8</v>
      </c>
      <c r="F28" s="32">
        <v>1405000</v>
      </c>
      <c r="G28" s="49">
        <v>117083.33333333333</v>
      </c>
      <c r="H28" s="30">
        <v>12</v>
      </c>
      <c r="I28" s="32">
        <v>2416000</v>
      </c>
      <c r="J28" s="49">
        <v>120800</v>
      </c>
      <c r="K28" s="30">
        <v>20</v>
      </c>
      <c r="L28" s="9"/>
    </row>
    <row r="29" spans="1:12" ht="18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21" x14ac:dyDescent="0.3">
      <c r="A30" s="40" t="s">
        <v>147</v>
      </c>
      <c r="B30" s="40"/>
      <c r="C30" s="40"/>
      <c r="D30" s="40"/>
      <c r="E30" s="40"/>
      <c r="F30" s="40"/>
    </row>
    <row r="31" spans="1:12" ht="21" x14ac:dyDescent="0.3">
      <c r="A31" s="41" t="s">
        <v>148</v>
      </c>
      <c r="B31" s="41"/>
      <c r="C31" s="41"/>
      <c r="D31" s="41"/>
      <c r="E31" s="41"/>
      <c r="F31" s="41"/>
    </row>
    <row r="33" spans="1:6" ht="21" x14ac:dyDescent="0.3">
      <c r="A33" s="40" t="s">
        <v>149</v>
      </c>
      <c r="B33" s="40"/>
      <c r="C33" s="40"/>
      <c r="D33" s="40"/>
      <c r="E33" s="40"/>
      <c r="F33" s="40"/>
    </row>
    <row r="34" spans="1:6" ht="21" x14ac:dyDescent="0.3">
      <c r="A34" s="41" t="s">
        <v>150</v>
      </c>
      <c r="B34" s="41"/>
      <c r="C34" s="41"/>
      <c r="D34" s="41"/>
      <c r="E34" s="41"/>
      <c r="F34" s="41"/>
    </row>
    <row r="36" spans="1:6" ht="21" x14ac:dyDescent="0.3">
      <c r="A36" s="50" t="s">
        <v>151</v>
      </c>
      <c r="B36" s="50"/>
      <c r="C36" s="50"/>
      <c r="D36" s="50"/>
      <c r="E36" s="50"/>
      <c r="F36" s="50"/>
    </row>
    <row r="37" spans="1:6" ht="21" x14ac:dyDescent="0.3">
      <c r="A37" s="51" t="s">
        <v>152</v>
      </c>
      <c r="B37" s="51"/>
      <c r="C37" s="51"/>
      <c r="D37" s="51"/>
      <c r="E37" s="51"/>
      <c r="F37" s="51"/>
    </row>
    <row r="39" spans="1:6" ht="21" x14ac:dyDescent="0.3">
      <c r="A39" s="40" t="s">
        <v>153</v>
      </c>
      <c r="B39" s="40"/>
      <c r="C39" s="40"/>
      <c r="D39" s="40"/>
      <c r="E39" s="40"/>
      <c r="F39" s="40"/>
    </row>
    <row r="40" spans="1:6" ht="21" x14ac:dyDescent="0.3">
      <c r="A40" s="41" t="s">
        <v>154</v>
      </c>
      <c r="B40" s="41"/>
      <c r="C40" s="41"/>
      <c r="D40" s="41"/>
      <c r="E40" s="41"/>
      <c r="F40" s="41"/>
    </row>
    <row r="42" spans="1:6" x14ac:dyDescent="0.3">
      <c r="A42" s="53" t="s">
        <v>156</v>
      </c>
      <c r="B42" s="53"/>
      <c r="C42" s="53"/>
      <c r="D42" s="53"/>
      <c r="E42" s="53"/>
      <c r="F42" s="53"/>
    </row>
    <row r="43" spans="1:6" x14ac:dyDescent="0.3">
      <c r="A43" s="53"/>
      <c r="B43" s="53"/>
      <c r="C43" s="53"/>
      <c r="D43" s="53"/>
      <c r="E43" s="53"/>
      <c r="F43" s="53"/>
    </row>
    <row r="44" spans="1:6" x14ac:dyDescent="0.3">
      <c r="A44" s="53"/>
      <c r="B44" s="53"/>
      <c r="C44" s="53"/>
      <c r="D44" s="53"/>
      <c r="E44" s="53"/>
      <c r="F44" s="53"/>
    </row>
    <row r="45" spans="1:6" ht="14.4" customHeight="1" x14ac:dyDescent="0.3">
      <c r="A45" s="52" t="s">
        <v>155</v>
      </c>
      <c r="B45" s="52"/>
      <c r="C45" s="52"/>
      <c r="D45" s="52"/>
      <c r="E45" s="52"/>
      <c r="F45" s="52"/>
    </row>
    <row r="46" spans="1:6" ht="14.4" customHeight="1" x14ac:dyDescent="0.3">
      <c r="A46" s="52"/>
      <c r="B46" s="52"/>
      <c r="C46" s="52"/>
      <c r="D46" s="52"/>
      <c r="E46" s="52"/>
      <c r="F46" s="52"/>
    </row>
    <row r="47" spans="1:6" ht="14.4" customHeight="1" x14ac:dyDescent="0.3">
      <c r="A47" s="52"/>
      <c r="B47" s="52"/>
      <c r="C47" s="52"/>
      <c r="D47" s="52"/>
      <c r="E47" s="52"/>
      <c r="F47" s="52"/>
    </row>
    <row r="48" spans="1:6" ht="14.4" customHeight="1" x14ac:dyDescent="0.3">
      <c r="A48" s="52"/>
      <c r="B48" s="52"/>
      <c r="C48" s="52"/>
      <c r="D48" s="52"/>
      <c r="E48" s="52"/>
      <c r="F48" s="52"/>
    </row>
    <row r="49" spans="1:6" ht="14.4" customHeight="1" x14ac:dyDescent="0.3">
      <c r="A49" s="52"/>
      <c r="B49" s="52"/>
      <c r="C49" s="52"/>
      <c r="D49" s="52"/>
      <c r="E49" s="52"/>
      <c r="F49" s="52"/>
    </row>
    <row r="50" spans="1:6" ht="14.4" customHeight="1" x14ac:dyDescent="0.3">
      <c r="A50" s="52"/>
      <c r="B50" s="52"/>
      <c r="C50" s="52"/>
      <c r="D50" s="52"/>
      <c r="E50" s="52"/>
      <c r="F50" s="52"/>
    </row>
    <row r="51" spans="1:6" ht="14.4" customHeight="1" x14ac:dyDescent="0.3">
      <c r="A51" s="52"/>
      <c r="B51" s="52"/>
      <c r="C51" s="52"/>
      <c r="D51" s="52"/>
      <c r="E51" s="52"/>
      <c r="F51" s="52"/>
    </row>
    <row r="52" spans="1:6" ht="14.4" customHeight="1" x14ac:dyDescent="0.3">
      <c r="A52" s="52"/>
      <c r="B52" s="52"/>
      <c r="C52" s="52"/>
      <c r="D52" s="52"/>
      <c r="E52" s="52"/>
      <c r="F52" s="52"/>
    </row>
    <row r="53" spans="1:6" ht="14.4" customHeight="1" x14ac:dyDescent="0.3"/>
    <row r="54" spans="1:6" ht="14.4" customHeight="1" x14ac:dyDescent="0.3"/>
    <row r="55" spans="1:6" ht="14.4" customHeight="1" x14ac:dyDescent="0.3"/>
    <row r="56" spans="1:6" ht="14.4" customHeight="1" x14ac:dyDescent="0.3"/>
    <row r="57" spans="1:6" ht="14.4" customHeight="1" x14ac:dyDescent="0.3"/>
  </sheetData>
  <mergeCells count="11">
    <mergeCell ref="A37:F37"/>
    <mergeCell ref="A39:F39"/>
    <mergeCell ref="A40:F40"/>
    <mergeCell ref="A45:F52"/>
    <mergeCell ref="A42:F44"/>
    <mergeCell ref="C1:I2"/>
    <mergeCell ref="A30:F30"/>
    <mergeCell ref="A31:F31"/>
    <mergeCell ref="A33:F33"/>
    <mergeCell ref="A34:F34"/>
    <mergeCell ref="A36:F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RAW-DATA</vt:lpstr>
      <vt:lpstr>Problem1</vt:lpstr>
      <vt:lpstr>Problem2</vt:lpstr>
      <vt:lpstr>Problem3</vt:lpstr>
      <vt:lpstr>Problem4</vt:lpstr>
      <vt:lpstr>Drill-Down-Problem4</vt:lpstr>
      <vt:lpstr>Problem5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2026-08-25T16:11:09Z</dcterms:created>
  <dcterms:modified xsi:type="dcterms:W3CDTF">2026-08-26T05:26:27Z</dcterms:modified>
</cp:coreProperties>
</file>