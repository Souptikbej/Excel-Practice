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84B76F2-8F0E-4D13-A78E-72D1DFD2D7EF}" xr6:coauthVersionLast="47" xr6:coauthVersionMax="47" xr10:uidLastSave="{00000000-0000-0000-0000-000000000000}"/>
  <bookViews>
    <workbookView xWindow="-108" yWindow="-108" windowWidth="23256" windowHeight="13176" xr2:uid="{DFF7E76E-22C0-4922-B3A0-EF752D9430CE}"/>
  </bookViews>
  <sheets>
    <sheet name="sales_department_dataset" sheetId="2" r:id="rId1"/>
    <sheet name="IFERROR" sheetId="1" r:id="rId2"/>
    <sheet name="mini_challenge" sheetId="3" r:id="rId3"/>
    <sheet name="IFNA" sheetId="4" r:id="rId4"/>
  </sheets>
  <definedNames>
    <definedName name="_xlnm.Print_Area" localSheetId="1">Table1[[#All],[Average Selling Price]:[First Letter of Domain]]</definedName>
    <definedName name="_xlnm.Print_Area" localSheetId="3">IFNA!$A$1:$G$6</definedName>
    <definedName name="_xlnm.Print_Area" localSheetId="2">Table3[[#All],[Average Revenue Per Unit]:[Bonus Eligibility]]</definedName>
    <definedName name="_xlnm.Print_Area" localSheetId="0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2" i="4"/>
  <c r="F3" i="4"/>
  <c r="F4" i="4"/>
  <c r="F5" i="4"/>
  <c r="F6" i="4"/>
  <c r="F2" i="4"/>
  <c r="E3" i="4"/>
  <c r="E4" i="4"/>
  <c r="E5" i="4"/>
  <c r="E6" i="4"/>
  <c r="E2" i="4"/>
  <c r="D3" i="4"/>
  <c r="D4" i="4"/>
  <c r="D5" i="4"/>
  <c r="D6" i="4"/>
  <c r="D2" i="4"/>
  <c r="C3" i="4"/>
  <c r="C4" i="4"/>
  <c r="C5" i="4"/>
  <c r="C6" i="4"/>
  <c r="C2" i="4"/>
  <c r="I3" i="3"/>
  <c r="I4" i="3"/>
  <c r="I5" i="3"/>
  <c r="I6" i="3"/>
  <c r="I7" i="3"/>
  <c r="I8" i="3"/>
  <c r="I9" i="3"/>
  <c r="I2" i="3"/>
  <c r="G2" i="1"/>
  <c r="H3" i="3"/>
  <c r="H4" i="3"/>
  <c r="H5" i="3"/>
  <c r="H6" i="3"/>
  <c r="H7" i="3"/>
  <c r="H8" i="3"/>
  <c r="H9" i="3"/>
  <c r="H2" i="3"/>
  <c r="I4" i="1"/>
  <c r="G3" i="3"/>
  <c r="G4" i="3"/>
  <c r="G5" i="3"/>
  <c r="G6" i="3"/>
  <c r="G7" i="3"/>
  <c r="G8" i="3"/>
  <c r="G9" i="3"/>
  <c r="G2" i="3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2" i="1"/>
  <c r="J3" i="1"/>
  <c r="J4" i="1"/>
  <c r="J5" i="1"/>
  <c r="J6" i="1"/>
  <c r="J7" i="1"/>
  <c r="J8" i="1"/>
  <c r="J9" i="1"/>
  <c r="I2" i="1"/>
  <c r="I3" i="1"/>
  <c r="I5" i="1"/>
  <c r="I6" i="1"/>
  <c r="I7" i="1"/>
  <c r="I8" i="1"/>
  <c r="I9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<sst xmlns="http://schemas.openxmlformats.org/spreadsheetml/2006/main" count="116" uniqueCount="50">
  <si>
    <t>Order ID</t>
  </si>
  <si>
    <t>Salesperson</t>
  </si>
  <si>
    <t>Sales</t>
  </si>
  <si>
    <t>Target</t>
  </si>
  <si>
    <t>Units Sold</t>
  </si>
  <si>
    <t>Customer Email</t>
  </si>
  <si>
    <t>O101</t>
  </si>
  <si>
    <t>Amit</t>
  </si>
  <si>
    <t>amit@gmail.com</t>
  </si>
  <si>
    <t>O102</t>
  </si>
  <si>
    <t>Priya</t>
  </si>
  <si>
    <t>priya@gmail.com</t>
  </si>
  <si>
    <t>O103</t>
  </si>
  <si>
    <t>Rahul</t>
  </si>
  <si>
    <t>rahulgmail.com</t>
  </si>
  <si>
    <t>O104</t>
  </si>
  <si>
    <t>Sneha</t>
  </si>
  <si>
    <t>sneha@gmail.com</t>
  </si>
  <si>
    <t>O105</t>
  </si>
  <si>
    <t>Vikash</t>
  </si>
  <si>
    <t>vikash@gmail.com</t>
  </si>
  <si>
    <t>O106</t>
  </si>
  <si>
    <t>Riya</t>
  </si>
  <si>
    <t>riya@gmail.com</t>
  </si>
  <si>
    <t>O107</t>
  </si>
  <si>
    <t>Arjun</t>
  </si>
  <si>
    <t>arjunmail.com</t>
  </si>
  <si>
    <t>O108</t>
  </si>
  <si>
    <t>Neha</t>
  </si>
  <si>
    <t>neha@gmail.com</t>
  </si>
  <si>
    <t>Average Selling Price</t>
  </si>
  <si>
    <t>Commission</t>
  </si>
  <si>
    <t>Extract Gmail Username</t>
  </si>
  <si>
    <t>Bonus</t>
  </si>
  <si>
    <t>Sales per ₹1000 Target</t>
  </si>
  <si>
    <t>Email Domain</t>
  </si>
  <si>
    <t>Performance Score</t>
  </si>
  <si>
    <t>First Letter of Domain</t>
  </si>
  <si>
    <t>Average Revenue Per Unit</t>
  </si>
  <si>
    <t>Email Status</t>
  </si>
  <si>
    <t>Bonus Eligibility</t>
  </si>
  <si>
    <t>Employee</t>
  </si>
  <si>
    <t>Rating</t>
  </si>
  <si>
    <t>A</t>
  </si>
  <si>
    <t>B</t>
  </si>
  <si>
    <t>Replace #N/A with "Not Rated" using IFNA.</t>
  </si>
  <si>
    <t>Replace #N/A with 0.</t>
  </si>
  <si>
    <t>Convert #N/A to "Missing Data"</t>
  </si>
  <si>
    <t>Status</t>
  </si>
  <si>
    <t>Replace #N/A with "Review Pending".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</si>
</sst>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5" fillId="3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1" xfId="1" applyBorder="1" applyAlignment="1">
      <alignment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2" fillId="0" borderId="8" xfId="1" applyBorder="1" applyAlignment="1">
      <alignment vertical="center"/>
    </xf>
    <xf numFmtId="164" fontId="0" fillId="0" borderId="8" xfId="0" applyNumberFormat="1" applyBorder="1"/>
    <xf numFmtId="0" fontId="0" fillId="0" borderId="8" xfId="0" applyBorder="1"/>
    <xf numFmtId="165" fontId="0" fillId="0" borderId="8" xfId="0" applyNumberFormat="1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2" applyBorder="1" applyAlignment="1">
      <alignment vertical="center"/>
    </xf>
    <xf numFmtId="0" fontId="3" fillId="2" borderId="1" xfId="2" applyBorder="1" applyAlignment="1">
      <alignment horizontal="center" vertical="center"/>
    </xf>
    <xf numFmtId="0" fontId="3" fillId="2" borderId="1" xfId="2" applyBorder="1"/>
    <xf numFmtId="0" fontId="0" fillId="0" borderId="16" xfId="0" applyBorder="1" applyAlignment="1">
      <alignment vertical="center"/>
    </xf>
    <xf numFmtId="0" fontId="0" fillId="0" borderId="12" xfId="0" applyBorder="1"/>
    <xf numFmtId="0" fontId="3" fillId="2" borderId="16" xfId="2" applyBorder="1" applyAlignment="1">
      <alignment vertical="center"/>
    </xf>
    <xf numFmtId="0" fontId="3" fillId="2" borderId="12" xfId="2" applyBorder="1"/>
    <xf numFmtId="0" fontId="3" fillId="2" borderId="17" xfId="2" applyBorder="1" applyAlignment="1">
      <alignment vertical="center"/>
    </xf>
    <xf numFmtId="0" fontId="3" fillId="2" borderId="13" xfId="2" applyBorder="1" applyAlignment="1">
      <alignment vertical="center"/>
    </xf>
    <xf numFmtId="0" fontId="3" fillId="2" borderId="13" xfId="2" applyBorder="1" applyAlignment="1">
      <alignment horizontal="center" vertical="center"/>
    </xf>
    <xf numFmtId="0" fontId="3" fillId="2" borderId="13" xfId="2" applyBorder="1"/>
    <xf numFmtId="0" fontId="3" fillId="2" borderId="14" xfId="2" applyBorder="1"/>
    <xf numFmtId="0" fontId="4" fillId="3" borderId="15" xfId="3" applyFont="1" applyBorder="1" applyAlignment="1">
      <alignment horizontal="center" vertical="center"/>
    </xf>
    <xf numFmtId="0" fontId="4" fillId="3" borderId="10" xfId="3" applyFont="1" applyBorder="1" applyAlignment="1">
      <alignment horizontal="center" vertical="center"/>
    </xf>
    <xf numFmtId="0" fontId="4" fillId="3" borderId="10" xfId="3" applyFont="1" applyBorder="1" applyAlignment="1">
      <alignment horizontal="center" vertical="center" wrapText="1"/>
    </xf>
    <xf numFmtId="0" fontId="4" fillId="3" borderId="11" xfId="3" applyFont="1" applyBorder="1" applyAlignment="1">
      <alignment horizontal="center" vertical="center"/>
    </xf>
  </cellXfs>
  <cellStyles count="4">
    <cellStyle name="Accent3" xfId="3" builtinId="37"/>
    <cellStyle name="Bad" xfId="2" builtinId="27"/>
    <cellStyle name="Hyperlink" xfId="1" builtinId="8"/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0C1CC-A66D-43CC-87F8-664D193500FB}" name="Table2" displayName="Table2" ref="A1:F9" totalsRowShown="0" headerRowDxfId="12" dataDxfId="13">
  <autoFilter ref="A1:F9" xr:uid="{A290C1CC-A66D-43CC-87F8-664D193500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34D44D-7414-4C17-A8DE-54F5F253FB2E}" name="Order ID" dataDxfId="19"/>
    <tableColumn id="2" xr3:uid="{238F310D-CA50-4959-AB0D-07A005E6FC18}" name="Salesperson" dataDxfId="18"/>
    <tableColumn id="3" xr3:uid="{11C34E99-DD7A-4A8D-8EC9-023B7996664D}" name="Sales" dataDxfId="17"/>
    <tableColumn id="4" xr3:uid="{69CEF8F0-DD4E-4A69-9590-F8F7EAC452FD}" name="Target" dataDxfId="16"/>
    <tableColumn id="5" xr3:uid="{BC7A4DBC-D63C-4379-8136-21BBBF2DABEF}" name="Units Sold" dataDxfId="15"/>
    <tableColumn id="6" xr3:uid="{BD3B8EC6-FC5E-4940-BFAE-A32D1962855D}" name="Customer Email" dataDxfId="1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B6385-CA57-4F58-95E0-323D8A2013C7}" name="Table1" displayName="Table1" ref="A1:N9" totalsRowShown="0" headerRowDxfId="37" headerRowBorderDxfId="36" tableBorderDxfId="35" totalsRowBorderDxfId="34">
  <autoFilter ref="A1:N9" xr:uid="{168B6385-CA57-4F58-95E0-323D8A2013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382A258-3EE1-4EC2-AD78-8ED9A3D6EA6C}" name="Order ID" dataDxfId="33"/>
    <tableColumn id="2" xr3:uid="{E1CC6E22-FDEF-434B-90E6-7889F0A10118}" name="Salesperson" dataDxfId="32"/>
    <tableColumn id="3" xr3:uid="{23EC9500-4BF0-4966-8284-2EF18A9E5122}" name="Sales" dataDxfId="31"/>
    <tableColumn id="4" xr3:uid="{911F81AE-D515-4144-9990-5D75912B1969}" name="Target" dataDxfId="30"/>
    <tableColumn id="5" xr3:uid="{C229C8D5-6101-470A-94CF-E4024D3E845D}" name="Units Sold" dataDxfId="29"/>
    <tableColumn id="6" xr3:uid="{3A059866-0003-4C3D-8C6A-93DE40093DC3}" name="Customer Email" dataDxfId="28"/>
    <tableColumn id="7" xr3:uid="{8C9D7F3C-38A7-45D6-96AA-90F6EC9049F8}" name="Average Selling Price" dataDxfId="27">
      <calculatedColumnFormula>IFERROR(C2/E2,"No Sales")</calculatedColumnFormula>
    </tableColumn>
    <tableColumn id="8" xr3:uid="{90042E28-8636-4E19-9A16-00988D13E1B7}" name="Commission" dataDxfId="26">
      <calculatedColumnFormula>IFERROR(C2/E2*5,0)</calculatedColumnFormula>
    </tableColumn>
    <tableColumn id="9" xr3:uid="{C8DF81E7-CE43-454E-BA85-625A8019301C}" name="Extract Gmail Username" dataDxfId="25">
      <calculatedColumnFormula>IFERROR(LEFT(F2,FIND("@",F2)-1),"Invalid Email")</calculatedColumnFormula>
    </tableColumn>
    <tableColumn id="10" xr3:uid="{C14B6343-02D7-4C44-A4FE-58C73E4EDCA7}" name="Bonus" dataDxfId="24">
      <calculatedColumnFormula>IFERROR(C2/E2*100,"Pending")</calculatedColumnFormula>
    </tableColumn>
    <tableColumn id="11" xr3:uid="{0965979F-6C79-4A59-ABEA-78E8408B33A3}" name="Sales per ₹1000 Target" dataDxfId="23">
      <calculatedColumnFormula>IFERROR(C2/D2*1000,"")</calculatedColumnFormula>
    </tableColumn>
    <tableColumn id="12" xr3:uid="{E1635105-83C0-4B72-969F-E9B4837ED191}" name="Email Domain" dataDxfId="22">
      <calculatedColumnFormula>IFERROR(MID(F2,FIND("@",F2)+1,LEN(F2)),"No Domain")</calculatedColumnFormula>
    </tableColumn>
    <tableColumn id="13" xr3:uid="{B625EA6C-E3A0-4F9F-9D38-44E37DED9F16}" name="Performance Score" dataDxfId="21">
      <calculatedColumnFormula>IFERROR(C2/E2+10,0)</calculatedColumnFormula>
    </tableColumn>
    <tableColumn id="14" xr3:uid="{6C9D28B6-7202-4F26-B14F-D1EBC1AD2676}" name="First Letter of Domain" dataDxfId="20">
      <calculatedColumnFormula>IFERROR(MID(F2,FIND("@",F2)+1,1),"NA")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734AE6-D975-4F39-80C8-18A57CCA532B}" name="Table3" displayName="Table3" ref="A1:I9" totalsRowShown="0" headerRowDxfId="0" headerRowBorderDxfId="10" tableBorderDxfId="11">
  <autoFilter ref="A1:I9" xr:uid="{E2734AE6-D975-4F39-80C8-18A57CCA53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0326EBE-CE7E-4D0B-9513-87EEC88C456F}" name="Order ID" dataDxfId="9"/>
    <tableColumn id="2" xr3:uid="{508DE939-7371-4275-935B-2C0536FDB28F}" name="Salesperson" dataDxfId="8"/>
    <tableColumn id="3" xr3:uid="{CB7E0691-C850-484B-93B9-B7FEA423B315}" name="Sales" dataDxfId="7"/>
    <tableColumn id="4" xr3:uid="{D0E00F43-CEFD-430B-9054-4D7804F8E0A0}" name="Target" dataDxfId="6"/>
    <tableColumn id="5" xr3:uid="{A95FB4E5-ABF2-4F3D-8B12-1D83B0472DE1}" name="Units Sold" dataDxfId="5"/>
    <tableColumn id="6" xr3:uid="{D2C57602-2621-436C-9281-0C002C02FD70}" name="Customer Email" dataDxfId="4"/>
    <tableColumn id="7" xr3:uid="{116E81E7-5E4B-4B22-9342-BF0F2114EBF2}" name="Average Revenue Per Unit" dataDxfId="3">
      <calculatedColumnFormula>IFERROR(C2/E2,"Check Unites")</calculatedColumnFormula>
    </tableColumn>
    <tableColumn id="8" xr3:uid="{F72B6483-DCAF-44B0-955E-25CF6675F76F}" name="Email Status" dataDxfId="2">
      <calculatedColumnFormula>IF(IFERROR(FIND("@",F2),0)&gt;0,"Valid","Invalid Email")</calculatedColumnFormula>
    </tableColumn>
    <tableColumn id="9" xr3:uid="{5CAD4AF8-B1A0-40E0-A86E-98EC34F63EC5}" name="Bonus Eligibility" dataDxfId="1">
      <calculatedColumnFormula>IF(IFERROR(C2/E2,0)&gt;2000,"Eligible","Not Eligible")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sneh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riya@gmail.com" TargetMode="External"/><Relationship Id="rId4" Type="http://schemas.openxmlformats.org/officeDocument/2006/relationships/hyperlink" Target="mailto:vikas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sneha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riya@gmail.com" TargetMode="External"/><Relationship Id="rId4" Type="http://schemas.openxmlformats.org/officeDocument/2006/relationships/hyperlink" Target="mailto:vikash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sneha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riya@gmail.com" TargetMode="External"/><Relationship Id="rId4" Type="http://schemas.openxmlformats.org/officeDocument/2006/relationships/hyperlink" Target="mailto:vikash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5427-503E-4FAB-9FDA-0757768D1461}">
  <dimension ref="A1:F9"/>
  <sheetViews>
    <sheetView tabSelected="1" zoomScale="250" zoomScaleNormal="250" workbookViewId="0">
      <selection activeCell="H3" sqref="H3"/>
    </sheetView>
  </sheetViews>
  <sheetFormatPr defaultRowHeight="14.4" x14ac:dyDescent="0.3"/>
  <cols>
    <col min="1" max="1" width="9.77734375" customWidth="1"/>
    <col min="2" max="2" width="11.21875" bestFit="1" customWidth="1"/>
    <col min="3" max="3" width="6" bestFit="1" customWidth="1"/>
    <col min="4" max="4" width="6.109375" bestFit="1" customWidth="1"/>
    <col min="5" max="5" width="9.44140625" bestFit="1" customWidth="1"/>
    <col min="6" max="6" width="16.21875" bestFit="1" customWidth="1"/>
  </cols>
  <sheetData>
    <row r="1" spans="1:6" s="24" customFormat="1" x14ac:dyDescent="0.3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2" t="s">
        <v>5</v>
      </c>
    </row>
    <row r="2" spans="1:6" x14ac:dyDescent="0.3">
      <c r="A2" s="25" t="s">
        <v>6</v>
      </c>
      <c r="B2" s="25" t="s">
        <v>7</v>
      </c>
      <c r="C2" s="26">
        <v>50000</v>
      </c>
      <c r="D2" s="26">
        <v>45000</v>
      </c>
      <c r="E2" s="26">
        <v>25</v>
      </c>
      <c r="F2" s="27" t="s">
        <v>8</v>
      </c>
    </row>
    <row r="3" spans="1:6" x14ac:dyDescent="0.3">
      <c r="A3" s="25" t="s">
        <v>9</v>
      </c>
      <c r="B3" s="25" t="s">
        <v>10</v>
      </c>
      <c r="C3" s="26">
        <v>42000</v>
      </c>
      <c r="D3" s="26">
        <v>42000</v>
      </c>
      <c r="E3" s="26">
        <v>0</v>
      </c>
      <c r="F3" s="27" t="s">
        <v>11</v>
      </c>
    </row>
    <row r="4" spans="1:6" x14ac:dyDescent="0.3">
      <c r="A4" s="25" t="s">
        <v>12</v>
      </c>
      <c r="B4" s="25" t="s">
        <v>13</v>
      </c>
      <c r="C4" s="26">
        <v>38000</v>
      </c>
      <c r="D4" s="26">
        <v>40000</v>
      </c>
      <c r="E4" s="26">
        <v>18</v>
      </c>
      <c r="F4" s="25" t="s">
        <v>14</v>
      </c>
    </row>
    <row r="5" spans="1:6" x14ac:dyDescent="0.3">
      <c r="A5" s="25" t="s">
        <v>15</v>
      </c>
      <c r="B5" s="25" t="s">
        <v>16</v>
      </c>
      <c r="C5" s="26">
        <v>62000</v>
      </c>
      <c r="D5" s="26">
        <v>50000</v>
      </c>
      <c r="E5" s="26">
        <v>31</v>
      </c>
      <c r="F5" s="27" t="s">
        <v>17</v>
      </c>
    </row>
    <row r="6" spans="1:6" x14ac:dyDescent="0.3">
      <c r="A6" s="25" t="s">
        <v>18</v>
      </c>
      <c r="B6" s="25" t="s">
        <v>19</v>
      </c>
      <c r="C6" s="26">
        <v>0</v>
      </c>
      <c r="D6" s="26">
        <v>35000</v>
      </c>
      <c r="E6" s="26">
        <v>0</v>
      </c>
      <c r="F6" s="27" t="s">
        <v>20</v>
      </c>
    </row>
    <row r="7" spans="1:6" x14ac:dyDescent="0.3">
      <c r="A7" s="25" t="s">
        <v>21</v>
      </c>
      <c r="B7" s="25" t="s">
        <v>22</v>
      </c>
      <c r="C7" s="26">
        <v>56000</v>
      </c>
      <c r="D7" s="26">
        <v>55000</v>
      </c>
      <c r="E7" s="26">
        <v>28</v>
      </c>
      <c r="F7" s="27" t="s">
        <v>23</v>
      </c>
    </row>
    <row r="8" spans="1:6" x14ac:dyDescent="0.3">
      <c r="A8" s="25" t="s">
        <v>24</v>
      </c>
      <c r="B8" s="25" t="s">
        <v>25</v>
      </c>
      <c r="C8" s="26">
        <v>47000</v>
      </c>
      <c r="D8" s="26">
        <v>50000</v>
      </c>
      <c r="E8" s="26">
        <v>20</v>
      </c>
      <c r="F8" s="25" t="s">
        <v>26</v>
      </c>
    </row>
    <row r="9" spans="1:6" x14ac:dyDescent="0.3">
      <c r="A9" s="25" t="s">
        <v>27</v>
      </c>
      <c r="B9" s="25" t="s">
        <v>28</v>
      </c>
      <c r="C9" s="26">
        <v>39000</v>
      </c>
      <c r="D9" s="26">
        <v>39000</v>
      </c>
      <c r="E9" s="26">
        <v>15</v>
      </c>
      <c r="F9" s="27" t="s">
        <v>29</v>
      </c>
    </row>
  </sheetData>
  <hyperlinks>
    <hyperlink ref="F2" r:id="rId1" display="mailto:amit@gmail.com" xr:uid="{702BD3A8-CD7B-4DB2-B2D5-762E3A817B1A}"/>
    <hyperlink ref="F3" r:id="rId2" display="mailto:priya@gmail.com" xr:uid="{453F19AE-BD5E-4D97-8E94-4BA3DA11423F}"/>
    <hyperlink ref="F5" r:id="rId3" display="mailto:sneha@gmail.com" xr:uid="{2D9A273C-C855-4852-92CC-497268267194}"/>
    <hyperlink ref="F6" r:id="rId4" display="mailto:vikash@gmail.com" xr:uid="{41DE538E-C8D1-4B1D-9F47-53630DA822D4}"/>
    <hyperlink ref="F7" r:id="rId5" display="mailto:riya@gmail.com" xr:uid="{72BB11B8-D669-4431-A2B6-D62679475126}"/>
    <hyperlink ref="F9" r:id="rId6" display="mailto:neha@gmail.com" xr:uid="{AABE6F81-E146-4A81-A9A6-87165B7B4E57}"/>
  </hyperlinks>
  <pageMargins left="0.25" right="0.25" top="0.75" bottom="0.75" header="0.3" footer="0.3"/>
  <pageSetup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5843-8D3B-4391-8F7A-568203305F8B}">
  <dimension ref="A1:N9"/>
  <sheetViews>
    <sheetView topLeftCell="F1" zoomScale="130" zoomScaleNormal="130" workbookViewId="0">
      <selection activeCell="G1" sqref="G1:N9"/>
    </sheetView>
  </sheetViews>
  <sheetFormatPr defaultRowHeight="14.4" x14ac:dyDescent="0.3"/>
  <cols>
    <col min="1" max="1" width="9.33203125" customWidth="1"/>
    <col min="2" max="2" width="12.77734375" customWidth="1"/>
    <col min="3" max="3" width="6.88671875" customWidth="1"/>
    <col min="4" max="4" width="7.5546875" customWidth="1"/>
    <col min="5" max="5" width="10.88671875" customWidth="1"/>
    <col min="6" max="6" width="16.44140625" bestFit="1" customWidth="1"/>
    <col min="7" max="7" width="11.44140625" customWidth="1"/>
    <col min="8" max="8" width="11.44140625" bestFit="1" customWidth="1"/>
    <col min="9" max="9" width="12.33203125" customWidth="1"/>
    <col min="10" max="10" width="12" bestFit="1" customWidth="1"/>
    <col min="11" max="11" width="11.88671875" customWidth="1"/>
    <col min="12" max="12" width="9.44140625" customWidth="1"/>
    <col min="13" max="13" width="9.21875" bestFit="1" customWidth="1"/>
    <col min="14" max="14" width="10" bestFit="1" customWidth="1"/>
  </cols>
  <sheetData>
    <row r="1" spans="1:14" ht="43.2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30</v>
      </c>
      <c r="H1" s="10" t="s">
        <v>31</v>
      </c>
      <c r="I1" s="11" t="s">
        <v>32</v>
      </c>
      <c r="J1" s="10" t="s">
        <v>33</v>
      </c>
      <c r="K1" s="11" t="s">
        <v>34</v>
      </c>
      <c r="L1" s="11" t="s">
        <v>35</v>
      </c>
      <c r="M1" s="12" t="s">
        <v>36</v>
      </c>
      <c r="N1" s="13" t="s">
        <v>37</v>
      </c>
    </row>
    <row r="2" spans="1:14" x14ac:dyDescent="0.3">
      <c r="A2" s="7" t="s">
        <v>6</v>
      </c>
      <c r="B2" s="1" t="s">
        <v>7</v>
      </c>
      <c r="C2" s="2">
        <v>50000</v>
      </c>
      <c r="D2" s="2">
        <v>45000</v>
      </c>
      <c r="E2" s="2">
        <v>25</v>
      </c>
      <c r="F2" s="3" t="s">
        <v>8</v>
      </c>
      <c r="G2" s="4">
        <f>IFERROR(C2/E2,"No Sales")</f>
        <v>2000</v>
      </c>
      <c r="H2" s="4">
        <f>IFERROR(C2/E2*5,0)</f>
        <v>10000</v>
      </c>
      <c r="I2" s="5" t="str">
        <f>IFERROR(LEFT(F2,FIND("@",F2)-1),"Invalid Email")</f>
        <v>amit</v>
      </c>
      <c r="J2" s="4">
        <f>IFERROR(C2/E2*100,"Pending")</f>
        <v>200000</v>
      </c>
      <c r="K2" s="4">
        <f>IFERROR(C2/D2*1000,"")</f>
        <v>1111.1111111111111</v>
      </c>
      <c r="L2" s="5" t="str">
        <f>IFERROR(MID(F2,FIND("@",F2)+1,LEN(F2)),"No Domain")</f>
        <v>gmail.com</v>
      </c>
      <c r="M2" s="6">
        <f>IFERROR(C2/E2+10,0)</f>
        <v>2010</v>
      </c>
      <c r="N2" s="8" t="str">
        <f>IFERROR(MID(F2,FIND("@",F2)+1,1),"NA")</f>
        <v>g</v>
      </c>
    </row>
    <row r="3" spans="1:14" x14ac:dyDescent="0.3">
      <c r="A3" s="7" t="s">
        <v>9</v>
      </c>
      <c r="B3" s="1" t="s">
        <v>10</v>
      </c>
      <c r="C3" s="2">
        <v>42000</v>
      </c>
      <c r="D3" s="2">
        <v>42000</v>
      </c>
      <c r="E3" s="2">
        <v>0</v>
      </c>
      <c r="F3" s="3" t="s">
        <v>11</v>
      </c>
      <c r="G3" s="4" t="str">
        <f t="shared" ref="G3:G9" si="0">IFERROR(C3/E3,"No Sales")</f>
        <v>No Sales</v>
      </c>
      <c r="H3" s="4">
        <f t="shared" ref="H3:H9" si="1">IFERROR(C3/E3*5,0)</f>
        <v>0</v>
      </c>
      <c r="I3" s="5" t="str">
        <f t="shared" ref="I3:I9" si="2">IFERROR(LEFT(F3,FIND("@",F3)-1),"Invalid Email")</f>
        <v>priya</v>
      </c>
      <c r="J3" s="4" t="str">
        <f t="shared" ref="J3:J9" si="3">IFERROR(C3/E3*100,"Pending")</f>
        <v>Pending</v>
      </c>
      <c r="K3" s="4">
        <f t="shared" ref="K3:K9" si="4">IFERROR(C3/D3*1000,"")</f>
        <v>1000</v>
      </c>
      <c r="L3" s="5" t="str">
        <f t="shared" ref="L3:L9" si="5">IFERROR(MID(F3,FIND("@",F3)+1,LEN(F3)),"No Domain")</f>
        <v>gmail.com</v>
      </c>
      <c r="M3" s="6">
        <f t="shared" ref="M3:M9" si="6">IFERROR(C3/E3+10,0)</f>
        <v>0</v>
      </c>
      <c r="N3" s="8" t="str">
        <f t="shared" ref="N3:N9" si="7">IFERROR(MID(F3,FIND("@",F3)+1,1),"NA")</f>
        <v>g</v>
      </c>
    </row>
    <row r="4" spans="1:14" x14ac:dyDescent="0.3">
      <c r="A4" s="7" t="s">
        <v>12</v>
      </c>
      <c r="B4" s="1" t="s">
        <v>13</v>
      </c>
      <c r="C4" s="2">
        <v>38000</v>
      </c>
      <c r="D4" s="2">
        <v>40000</v>
      </c>
      <c r="E4" s="2">
        <v>18</v>
      </c>
      <c r="F4" s="1" t="s">
        <v>14</v>
      </c>
      <c r="G4" s="4">
        <f t="shared" si="0"/>
        <v>2111.1111111111113</v>
      </c>
      <c r="H4" s="4">
        <f t="shared" si="1"/>
        <v>10555.555555555557</v>
      </c>
      <c r="I4" s="5" t="str">
        <f>IFERROR(LEFT(F4,FIND("@",F4)-1),"Invalid Email")</f>
        <v>Invalid Email</v>
      </c>
      <c r="J4" s="4">
        <f t="shared" si="3"/>
        <v>211111.11111111112</v>
      </c>
      <c r="K4" s="4">
        <f t="shared" si="4"/>
        <v>950</v>
      </c>
      <c r="L4" s="5" t="str">
        <f t="shared" si="5"/>
        <v>No Domain</v>
      </c>
      <c r="M4" s="6">
        <f t="shared" si="6"/>
        <v>2121.1111111111113</v>
      </c>
      <c r="N4" s="8" t="str">
        <f t="shared" si="7"/>
        <v>NA</v>
      </c>
    </row>
    <row r="5" spans="1:14" x14ac:dyDescent="0.3">
      <c r="A5" s="7" t="s">
        <v>15</v>
      </c>
      <c r="B5" s="1" t="s">
        <v>16</v>
      </c>
      <c r="C5" s="2">
        <v>62000</v>
      </c>
      <c r="D5" s="2">
        <v>50000</v>
      </c>
      <c r="E5" s="2">
        <v>31</v>
      </c>
      <c r="F5" s="3" t="s">
        <v>17</v>
      </c>
      <c r="G5" s="4">
        <f t="shared" si="0"/>
        <v>2000</v>
      </c>
      <c r="H5" s="4">
        <f t="shared" si="1"/>
        <v>10000</v>
      </c>
      <c r="I5" s="5" t="str">
        <f t="shared" si="2"/>
        <v>sneha</v>
      </c>
      <c r="J5" s="4">
        <f t="shared" si="3"/>
        <v>200000</v>
      </c>
      <c r="K5" s="4">
        <f t="shared" si="4"/>
        <v>1240</v>
      </c>
      <c r="L5" s="5" t="str">
        <f t="shared" si="5"/>
        <v>gmail.com</v>
      </c>
      <c r="M5" s="6">
        <f t="shared" si="6"/>
        <v>2010</v>
      </c>
      <c r="N5" s="8" t="str">
        <f t="shared" si="7"/>
        <v>g</v>
      </c>
    </row>
    <row r="6" spans="1:14" x14ac:dyDescent="0.3">
      <c r="A6" s="7" t="s">
        <v>18</v>
      </c>
      <c r="B6" s="1" t="s">
        <v>19</v>
      </c>
      <c r="C6" s="2">
        <v>0</v>
      </c>
      <c r="D6" s="2">
        <v>35000</v>
      </c>
      <c r="E6" s="2">
        <v>0</v>
      </c>
      <c r="F6" s="3" t="s">
        <v>20</v>
      </c>
      <c r="G6" s="4" t="str">
        <f t="shared" si="0"/>
        <v>No Sales</v>
      </c>
      <c r="H6" s="4">
        <f t="shared" si="1"/>
        <v>0</v>
      </c>
      <c r="I6" s="5" t="str">
        <f t="shared" si="2"/>
        <v>vikash</v>
      </c>
      <c r="J6" s="4" t="str">
        <f t="shared" si="3"/>
        <v>Pending</v>
      </c>
      <c r="K6" s="4">
        <f t="shared" si="4"/>
        <v>0</v>
      </c>
      <c r="L6" s="5" t="str">
        <f t="shared" si="5"/>
        <v>gmail.com</v>
      </c>
      <c r="M6" s="6">
        <f t="shared" si="6"/>
        <v>0</v>
      </c>
      <c r="N6" s="8" t="str">
        <f t="shared" si="7"/>
        <v>g</v>
      </c>
    </row>
    <row r="7" spans="1:14" x14ac:dyDescent="0.3">
      <c r="A7" s="7" t="s">
        <v>21</v>
      </c>
      <c r="B7" s="1" t="s">
        <v>22</v>
      </c>
      <c r="C7" s="2">
        <v>56000</v>
      </c>
      <c r="D7" s="2">
        <v>55000</v>
      </c>
      <c r="E7" s="2">
        <v>28</v>
      </c>
      <c r="F7" s="3" t="s">
        <v>23</v>
      </c>
      <c r="G7" s="4">
        <f t="shared" si="0"/>
        <v>2000</v>
      </c>
      <c r="H7" s="4">
        <f t="shared" si="1"/>
        <v>10000</v>
      </c>
      <c r="I7" s="5" t="str">
        <f t="shared" si="2"/>
        <v>riya</v>
      </c>
      <c r="J7" s="4">
        <f t="shared" si="3"/>
        <v>200000</v>
      </c>
      <c r="K7" s="4">
        <f t="shared" si="4"/>
        <v>1018.1818181818181</v>
      </c>
      <c r="L7" s="5" t="str">
        <f t="shared" si="5"/>
        <v>gmail.com</v>
      </c>
      <c r="M7" s="6">
        <f t="shared" si="6"/>
        <v>2010</v>
      </c>
      <c r="N7" s="8" t="str">
        <f t="shared" si="7"/>
        <v>g</v>
      </c>
    </row>
    <row r="8" spans="1:14" x14ac:dyDescent="0.3">
      <c r="A8" s="7" t="s">
        <v>24</v>
      </c>
      <c r="B8" s="1" t="s">
        <v>25</v>
      </c>
      <c r="C8" s="2">
        <v>47000</v>
      </c>
      <c r="D8" s="2">
        <v>50000</v>
      </c>
      <c r="E8" s="2">
        <v>20</v>
      </c>
      <c r="F8" s="1" t="s">
        <v>26</v>
      </c>
      <c r="G8" s="4">
        <f t="shared" si="0"/>
        <v>2350</v>
      </c>
      <c r="H8" s="4">
        <f t="shared" si="1"/>
        <v>11750</v>
      </c>
      <c r="I8" s="5" t="str">
        <f t="shared" si="2"/>
        <v>Invalid Email</v>
      </c>
      <c r="J8" s="4">
        <f t="shared" si="3"/>
        <v>235000</v>
      </c>
      <c r="K8" s="4">
        <f t="shared" si="4"/>
        <v>940</v>
      </c>
      <c r="L8" s="5" t="str">
        <f t="shared" si="5"/>
        <v>No Domain</v>
      </c>
      <c r="M8" s="6">
        <f t="shared" si="6"/>
        <v>2360</v>
      </c>
      <c r="N8" s="8" t="str">
        <f t="shared" si="7"/>
        <v>NA</v>
      </c>
    </row>
    <row r="9" spans="1:14" x14ac:dyDescent="0.3">
      <c r="A9" s="14" t="s">
        <v>27</v>
      </c>
      <c r="B9" s="15" t="s">
        <v>28</v>
      </c>
      <c r="C9" s="16">
        <v>39000</v>
      </c>
      <c r="D9" s="16">
        <v>39000</v>
      </c>
      <c r="E9" s="16">
        <v>15</v>
      </c>
      <c r="F9" s="17" t="s">
        <v>29</v>
      </c>
      <c r="G9" s="18">
        <f t="shared" si="0"/>
        <v>2600</v>
      </c>
      <c r="H9" s="18">
        <f t="shared" si="1"/>
        <v>13000</v>
      </c>
      <c r="I9" s="19" t="str">
        <f t="shared" si="2"/>
        <v>neha</v>
      </c>
      <c r="J9" s="18">
        <f t="shared" si="3"/>
        <v>260000</v>
      </c>
      <c r="K9" s="18">
        <f t="shared" si="4"/>
        <v>1000</v>
      </c>
      <c r="L9" s="19" t="str">
        <f t="shared" si="5"/>
        <v>gmail.com</v>
      </c>
      <c r="M9" s="20">
        <f t="shared" si="6"/>
        <v>2610</v>
      </c>
      <c r="N9" s="21" t="str">
        <f t="shared" si="7"/>
        <v>g</v>
      </c>
    </row>
  </sheetData>
  <hyperlinks>
    <hyperlink ref="F2" r:id="rId1" display="mailto:amit@gmail.com" xr:uid="{352EE40C-C5DE-47B7-BE10-7BD4E98E2DB0}"/>
    <hyperlink ref="F3" r:id="rId2" display="mailto:priya@gmail.com" xr:uid="{26CEAA63-69CF-4053-B80C-A20C72E0BDBB}"/>
    <hyperlink ref="F5" r:id="rId3" display="mailto:sneha@gmail.com" xr:uid="{D2F89E5F-9BA6-4557-ACDF-952E11FCA0CF}"/>
    <hyperlink ref="F6" r:id="rId4" display="mailto:vikash@gmail.com" xr:uid="{98395EB3-6F8D-4526-9B29-6603480B6807}"/>
    <hyperlink ref="F7" r:id="rId5" display="mailto:riya@gmail.com" xr:uid="{56167466-F9FD-4EEE-B4A2-B0DA991369F8}"/>
    <hyperlink ref="F9" r:id="rId6" display="mailto:neha@gmail.com" xr:uid="{FE91FEE0-EF3B-41E1-84E4-EC18F84D86F3}"/>
  </hyperlinks>
  <pageMargins left="0.25" right="0.25" top="0.75" bottom="0.75" header="0.3" footer="0.3"/>
  <pageSetup orientation="landscape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FE05-F30F-445D-8203-94D2A9EECE68}">
  <dimension ref="A1:I9"/>
  <sheetViews>
    <sheetView zoomScale="170" zoomScaleNormal="170" workbookViewId="0">
      <selection activeCell="I9" sqref="G1:I9"/>
    </sheetView>
  </sheetViews>
  <sheetFormatPr defaultRowHeight="14.4" x14ac:dyDescent="0.3"/>
  <cols>
    <col min="1" max="1" width="8.6640625" customWidth="1"/>
    <col min="2" max="2" width="12" customWidth="1"/>
    <col min="3" max="3" width="6.21875" customWidth="1"/>
    <col min="4" max="4" width="6.88671875" customWidth="1"/>
    <col min="5" max="5" width="10.21875" customWidth="1"/>
    <col min="6" max="6" width="16.21875" bestFit="1" customWidth="1"/>
    <col min="7" max="7" width="23.109375" customWidth="1"/>
    <col min="8" max="8" width="12.109375" customWidth="1"/>
    <col min="9" max="9" width="15" customWidth="1"/>
  </cols>
  <sheetData>
    <row r="1" spans="1:9" x14ac:dyDescent="0.3">
      <c r="A1" s="9" t="s">
        <v>0</v>
      </c>
      <c r="B1" s="10" t="s">
        <v>1</v>
      </c>
      <c r="C1" s="30" t="s">
        <v>2</v>
      </c>
      <c r="D1" s="30" t="s">
        <v>3</v>
      </c>
      <c r="E1" s="30" t="s">
        <v>4</v>
      </c>
      <c r="F1" s="10" t="s">
        <v>5</v>
      </c>
      <c r="G1" s="31" t="s">
        <v>38</v>
      </c>
      <c r="H1" s="31" t="s">
        <v>39</v>
      </c>
      <c r="I1" s="32" t="s">
        <v>40</v>
      </c>
    </row>
    <row r="2" spans="1:9" x14ac:dyDescent="0.3">
      <c r="A2" s="7" t="s">
        <v>6</v>
      </c>
      <c r="B2" s="1" t="s">
        <v>7</v>
      </c>
      <c r="C2" s="2">
        <v>50000</v>
      </c>
      <c r="D2" s="2">
        <v>45000</v>
      </c>
      <c r="E2" s="2">
        <v>25</v>
      </c>
      <c r="F2" s="3" t="s">
        <v>8</v>
      </c>
      <c r="G2" s="5">
        <f>IFERROR(C2/E2,"Check Unites")</f>
        <v>2000</v>
      </c>
      <c r="H2" s="5" t="str">
        <f>IF(IFERROR(FIND("@",F2),0)&gt;0,"Valid","Invalid Email")</f>
        <v>Valid</v>
      </c>
      <c r="I2" s="8" t="str">
        <f>IF(IFERROR(C2/E2,0)&gt;2000,"Eligible","Not Eligible")</f>
        <v>Not Eligible</v>
      </c>
    </row>
    <row r="3" spans="1:9" x14ac:dyDescent="0.3">
      <c r="A3" s="7" t="s">
        <v>9</v>
      </c>
      <c r="B3" s="1" t="s">
        <v>10</v>
      </c>
      <c r="C3" s="2">
        <v>42000</v>
      </c>
      <c r="D3" s="2">
        <v>42000</v>
      </c>
      <c r="E3" s="16">
        <v>0</v>
      </c>
      <c r="F3" s="3" t="s">
        <v>11</v>
      </c>
      <c r="G3" s="5" t="str">
        <f t="shared" ref="G3:G9" si="0">IFERROR(C3/E3,"Check Unites")</f>
        <v>Check Unites</v>
      </c>
      <c r="H3" s="5" t="str">
        <f t="shared" ref="H3:H9" si="1">IF(IFERROR(FIND("@",F3),0)&gt;0,"Valid","Invalid Email")</f>
        <v>Valid</v>
      </c>
      <c r="I3" s="8" t="str">
        <f t="shared" ref="I3:I9" si="2">IF(IFERROR(C3/E3,0)&gt;2000,"Eligible","Not Eligible")</f>
        <v>Not Eligible</v>
      </c>
    </row>
    <row r="4" spans="1:9" x14ac:dyDescent="0.3">
      <c r="A4" s="7" t="s">
        <v>12</v>
      </c>
      <c r="B4" s="1" t="s">
        <v>13</v>
      </c>
      <c r="C4" s="2">
        <v>38000</v>
      </c>
      <c r="D4" s="28">
        <v>40000</v>
      </c>
      <c r="E4" s="2">
        <v>18</v>
      </c>
      <c r="F4" s="7" t="s">
        <v>14</v>
      </c>
      <c r="G4" s="5">
        <f t="shared" si="0"/>
        <v>2111.1111111111113</v>
      </c>
      <c r="H4" s="5" t="str">
        <f t="shared" si="1"/>
        <v>Invalid Email</v>
      </c>
      <c r="I4" s="8" t="str">
        <f t="shared" si="2"/>
        <v>Eligible</v>
      </c>
    </row>
    <row r="5" spans="1:9" x14ac:dyDescent="0.3">
      <c r="A5" s="7" t="s">
        <v>15</v>
      </c>
      <c r="B5" s="1" t="s">
        <v>16</v>
      </c>
      <c r="C5" s="2">
        <v>62000</v>
      </c>
      <c r="D5" s="2">
        <v>50000</v>
      </c>
      <c r="E5" s="29">
        <v>31</v>
      </c>
      <c r="F5" s="3" t="s">
        <v>17</v>
      </c>
      <c r="G5" s="5">
        <f t="shared" si="0"/>
        <v>2000</v>
      </c>
      <c r="H5" s="5" t="str">
        <f t="shared" si="1"/>
        <v>Valid</v>
      </c>
      <c r="I5" s="8" t="str">
        <f t="shared" si="2"/>
        <v>Not Eligible</v>
      </c>
    </row>
    <row r="6" spans="1:9" x14ac:dyDescent="0.3">
      <c r="A6" s="7" t="s">
        <v>18</v>
      </c>
      <c r="B6" s="1" t="s">
        <v>19</v>
      </c>
      <c r="C6" s="2">
        <v>0</v>
      </c>
      <c r="D6" s="2">
        <v>35000</v>
      </c>
      <c r="E6" s="2">
        <v>0</v>
      </c>
      <c r="F6" s="3" t="s">
        <v>20</v>
      </c>
      <c r="G6" s="5" t="str">
        <f t="shared" si="0"/>
        <v>Check Unites</v>
      </c>
      <c r="H6" s="5" t="str">
        <f t="shared" si="1"/>
        <v>Valid</v>
      </c>
      <c r="I6" s="8" t="str">
        <f t="shared" si="2"/>
        <v>Not Eligible</v>
      </c>
    </row>
    <row r="7" spans="1:9" x14ac:dyDescent="0.3">
      <c r="A7" s="7" t="s">
        <v>21</v>
      </c>
      <c r="B7" s="1" t="s">
        <v>22</v>
      </c>
      <c r="C7" s="2">
        <v>56000</v>
      </c>
      <c r="D7" s="2">
        <v>55000</v>
      </c>
      <c r="E7" s="2">
        <v>28</v>
      </c>
      <c r="F7" s="3" t="s">
        <v>23</v>
      </c>
      <c r="G7" s="5">
        <f t="shared" si="0"/>
        <v>2000</v>
      </c>
      <c r="H7" s="5" t="str">
        <f t="shared" si="1"/>
        <v>Valid</v>
      </c>
      <c r="I7" s="8" t="str">
        <f t="shared" si="2"/>
        <v>Not Eligible</v>
      </c>
    </row>
    <row r="8" spans="1:9" x14ac:dyDescent="0.3">
      <c r="A8" s="7" t="s">
        <v>24</v>
      </c>
      <c r="B8" s="1" t="s">
        <v>25</v>
      </c>
      <c r="C8" s="2">
        <v>47000</v>
      </c>
      <c r="D8" s="2">
        <v>50000</v>
      </c>
      <c r="E8" s="2">
        <v>20</v>
      </c>
      <c r="F8" s="1" t="s">
        <v>26</v>
      </c>
      <c r="G8" s="5">
        <f t="shared" si="0"/>
        <v>2350</v>
      </c>
      <c r="H8" s="5" t="str">
        <f t="shared" si="1"/>
        <v>Invalid Email</v>
      </c>
      <c r="I8" s="8" t="str">
        <f t="shared" si="2"/>
        <v>Eligible</v>
      </c>
    </row>
    <row r="9" spans="1:9" x14ac:dyDescent="0.3">
      <c r="A9" s="14" t="s">
        <v>27</v>
      </c>
      <c r="B9" s="15" t="s">
        <v>28</v>
      </c>
      <c r="C9" s="16">
        <v>39000</v>
      </c>
      <c r="D9" s="16">
        <v>39000</v>
      </c>
      <c r="E9" s="16">
        <v>15</v>
      </c>
      <c r="F9" s="17" t="s">
        <v>29</v>
      </c>
      <c r="G9" s="19">
        <f t="shared" si="0"/>
        <v>2600</v>
      </c>
      <c r="H9" s="19" t="str">
        <f t="shared" si="1"/>
        <v>Valid</v>
      </c>
      <c r="I9" s="21" t="str">
        <f t="shared" si="2"/>
        <v>Eligible</v>
      </c>
    </row>
  </sheetData>
  <hyperlinks>
    <hyperlink ref="F2" r:id="rId1" display="mailto:amit@gmail.com" xr:uid="{23CDB66B-AFD7-47A3-A02F-ED1594570AF8}"/>
    <hyperlink ref="F3" r:id="rId2" display="mailto:priya@gmail.com" xr:uid="{065E7B46-185E-4B9E-AAEC-33A7A0BA9579}"/>
    <hyperlink ref="F5" r:id="rId3" display="mailto:sneha@gmail.com" xr:uid="{D0510F1B-7044-4072-8E94-3746EA7839CB}"/>
    <hyperlink ref="F6" r:id="rId4" display="mailto:vikash@gmail.com" xr:uid="{3B4C6D04-C1F0-491D-973D-1DDC4B4B0B8F}"/>
    <hyperlink ref="F7" r:id="rId5" display="mailto:riya@gmail.com" xr:uid="{6A92E1A1-0016-437F-905C-A535F8972B02}"/>
    <hyperlink ref="F9" r:id="rId6" display="mailto:neha@gmail.com" xr:uid="{B8BCEECE-22BF-41C7-9B70-D9DA6D87CF71}"/>
  </hyperlinks>
  <pageMargins left="0.25" right="0.25" top="0.75" bottom="0.75" header="0.3" footer="0.3"/>
  <pageSetup orientation="portrait"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01DA-5998-450B-B29F-2822E720E447}">
  <dimension ref="A1:G6"/>
  <sheetViews>
    <sheetView zoomScale="175" zoomScaleNormal="175" workbookViewId="0">
      <selection sqref="A1:G6"/>
    </sheetView>
  </sheetViews>
  <sheetFormatPr defaultRowHeight="14.4" x14ac:dyDescent="0.3"/>
  <cols>
    <col min="1" max="1" width="9.21875" bestFit="1" customWidth="1"/>
    <col min="2" max="2" width="6.21875" bestFit="1" customWidth="1"/>
    <col min="3" max="3" width="20.6640625" style="33" customWidth="1"/>
    <col min="4" max="4" width="12.21875" customWidth="1"/>
    <col min="5" max="5" width="17.6640625" customWidth="1"/>
    <col min="6" max="6" width="16.21875" bestFit="1" customWidth="1"/>
    <col min="7" max="7" width="12.21875" bestFit="1" customWidth="1"/>
  </cols>
  <sheetData>
    <row r="1" spans="1:7" s="33" customFormat="1" ht="28.8" x14ac:dyDescent="0.3">
      <c r="A1" s="47" t="s">
        <v>41</v>
      </c>
      <c r="B1" s="48" t="s">
        <v>42</v>
      </c>
      <c r="C1" s="49" t="s">
        <v>45</v>
      </c>
      <c r="D1" s="49" t="s">
        <v>46</v>
      </c>
      <c r="E1" s="49" t="s">
        <v>49</v>
      </c>
      <c r="F1" s="49" t="s">
        <v>47</v>
      </c>
      <c r="G1" s="50" t="s">
        <v>48</v>
      </c>
    </row>
    <row r="2" spans="1:7" x14ac:dyDescent="0.3">
      <c r="A2" s="38" t="s">
        <v>7</v>
      </c>
      <c r="B2" s="1" t="s">
        <v>43</v>
      </c>
      <c r="C2" s="34" t="str">
        <f>_xlfn.IFNA(B2,"Not Rated")</f>
        <v>A</v>
      </c>
      <c r="D2" s="5" t="str">
        <f>_xlfn.IFNA(B2,0)</f>
        <v>A</v>
      </c>
      <c r="E2" s="5" t="str">
        <f>_xlfn.IFNA(B2,"Review Panding")</f>
        <v>A</v>
      </c>
      <c r="F2" s="5" t="str">
        <f>_xlfn.IFNA(B2,"Missing Data")</f>
        <v>A</v>
      </c>
      <c r="G2" s="39" t="str">
        <f>IF(_xlfn.IFNA(B2,0)=0,"Needs Review","Completed")</f>
        <v>Completed</v>
      </c>
    </row>
    <row r="3" spans="1:7" x14ac:dyDescent="0.3">
      <c r="A3" s="38" t="s">
        <v>10</v>
      </c>
      <c r="B3" s="1" t="s">
        <v>44</v>
      </c>
      <c r="C3" s="34" t="str">
        <f t="shared" ref="C3:C6" si="0">_xlfn.IFNA(B3,"Not Rated")</f>
        <v>B</v>
      </c>
      <c r="D3" s="5" t="str">
        <f t="shared" ref="D3:D6" si="1">_xlfn.IFNA(B3,0)</f>
        <v>B</v>
      </c>
      <c r="E3" s="5" t="str">
        <f t="shared" ref="E3:E6" si="2">_xlfn.IFNA(B3,"Review Panding")</f>
        <v>B</v>
      </c>
      <c r="F3" s="5" t="str">
        <f t="shared" ref="F3:F6" si="3">_xlfn.IFNA(B3,"Missing Data")</f>
        <v>B</v>
      </c>
      <c r="G3" s="39" t="str">
        <f t="shared" ref="G3:G6" si="4">IF(_xlfn.IFNA(B3,0)=0,"Needs Review","Completed")</f>
        <v>Completed</v>
      </c>
    </row>
    <row r="4" spans="1:7" x14ac:dyDescent="0.3">
      <c r="A4" s="40" t="s">
        <v>13</v>
      </c>
      <c r="B4" s="35" t="e">
        <v>#N/A</v>
      </c>
      <c r="C4" s="36" t="str">
        <f t="shared" si="0"/>
        <v>Not Rated</v>
      </c>
      <c r="D4" s="37">
        <f t="shared" si="1"/>
        <v>0</v>
      </c>
      <c r="E4" s="37" t="str">
        <f t="shared" si="2"/>
        <v>Review Panding</v>
      </c>
      <c r="F4" s="37" t="str">
        <f t="shared" si="3"/>
        <v>Missing Data</v>
      </c>
      <c r="G4" s="41" t="str">
        <f t="shared" si="4"/>
        <v>Needs Review</v>
      </c>
    </row>
    <row r="5" spans="1:7" x14ac:dyDescent="0.3">
      <c r="A5" s="38" t="s">
        <v>16</v>
      </c>
      <c r="B5" s="1" t="s">
        <v>43</v>
      </c>
      <c r="C5" s="34" t="str">
        <f t="shared" si="0"/>
        <v>A</v>
      </c>
      <c r="D5" s="5" t="str">
        <f t="shared" si="1"/>
        <v>A</v>
      </c>
      <c r="E5" s="5" t="str">
        <f t="shared" si="2"/>
        <v>A</v>
      </c>
      <c r="F5" s="5" t="str">
        <f t="shared" si="3"/>
        <v>A</v>
      </c>
      <c r="G5" s="39" t="str">
        <f t="shared" si="4"/>
        <v>Completed</v>
      </c>
    </row>
    <row r="6" spans="1:7" ht="15" thickBot="1" x14ac:dyDescent="0.35">
      <c r="A6" s="42" t="s">
        <v>19</v>
      </c>
      <c r="B6" s="43" t="e">
        <v>#N/A</v>
      </c>
      <c r="C6" s="44" t="str">
        <f t="shared" si="0"/>
        <v>Not Rated</v>
      </c>
      <c r="D6" s="45">
        <f t="shared" si="1"/>
        <v>0</v>
      </c>
      <c r="E6" s="45" t="str">
        <f t="shared" si="2"/>
        <v>Review Panding</v>
      </c>
      <c r="F6" s="45" t="str">
        <f t="shared" si="3"/>
        <v>Missing Data</v>
      </c>
      <c r="G6" s="46" t="str">
        <f t="shared" si="4"/>
        <v>Needs Review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sales_department_dataset</vt:lpstr>
      <vt:lpstr>IFERROR</vt:lpstr>
      <vt:lpstr>mini_challenge</vt:lpstr>
      <vt:lpstr>IFNA</vt:lpstr>
      <vt:lpstr>IFERROR!Print_Area</vt:lpstr>
      <vt:lpstr>IFNA!Print_Area</vt:lpstr>
      <vt:lpstr>mini_challenge!Print_Area</vt:lpstr>
      <vt:lpstr>sales_department_dataset!Print_Area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2026-07-17T05:50:11Z</cp:lastPrinted>
  <dcterms:created xsi:type="dcterms:W3CDTF">2026-07-15T18:35:41Z</dcterms:created>
  <dcterms:modified xsi:type="dcterms:W3CDTF">2026-07-17T05:52:46Z</dcterms:modified>
</cp:coreProperties>
</file>