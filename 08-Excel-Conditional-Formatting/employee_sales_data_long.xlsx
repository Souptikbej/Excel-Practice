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4073E788-0688-4BFF-A19F-06936D4A99DD}" xr6:coauthVersionLast="47" xr6:coauthVersionMax="47" xr10:uidLastSave="{00000000-0000-0000-0000-000000000000}"/>
  <bookViews>
    <workbookView xWindow="28680" yWindow="-120" windowWidth="29040" windowHeight="16440" activeTab="3" xr2:uid="{2222DA45-7359-406F-B7C6-F117E39DC6F5}"/>
  </bookViews>
  <sheets>
    <sheet name="RAW-DATA" sheetId="1" r:id="rId1"/>
    <sheet name="SORT" sheetId="3" r:id="rId2"/>
    <sheet name="FILTER" sheetId="4" r:id="rId3"/>
    <sheet name="Conditional_Formatting" sheetId="5" r:id="rId4"/>
  </sheets>
  <definedNames>
    <definedName name="_xlnm._FilterDatabase" localSheetId="2" hidden="1">FILTER!$A$1:$K$11</definedName>
    <definedName name="_xlnm.Print_Area" localSheetId="3">Conditional_Formatting!$A$1:$L$59</definedName>
    <definedName name="_xlnm.Print_Area" localSheetId="2">FILTER!$A$1:$K$44</definedName>
    <definedName name="_xlnm.Print_Area" localSheetId="1">SORT!$A$1:$K$64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4" i="4" l="1" a="1"/>
  <c r="A44" i="4" s="1"/>
  <c r="A27" i="4" a="1"/>
  <c r="A27" i="4" s="1"/>
  <c r="A31" i="4" a="1"/>
  <c r="A31" i="4" s="1"/>
  <c r="A14" i="4" a="1"/>
  <c r="A14" i="4" s="1"/>
  <c r="A20" i="4" a="1"/>
  <c r="A20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<sst xmlns="http://schemas.openxmlformats.org/spreadsheetml/2006/main" count="899" uniqueCount="135">
  <si>
    <t>Emp_ID</t>
  </si>
  <si>
    <t>Employee_Name</t>
  </si>
  <si>
    <t>Department</t>
  </si>
  <si>
    <t>City</t>
  </si>
  <si>
    <t>Experience_Years</t>
  </si>
  <si>
    <t>Salary</t>
  </si>
  <si>
    <t>Performance_Rating</t>
  </si>
  <si>
    <t>Sales</t>
  </si>
  <si>
    <t>Target</t>
  </si>
  <si>
    <t>Joining_Date</t>
  </si>
  <si>
    <t>Status</t>
  </si>
  <si>
    <t>E001</t>
  </si>
  <si>
    <t>Amit</t>
  </si>
  <si>
    <t>Kolkata</t>
  </si>
  <si>
    <t>Active</t>
  </si>
  <si>
    <t>E002</t>
  </si>
  <si>
    <t>Priya</t>
  </si>
  <si>
    <t>HR</t>
  </si>
  <si>
    <t>Delhi</t>
  </si>
  <si>
    <t>E003</t>
  </si>
  <si>
    <t>Rahul</t>
  </si>
  <si>
    <t>Finance</t>
  </si>
  <si>
    <t>Mumbai</t>
  </si>
  <si>
    <t>E004</t>
  </si>
  <si>
    <t>Sneha</t>
  </si>
  <si>
    <t>Bangalore</t>
  </si>
  <si>
    <t>E005</t>
  </si>
  <si>
    <t>Rohit</t>
  </si>
  <si>
    <t>IT</t>
  </si>
  <si>
    <t>Hyderabad</t>
  </si>
  <si>
    <t>Inactive</t>
  </si>
  <si>
    <t>E006</t>
  </si>
  <si>
    <t>Ananya</t>
  </si>
  <si>
    <t>Marketing</t>
  </si>
  <si>
    <t>Pune</t>
  </si>
  <si>
    <t>E007</t>
  </si>
  <si>
    <t>Arjun</t>
  </si>
  <si>
    <t>Chennai</t>
  </si>
  <si>
    <t>E008</t>
  </si>
  <si>
    <t>Neha</t>
  </si>
  <si>
    <t>E009</t>
  </si>
  <si>
    <t>Karan</t>
  </si>
  <si>
    <t>E010</t>
  </si>
  <si>
    <t>Meera</t>
  </si>
  <si>
    <t>E011</t>
  </si>
  <si>
    <t>Vikram</t>
  </si>
  <si>
    <t>E012</t>
  </si>
  <si>
    <t>Pooja</t>
  </si>
  <si>
    <t>E013</t>
  </si>
  <si>
    <t>Sumit</t>
  </si>
  <si>
    <t>E014</t>
  </si>
  <si>
    <t>Riya</t>
  </si>
  <si>
    <t>E015</t>
  </si>
  <si>
    <t>Deepak</t>
  </si>
  <si>
    <t>E016</t>
  </si>
  <si>
    <t>Nikita</t>
  </si>
  <si>
    <t>E017</t>
  </si>
  <si>
    <t>Abhishek</t>
  </si>
  <si>
    <t>E018</t>
  </si>
  <si>
    <t>Shreya</t>
  </si>
  <si>
    <t>E019</t>
  </si>
  <si>
    <t>Sachin</t>
  </si>
  <si>
    <t>E020</t>
  </si>
  <si>
    <t>Kriti</t>
  </si>
  <si>
    <t>E021</t>
  </si>
  <si>
    <t>Ankit</t>
  </si>
  <si>
    <t>E022</t>
  </si>
  <si>
    <t>Divya</t>
  </si>
  <si>
    <t>E023</t>
  </si>
  <si>
    <t>Harsh</t>
  </si>
  <si>
    <t>E024</t>
  </si>
  <si>
    <t>Simran</t>
  </si>
  <si>
    <t>E025</t>
  </si>
  <si>
    <t>Yash</t>
  </si>
  <si>
    <t>E026</t>
  </si>
  <si>
    <t>Isha</t>
  </si>
  <si>
    <t>E027</t>
  </si>
  <si>
    <t>Akash</t>
  </si>
  <si>
    <t>E028</t>
  </si>
  <si>
    <t>Tanvi</t>
  </si>
  <si>
    <t>E029</t>
  </si>
  <si>
    <t>Manish</t>
  </si>
  <si>
    <t>E030</t>
  </si>
  <si>
    <t>Aditi</t>
  </si>
  <si>
    <t>E031</t>
  </si>
  <si>
    <t>Naveen</t>
  </si>
  <si>
    <t>E032</t>
  </si>
  <si>
    <t>Komal</t>
  </si>
  <si>
    <t>E033</t>
  </si>
  <si>
    <t>Saurabh</t>
  </si>
  <si>
    <t>E034</t>
  </si>
  <si>
    <t>Payal</t>
  </si>
  <si>
    <t>E035</t>
  </si>
  <si>
    <t>Ramesh</t>
  </si>
  <si>
    <t>E036</t>
  </si>
  <si>
    <t>Nisha</t>
  </si>
  <si>
    <t>E037</t>
  </si>
  <si>
    <t>Ajay</t>
  </si>
  <si>
    <t>E038</t>
  </si>
  <si>
    <t>Kavya</t>
  </si>
  <si>
    <t>E039</t>
  </si>
  <si>
    <t>Varun</t>
  </si>
  <si>
    <t>E040</t>
  </si>
  <si>
    <t>Monika</t>
  </si>
  <si>
    <t>E041</t>
  </si>
  <si>
    <t>Shivam</t>
  </si>
  <si>
    <t>E042</t>
  </si>
  <si>
    <t>Reena</t>
  </si>
  <si>
    <t>E043</t>
  </si>
  <si>
    <t>Gaurav</t>
  </si>
  <si>
    <t>E044</t>
  </si>
  <si>
    <t>Sonal</t>
  </si>
  <si>
    <t>E045</t>
  </si>
  <si>
    <t>Aman</t>
  </si>
  <si>
    <t>E046</t>
  </si>
  <si>
    <t>Ritu</t>
  </si>
  <si>
    <t>E047</t>
  </si>
  <si>
    <t>Nitin</t>
  </si>
  <si>
    <t>E048</t>
  </si>
  <si>
    <t>Swati</t>
  </si>
  <si>
    <t>E049</t>
  </si>
  <si>
    <t>Mohit</t>
  </si>
  <si>
    <t>E050</t>
  </si>
  <si>
    <t>Anjali</t>
  </si>
  <si>
    <t>Problem 1:- Sort the employees by Salary (Highest to Lowest).</t>
  </si>
  <si>
    <t>Problem 2 :- Sort employees by Joining Date (Oldest to Newest).</t>
  </si>
  <si>
    <t>Problem 3 :- Sort employees first by Department (A-Z) and then by Employee Name (A-Z).</t>
  </si>
  <si>
    <t>Problem 4 :- Sort employees by: Performance Rating (Highest to Lowest), Salary (Highest to Lowest)</t>
  </si>
  <si>
    <t>Problem 5 :- Create a custom sort using: Status (Active first), Department (A-Z), Experience (Highest first)</t>
  </si>
  <si>
    <t>Problem 1 :- Show only employees from the Sales department.</t>
  </si>
  <si>
    <t>Problem 2 :- Display employees whose salary is greater than ₹70,000.</t>
  </si>
  <si>
    <t>Problem 3:- Find employees who satisfy all conditions: Department = Sales, Performance Rating = 5, Status = Active</t>
  </si>
  <si>
    <t>Problem 4 :- Filter employees who joined after 1-Jan-2022.</t>
  </si>
  <si>
    <t>Problem 5 :- Show employees who: Experience &gt; 5 years, Salary &gt; ₹60,000, City = Bangalore</t>
  </si>
  <si>
    <t>Select the range you want to highlight, for example: A2:K51
Go to:
Home → Conditional Formatting → New Rule → Use a formula to determine which cells to format
Enter the formula:=$F2&gt;80000
Then click Format, choose a fill color, and click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</si>
</sst>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1" applyFont="1" applyAlignment="1">
      <alignment horizontal="center" vertical="center"/>
    </xf>
    <xf numFmtId="0" fontId="3" fillId="2" borderId="10" xfId="1" applyFont="1" applyBorder="1" applyAlignment="1">
      <alignment horizontal="center"/>
    </xf>
    <xf numFmtId="0" fontId="3" fillId="2" borderId="11" xfId="1" applyFont="1" applyBorder="1" applyAlignment="1">
      <alignment horizontal="center"/>
    </xf>
    <xf numFmtId="0" fontId="3" fillId="2" borderId="12" xfId="1" applyFont="1" applyBorder="1" applyAlignment="1">
      <alignment horizontal="center"/>
    </xf>
    <xf numFmtId="0" fontId="3" fillId="2" borderId="10" xfId="1" applyFont="1" applyBorder="1" applyAlignment="1">
      <alignment horizontal="center" vertical="center"/>
    </xf>
    <xf numFmtId="0" fontId="3" fillId="2" borderId="11" xfId="1" applyFont="1" applyBorder="1" applyAlignment="1">
      <alignment horizontal="center" vertical="center"/>
    </xf>
    <xf numFmtId="0" fontId="3" fillId="2" borderId="1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/>
    <xf numFmtId="0" fontId="3" fillId="2" borderId="1" xfId="1" applyFont="1" applyBorder="1" applyAlignment="1">
      <alignment horizontal="center"/>
    </xf>
    <xf numFmtId="0" fontId="3" fillId="2" borderId="1" xfId="1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Bad" xfId="1" builtinId="27"/>
    <cellStyle name="Normal" xfId="0" builtinId="0"/>
  </cellStyles>
  <dxfs count="18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1012-1483-492D-9629-8C3CCB36C958}">
  <dimension ref="A1:K51"/>
  <sheetViews>
    <sheetView workbookViewId="0">
      <selection activeCell="G20" sqref="A1:K51"/>
    </sheetView>
  </sheetViews>
  <sheetFormatPr defaultRowHeight="14.4" x14ac:dyDescent="0.3"/>
  <cols>
    <col min="1" max="1" width="5" bestFit="1" customWidth="1"/>
    <col min="2" max="2" width="10" bestFit="1" customWidth="1"/>
    <col min="3" max="3" width="11.5546875" bestFit="1" customWidth="1"/>
    <col min="4" max="4" width="10.21875" customWidth="1"/>
    <col min="5" max="5" width="11" customWidth="1"/>
    <col min="6" max="6" width="6.77734375" customWidth="1"/>
    <col min="7" max="7" width="11.6640625" customWidth="1"/>
    <col min="8" max="9" width="7" bestFit="1" customWidth="1"/>
    <col min="10" max="10" width="12.6640625" bestFit="1" customWidth="1"/>
    <col min="11" max="11" width="7.6640625" bestFit="1" customWidth="1"/>
  </cols>
  <sheetData>
    <row r="1" spans="1:11" s="12" customFormat="1" ht="29.4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</row>
    <row r="2" spans="1:11" x14ac:dyDescent="0.3">
      <c r="A2" s="3" t="s">
        <v>11</v>
      </c>
      <c r="B2" s="1" t="s">
        <v>12</v>
      </c>
      <c r="C2" s="1" t="s">
        <v>7</v>
      </c>
      <c r="D2" s="1" t="s">
        <v>13</v>
      </c>
      <c r="E2" s="1">
        <v>2</v>
      </c>
      <c r="F2" s="1">
        <v>32000</v>
      </c>
      <c r="G2" s="1">
        <v>4</v>
      </c>
      <c r="H2" s="1">
        <v>85000</v>
      </c>
      <c r="I2" s="1">
        <v>80000</v>
      </c>
      <c r="J2" s="2">
        <v>44941</v>
      </c>
      <c r="K2" s="4" t="s">
        <v>14</v>
      </c>
    </row>
    <row r="3" spans="1:11" x14ac:dyDescent="0.3">
      <c r="A3" s="3" t="s">
        <v>15</v>
      </c>
      <c r="B3" s="1" t="s">
        <v>16</v>
      </c>
      <c r="C3" s="1" t="s">
        <v>17</v>
      </c>
      <c r="D3" s="1" t="s">
        <v>18</v>
      </c>
      <c r="E3" s="1">
        <v>5</v>
      </c>
      <c r="F3" s="1">
        <v>48000</v>
      </c>
      <c r="G3" s="1">
        <v>5</v>
      </c>
      <c r="H3" s="1">
        <v>0</v>
      </c>
      <c r="I3" s="1">
        <v>0</v>
      </c>
      <c r="J3" s="2">
        <v>44022</v>
      </c>
      <c r="K3" s="4" t="s">
        <v>14</v>
      </c>
    </row>
    <row r="4" spans="1:11" x14ac:dyDescent="0.3">
      <c r="A4" s="3" t="s">
        <v>19</v>
      </c>
      <c r="B4" s="1" t="s">
        <v>20</v>
      </c>
      <c r="C4" s="1" t="s">
        <v>21</v>
      </c>
      <c r="D4" s="1" t="s">
        <v>22</v>
      </c>
      <c r="E4" s="1">
        <v>4</v>
      </c>
      <c r="F4" s="1">
        <v>55000</v>
      </c>
      <c r="G4" s="1">
        <v>3</v>
      </c>
      <c r="H4" s="1">
        <v>0</v>
      </c>
      <c r="I4" s="1">
        <v>0</v>
      </c>
      <c r="J4" s="2">
        <v>44245</v>
      </c>
      <c r="K4" s="4" t="s">
        <v>14</v>
      </c>
    </row>
    <row r="5" spans="1:11" x14ac:dyDescent="0.3">
      <c r="A5" s="3" t="s">
        <v>23</v>
      </c>
      <c r="B5" s="1" t="s">
        <v>24</v>
      </c>
      <c r="C5" s="1" t="s">
        <v>7</v>
      </c>
      <c r="D5" s="1" t="s">
        <v>25</v>
      </c>
      <c r="E5" s="1">
        <v>6</v>
      </c>
      <c r="F5" s="1">
        <v>72000</v>
      </c>
      <c r="G5" s="1">
        <v>5</v>
      </c>
      <c r="H5" s="1">
        <v>150000</v>
      </c>
      <c r="I5" s="1">
        <v>140000</v>
      </c>
      <c r="J5" s="2">
        <v>43713</v>
      </c>
      <c r="K5" s="4" t="s">
        <v>14</v>
      </c>
    </row>
    <row r="6" spans="1:11" x14ac:dyDescent="0.3">
      <c r="A6" s="3" t="s">
        <v>26</v>
      </c>
      <c r="B6" s="1" t="s">
        <v>27</v>
      </c>
      <c r="C6" s="1" t="s">
        <v>28</v>
      </c>
      <c r="D6" s="1" t="s">
        <v>29</v>
      </c>
      <c r="E6" s="1">
        <v>3</v>
      </c>
      <c r="F6" s="1">
        <v>50000</v>
      </c>
      <c r="G6" s="1">
        <v>4</v>
      </c>
      <c r="H6" s="1">
        <v>0</v>
      </c>
      <c r="I6" s="1">
        <v>0</v>
      </c>
      <c r="J6" s="2">
        <v>44701</v>
      </c>
      <c r="K6" s="4" t="s">
        <v>30</v>
      </c>
    </row>
    <row r="7" spans="1:11" x14ac:dyDescent="0.3">
      <c r="A7" s="3" t="s">
        <v>31</v>
      </c>
      <c r="B7" s="1" t="s">
        <v>32</v>
      </c>
      <c r="C7" s="1" t="s">
        <v>33</v>
      </c>
      <c r="D7" s="1" t="s">
        <v>34</v>
      </c>
      <c r="E7" s="1">
        <v>7</v>
      </c>
      <c r="F7" s="1">
        <v>68000</v>
      </c>
      <c r="G7" s="1">
        <v>5</v>
      </c>
      <c r="H7" s="1">
        <v>125000</v>
      </c>
      <c r="I7" s="1">
        <v>120000</v>
      </c>
      <c r="J7" s="2">
        <v>43201</v>
      </c>
      <c r="K7" s="4" t="s">
        <v>14</v>
      </c>
    </row>
    <row r="8" spans="1:11" x14ac:dyDescent="0.3">
      <c r="A8" s="3" t="s">
        <v>35</v>
      </c>
      <c r="B8" s="1" t="s">
        <v>36</v>
      </c>
      <c r="C8" s="1" t="s">
        <v>7</v>
      </c>
      <c r="D8" s="1" t="s">
        <v>37</v>
      </c>
      <c r="E8" s="1">
        <v>2</v>
      </c>
      <c r="F8" s="1">
        <v>34000</v>
      </c>
      <c r="G8" s="1">
        <v>2</v>
      </c>
      <c r="H8" s="1">
        <v>62000</v>
      </c>
      <c r="I8" s="1">
        <v>70000</v>
      </c>
      <c r="J8" s="2">
        <v>45299</v>
      </c>
      <c r="K8" s="4" t="s">
        <v>14</v>
      </c>
    </row>
    <row r="9" spans="1:11" x14ac:dyDescent="0.3">
      <c r="A9" s="3" t="s">
        <v>38</v>
      </c>
      <c r="B9" s="1" t="s">
        <v>39</v>
      </c>
      <c r="C9" s="1" t="s">
        <v>21</v>
      </c>
      <c r="D9" s="1" t="s">
        <v>13</v>
      </c>
      <c r="E9" s="1">
        <v>8</v>
      </c>
      <c r="F9" s="1">
        <v>80000</v>
      </c>
      <c r="G9" s="1">
        <v>5</v>
      </c>
      <c r="H9" s="1">
        <v>0</v>
      </c>
      <c r="I9" s="1">
        <v>0</v>
      </c>
      <c r="J9" s="2">
        <v>43058</v>
      </c>
      <c r="K9" s="4" t="s">
        <v>14</v>
      </c>
    </row>
    <row r="10" spans="1:11" x14ac:dyDescent="0.3">
      <c r="A10" s="3" t="s">
        <v>40</v>
      </c>
      <c r="B10" s="1" t="s">
        <v>41</v>
      </c>
      <c r="C10" s="1" t="s">
        <v>28</v>
      </c>
      <c r="D10" s="1" t="s">
        <v>18</v>
      </c>
      <c r="E10" s="1">
        <v>1</v>
      </c>
      <c r="F10" s="1">
        <v>28000</v>
      </c>
      <c r="G10" s="1">
        <v>3</v>
      </c>
      <c r="H10" s="1">
        <v>0</v>
      </c>
      <c r="I10" s="1">
        <v>0</v>
      </c>
      <c r="J10" s="2">
        <v>45702</v>
      </c>
      <c r="K10" s="4" t="s">
        <v>14</v>
      </c>
    </row>
    <row r="11" spans="1:11" x14ac:dyDescent="0.3">
      <c r="A11" s="3" t="s">
        <v>42</v>
      </c>
      <c r="B11" s="1" t="s">
        <v>43</v>
      </c>
      <c r="C11" s="1" t="s">
        <v>7</v>
      </c>
      <c r="D11" s="1" t="s">
        <v>22</v>
      </c>
      <c r="E11" s="1">
        <v>9</v>
      </c>
      <c r="F11" s="1">
        <v>90000</v>
      </c>
      <c r="G11" s="1">
        <v>5</v>
      </c>
      <c r="H11" s="1">
        <v>180000</v>
      </c>
      <c r="I11" s="1">
        <v>170000</v>
      </c>
      <c r="J11" s="2">
        <v>42459</v>
      </c>
      <c r="K11" s="4" t="s">
        <v>14</v>
      </c>
    </row>
    <row r="12" spans="1:11" x14ac:dyDescent="0.3">
      <c r="A12" s="3" t="s">
        <v>44</v>
      </c>
      <c r="B12" s="1" t="s">
        <v>45</v>
      </c>
      <c r="C12" s="1" t="s">
        <v>17</v>
      </c>
      <c r="D12" s="1" t="s">
        <v>34</v>
      </c>
      <c r="E12" s="1">
        <v>4</v>
      </c>
      <c r="F12" s="1">
        <v>46000</v>
      </c>
      <c r="G12" s="1">
        <v>4</v>
      </c>
      <c r="H12" s="1">
        <v>0</v>
      </c>
      <c r="I12" s="1">
        <v>0</v>
      </c>
      <c r="J12" s="2">
        <v>44362</v>
      </c>
      <c r="K12" s="4" t="s">
        <v>30</v>
      </c>
    </row>
    <row r="13" spans="1:11" x14ac:dyDescent="0.3">
      <c r="A13" s="3" t="s">
        <v>46</v>
      </c>
      <c r="B13" s="1" t="s">
        <v>47</v>
      </c>
      <c r="C13" s="1" t="s">
        <v>33</v>
      </c>
      <c r="D13" s="1" t="s">
        <v>18</v>
      </c>
      <c r="E13" s="1">
        <v>3</v>
      </c>
      <c r="F13" s="1">
        <v>43000</v>
      </c>
      <c r="G13" s="1">
        <v>3</v>
      </c>
      <c r="H13" s="1">
        <v>98000</v>
      </c>
      <c r="I13" s="1">
        <v>100000</v>
      </c>
      <c r="J13" s="2">
        <v>44844</v>
      </c>
      <c r="K13" s="4" t="s">
        <v>14</v>
      </c>
    </row>
    <row r="14" spans="1:11" x14ac:dyDescent="0.3">
      <c r="A14" s="3" t="s">
        <v>48</v>
      </c>
      <c r="B14" s="1" t="s">
        <v>49</v>
      </c>
      <c r="C14" s="1" t="s">
        <v>7</v>
      </c>
      <c r="D14" s="1" t="s">
        <v>13</v>
      </c>
      <c r="E14" s="1">
        <v>5</v>
      </c>
      <c r="F14" s="1">
        <v>60000</v>
      </c>
      <c r="G14" s="1">
        <v>5</v>
      </c>
      <c r="H14" s="1">
        <v>132000</v>
      </c>
      <c r="I14" s="1">
        <v>120000</v>
      </c>
      <c r="J14" s="2">
        <v>44060</v>
      </c>
      <c r="K14" s="4" t="s">
        <v>14</v>
      </c>
    </row>
    <row r="15" spans="1:11" x14ac:dyDescent="0.3">
      <c r="A15" s="3" t="s">
        <v>50</v>
      </c>
      <c r="B15" s="1" t="s">
        <v>51</v>
      </c>
      <c r="C15" s="1" t="s">
        <v>28</v>
      </c>
      <c r="D15" s="1" t="s">
        <v>25</v>
      </c>
      <c r="E15" s="1">
        <v>6</v>
      </c>
      <c r="F15" s="1">
        <v>70000</v>
      </c>
      <c r="G15" s="1">
        <v>4</v>
      </c>
      <c r="H15" s="1">
        <v>0</v>
      </c>
      <c r="I15" s="1">
        <v>0</v>
      </c>
      <c r="J15" s="2">
        <v>43800</v>
      </c>
      <c r="K15" s="4" t="s">
        <v>14</v>
      </c>
    </row>
    <row r="16" spans="1:11" x14ac:dyDescent="0.3">
      <c r="A16" s="3" t="s">
        <v>52</v>
      </c>
      <c r="B16" s="1" t="s">
        <v>53</v>
      </c>
      <c r="C16" s="1" t="s">
        <v>21</v>
      </c>
      <c r="D16" s="1" t="s">
        <v>29</v>
      </c>
      <c r="E16" s="1">
        <v>10</v>
      </c>
      <c r="F16" s="1">
        <v>95000</v>
      </c>
      <c r="G16" s="1">
        <v>5</v>
      </c>
      <c r="H16" s="1">
        <v>0</v>
      </c>
      <c r="I16" s="1">
        <v>0</v>
      </c>
      <c r="J16" s="2">
        <v>42272</v>
      </c>
      <c r="K16" s="4" t="s">
        <v>14</v>
      </c>
    </row>
    <row r="17" spans="1:11" x14ac:dyDescent="0.3">
      <c r="A17" s="3" t="s">
        <v>54</v>
      </c>
      <c r="B17" s="1" t="s">
        <v>55</v>
      </c>
      <c r="C17" s="1" t="s">
        <v>7</v>
      </c>
      <c r="D17" s="1" t="s">
        <v>34</v>
      </c>
      <c r="E17" s="1">
        <v>1</v>
      </c>
      <c r="F17" s="1">
        <v>30000</v>
      </c>
      <c r="G17" s="1">
        <v>2</v>
      </c>
      <c r="H17" s="1">
        <v>50000</v>
      </c>
      <c r="I17" s="1">
        <v>65000</v>
      </c>
      <c r="J17" s="2">
        <v>45748</v>
      </c>
      <c r="K17" s="4" t="s">
        <v>14</v>
      </c>
    </row>
    <row r="18" spans="1:11" x14ac:dyDescent="0.3">
      <c r="A18" s="3" t="s">
        <v>56</v>
      </c>
      <c r="B18" s="1" t="s">
        <v>57</v>
      </c>
      <c r="C18" s="1" t="s">
        <v>33</v>
      </c>
      <c r="D18" s="1" t="s">
        <v>18</v>
      </c>
      <c r="E18" s="1">
        <v>5</v>
      </c>
      <c r="F18" s="1">
        <v>58000</v>
      </c>
      <c r="G18" s="1">
        <v>4</v>
      </c>
      <c r="H18" s="1">
        <v>118000</v>
      </c>
      <c r="I18" s="1">
        <v>115000</v>
      </c>
      <c r="J18" s="2">
        <v>43866</v>
      </c>
      <c r="K18" s="4" t="s">
        <v>14</v>
      </c>
    </row>
    <row r="19" spans="1:11" x14ac:dyDescent="0.3">
      <c r="A19" s="3" t="s">
        <v>58</v>
      </c>
      <c r="B19" s="1" t="s">
        <v>59</v>
      </c>
      <c r="C19" s="1" t="s">
        <v>17</v>
      </c>
      <c r="D19" s="1" t="s">
        <v>37</v>
      </c>
      <c r="E19" s="1">
        <v>7</v>
      </c>
      <c r="F19" s="1">
        <v>67000</v>
      </c>
      <c r="G19" s="1">
        <v>5</v>
      </c>
      <c r="H19" s="1">
        <v>0</v>
      </c>
      <c r="I19" s="1">
        <v>0</v>
      </c>
      <c r="J19" s="2">
        <v>43320</v>
      </c>
      <c r="K19" s="4" t="s">
        <v>14</v>
      </c>
    </row>
    <row r="20" spans="1:11" x14ac:dyDescent="0.3">
      <c r="A20" s="3" t="s">
        <v>60</v>
      </c>
      <c r="B20" s="1" t="s">
        <v>61</v>
      </c>
      <c r="C20" s="1" t="s">
        <v>7</v>
      </c>
      <c r="D20" s="1" t="s">
        <v>22</v>
      </c>
      <c r="E20" s="1">
        <v>8</v>
      </c>
      <c r="F20" s="1">
        <v>82000</v>
      </c>
      <c r="G20" s="1">
        <v>5</v>
      </c>
      <c r="H20" s="1">
        <v>162000</v>
      </c>
      <c r="I20" s="1">
        <v>155000</v>
      </c>
      <c r="J20" s="2">
        <v>42930</v>
      </c>
      <c r="K20" s="4" t="s">
        <v>14</v>
      </c>
    </row>
    <row r="21" spans="1:11" x14ac:dyDescent="0.3">
      <c r="A21" s="3" t="s">
        <v>62</v>
      </c>
      <c r="B21" s="1" t="s">
        <v>63</v>
      </c>
      <c r="C21" s="1" t="s">
        <v>28</v>
      </c>
      <c r="D21" s="1" t="s">
        <v>13</v>
      </c>
      <c r="E21" s="1">
        <v>2</v>
      </c>
      <c r="F21" s="1">
        <v>36000</v>
      </c>
      <c r="G21" s="1">
        <v>3</v>
      </c>
      <c r="H21" s="1">
        <v>0</v>
      </c>
      <c r="I21" s="1">
        <v>0</v>
      </c>
      <c r="J21" s="2">
        <v>45178</v>
      </c>
      <c r="K21" s="4" t="s">
        <v>14</v>
      </c>
    </row>
    <row r="22" spans="1:11" x14ac:dyDescent="0.3">
      <c r="A22" s="3" t="s">
        <v>64</v>
      </c>
      <c r="B22" s="1" t="s">
        <v>65</v>
      </c>
      <c r="C22" s="1" t="s">
        <v>21</v>
      </c>
      <c r="D22" s="1" t="s">
        <v>34</v>
      </c>
      <c r="E22" s="1">
        <v>4</v>
      </c>
      <c r="F22" s="1">
        <v>56000</v>
      </c>
      <c r="G22" s="1">
        <v>4</v>
      </c>
      <c r="H22" s="1">
        <v>0</v>
      </c>
      <c r="I22" s="1">
        <v>0</v>
      </c>
      <c r="J22" s="2">
        <v>44218</v>
      </c>
      <c r="K22" s="4" t="s">
        <v>14</v>
      </c>
    </row>
    <row r="23" spans="1:11" x14ac:dyDescent="0.3">
      <c r="A23" s="3" t="s">
        <v>66</v>
      </c>
      <c r="B23" s="1" t="s">
        <v>67</v>
      </c>
      <c r="C23" s="1" t="s">
        <v>7</v>
      </c>
      <c r="D23" s="1" t="s">
        <v>25</v>
      </c>
      <c r="E23" s="1">
        <v>6</v>
      </c>
      <c r="F23" s="1">
        <v>76000</v>
      </c>
      <c r="G23" s="1">
        <v>5</v>
      </c>
      <c r="H23" s="1">
        <v>148000</v>
      </c>
      <c r="I23" s="1">
        <v>145000</v>
      </c>
      <c r="J23" s="2">
        <v>43756</v>
      </c>
      <c r="K23" s="4" t="s">
        <v>14</v>
      </c>
    </row>
    <row r="24" spans="1:11" x14ac:dyDescent="0.3">
      <c r="A24" s="3" t="s">
        <v>68</v>
      </c>
      <c r="B24" s="1" t="s">
        <v>69</v>
      </c>
      <c r="C24" s="1" t="s">
        <v>33</v>
      </c>
      <c r="D24" s="1" t="s">
        <v>22</v>
      </c>
      <c r="E24" s="1">
        <v>2</v>
      </c>
      <c r="F24" s="1">
        <v>39000</v>
      </c>
      <c r="G24" s="1">
        <v>3</v>
      </c>
      <c r="H24" s="1">
        <v>88000</v>
      </c>
      <c r="I24" s="1">
        <v>90000</v>
      </c>
      <c r="J24" s="2">
        <v>44998</v>
      </c>
      <c r="K24" s="4" t="s">
        <v>14</v>
      </c>
    </row>
    <row r="25" spans="1:11" x14ac:dyDescent="0.3">
      <c r="A25" s="3" t="s">
        <v>70</v>
      </c>
      <c r="B25" s="1" t="s">
        <v>71</v>
      </c>
      <c r="C25" s="1" t="s">
        <v>17</v>
      </c>
      <c r="D25" s="1" t="s">
        <v>18</v>
      </c>
      <c r="E25" s="1">
        <v>9</v>
      </c>
      <c r="F25" s="1">
        <v>87000</v>
      </c>
      <c r="G25" s="1">
        <v>5</v>
      </c>
      <c r="H25" s="1">
        <v>0</v>
      </c>
      <c r="I25" s="1">
        <v>0</v>
      </c>
      <c r="J25" s="2">
        <v>42548</v>
      </c>
      <c r="K25" s="4" t="s">
        <v>14</v>
      </c>
    </row>
    <row r="26" spans="1:11" x14ac:dyDescent="0.3">
      <c r="A26" s="3" t="s">
        <v>72</v>
      </c>
      <c r="B26" s="1" t="s">
        <v>73</v>
      </c>
      <c r="C26" s="1" t="s">
        <v>7</v>
      </c>
      <c r="D26" s="1" t="s">
        <v>29</v>
      </c>
      <c r="E26" s="1">
        <v>3</v>
      </c>
      <c r="F26" s="1">
        <v>47000</v>
      </c>
      <c r="G26" s="1">
        <v>4</v>
      </c>
      <c r="H26" s="1">
        <v>104000</v>
      </c>
      <c r="I26" s="1">
        <v>100000</v>
      </c>
      <c r="J26" s="2">
        <v>44907</v>
      </c>
      <c r="K26" s="4" t="s">
        <v>30</v>
      </c>
    </row>
    <row r="27" spans="1:11" x14ac:dyDescent="0.3">
      <c r="A27" s="3" t="s">
        <v>74</v>
      </c>
      <c r="B27" s="1" t="s">
        <v>75</v>
      </c>
      <c r="C27" s="1" t="s">
        <v>21</v>
      </c>
      <c r="D27" s="1" t="s">
        <v>37</v>
      </c>
      <c r="E27" s="1">
        <v>5</v>
      </c>
      <c r="F27" s="1">
        <v>62000</v>
      </c>
      <c r="G27" s="1">
        <v>5</v>
      </c>
      <c r="H27" s="1">
        <v>0</v>
      </c>
      <c r="I27" s="1">
        <v>0</v>
      </c>
      <c r="J27" s="2">
        <v>44078</v>
      </c>
      <c r="K27" s="4" t="s">
        <v>14</v>
      </c>
    </row>
    <row r="28" spans="1:11" x14ac:dyDescent="0.3">
      <c r="A28" s="3" t="s">
        <v>76</v>
      </c>
      <c r="B28" s="1" t="s">
        <v>77</v>
      </c>
      <c r="C28" s="1" t="s">
        <v>28</v>
      </c>
      <c r="D28" s="1" t="s">
        <v>34</v>
      </c>
      <c r="E28" s="1">
        <v>7</v>
      </c>
      <c r="F28" s="1">
        <v>74000</v>
      </c>
      <c r="G28" s="1">
        <v>5</v>
      </c>
      <c r="H28" s="1">
        <v>0</v>
      </c>
      <c r="I28" s="1">
        <v>0</v>
      </c>
      <c r="J28" s="2">
        <v>43151</v>
      </c>
      <c r="K28" s="4" t="s">
        <v>14</v>
      </c>
    </row>
    <row r="29" spans="1:11" x14ac:dyDescent="0.3">
      <c r="A29" s="3" t="s">
        <v>78</v>
      </c>
      <c r="B29" s="1" t="s">
        <v>79</v>
      </c>
      <c r="C29" s="1" t="s">
        <v>7</v>
      </c>
      <c r="D29" s="1" t="s">
        <v>13</v>
      </c>
      <c r="E29" s="1">
        <v>4</v>
      </c>
      <c r="F29" s="1">
        <v>58000</v>
      </c>
      <c r="G29" s="1">
        <v>4</v>
      </c>
      <c r="H29" s="1">
        <v>119000</v>
      </c>
      <c r="I29" s="1">
        <v>115000</v>
      </c>
      <c r="J29" s="2">
        <v>44515</v>
      </c>
      <c r="K29" s="4" t="s">
        <v>14</v>
      </c>
    </row>
    <row r="30" spans="1:11" x14ac:dyDescent="0.3">
      <c r="A30" s="3" t="s">
        <v>80</v>
      </c>
      <c r="B30" s="1" t="s">
        <v>81</v>
      </c>
      <c r="C30" s="1" t="s">
        <v>33</v>
      </c>
      <c r="D30" s="1" t="s">
        <v>25</v>
      </c>
      <c r="E30" s="1">
        <v>6</v>
      </c>
      <c r="F30" s="1">
        <v>69000</v>
      </c>
      <c r="G30" s="1">
        <v>5</v>
      </c>
      <c r="H30" s="1">
        <v>135000</v>
      </c>
      <c r="I30" s="1">
        <v>130000</v>
      </c>
      <c r="J30" s="2">
        <v>43593</v>
      </c>
      <c r="K30" s="4" t="s">
        <v>14</v>
      </c>
    </row>
    <row r="31" spans="1:11" x14ac:dyDescent="0.3">
      <c r="A31" s="3" t="s">
        <v>82</v>
      </c>
      <c r="B31" s="1" t="s">
        <v>83</v>
      </c>
      <c r="C31" s="1" t="s">
        <v>17</v>
      </c>
      <c r="D31" s="1" t="s">
        <v>22</v>
      </c>
      <c r="E31" s="1">
        <v>2</v>
      </c>
      <c r="F31" s="1">
        <v>38000</v>
      </c>
      <c r="G31" s="1">
        <v>3</v>
      </c>
      <c r="H31" s="1">
        <v>0</v>
      </c>
      <c r="I31" s="1">
        <v>0</v>
      </c>
      <c r="J31" s="2">
        <v>45088</v>
      </c>
      <c r="K31" s="4" t="s">
        <v>14</v>
      </c>
    </row>
    <row r="32" spans="1:11" x14ac:dyDescent="0.3">
      <c r="A32" s="3" t="s">
        <v>84</v>
      </c>
      <c r="B32" s="1" t="s">
        <v>85</v>
      </c>
      <c r="C32" s="1" t="s">
        <v>7</v>
      </c>
      <c r="D32" s="1" t="s">
        <v>18</v>
      </c>
      <c r="E32" s="1">
        <v>5</v>
      </c>
      <c r="F32" s="1">
        <v>61000</v>
      </c>
      <c r="G32" s="1">
        <v>5</v>
      </c>
      <c r="H32" s="1">
        <v>141000</v>
      </c>
      <c r="I32" s="1">
        <v>138000</v>
      </c>
      <c r="J32" s="2">
        <v>43935</v>
      </c>
      <c r="K32" s="4" t="s">
        <v>14</v>
      </c>
    </row>
    <row r="33" spans="1:11" x14ac:dyDescent="0.3">
      <c r="A33" s="3" t="s">
        <v>86</v>
      </c>
      <c r="B33" s="1" t="s">
        <v>87</v>
      </c>
      <c r="C33" s="1" t="s">
        <v>21</v>
      </c>
      <c r="D33" s="1" t="s">
        <v>29</v>
      </c>
      <c r="E33" s="1">
        <v>3</v>
      </c>
      <c r="F33" s="1">
        <v>51000</v>
      </c>
      <c r="G33" s="1">
        <v>4</v>
      </c>
      <c r="H33" s="1">
        <v>0</v>
      </c>
      <c r="I33" s="1">
        <v>0</v>
      </c>
      <c r="J33" s="2">
        <v>44761</v>
      </c>
      <c r="K33" s="4" t="s">
        <v>14</v>
      </c>
    </row>
    <row r="34" spans="1:11" x14ac:dyDescent="0.3">
      <c r="A34" s="3" t="s">
        <v>88</v>
      </c>
      <c r="B34" s="1" t="s">
        <v>89</v>
      </c>
      <c r="C34" s="1" t="s">
        <v>28</v>
      </c>
      <c r="D34" s="1" t="s">
        <v>37</v>
      </c>
      <c r="E34" s="1">
        <v>8</v>
      </c>
      <c r="F34" s="1">
        <v>85000</v>
      </c>
      <c r="G34" s="1">
        <v>5</v>
      </c>
      <c r="H34" s="1">
        <v>0</v>
      </c>
      <c r="I34" s="1">
        <v>0</v>
      </c>
      <c r="J34" s="2">
        <v>43011</v>
      </c>
      <c r="K34" s="4" t="s">
        <v>14</v>
      </c>
    </row>
    <row r="35" spans="1:11" x14ac:dyDescent="0.3">
      <c r="A35" s="3" t="s">
        <v>90</v>
      </c>
      <c r="B35" s="1" t="s">
        <v>91</v>
      </c>
      <c r="C35" s="1" t="s">
        <v>7</v>
      </c>
      <c r="D35" s="1" t="s">
        <v>34</v>
      </c>
      <c r="E35" s="1">
        <v>7</v>
      </c>
      <c r="F35" s="1">
        <v>79000</v>
      </c>
      <c r="G35" s="1">
        <v>5</v>
      </c>
      <c r="H35" s="1">
        <v>170000</v>
      </c>
      <c r="I35" s="1">
        <v>160000</v>
      </c>
      <c r="J35" s="2">
        <v>43129</v>
      </c>
      <c r="K35" s="4" t="s">
        <v>14</v>
      </c>
    </row>
    <row r="36" spans="1:11" x14ac:dyDescent="0.3">
      <c r="A36" s="3" t="s">
        <v>92</v>
      </c>
      <c r="B36" s="1" t="s">
        <v>93</v>
      </c>
      <c r="C36" s="1" t="s">
        <v>33</v>
      </c>
      <c r="D36" s="1" t="s">
        <v>13</v>
      </c>
      <c r="E36" s="1">
        <v>4</v>
      </c>
      <c r="F36" s="1">
        <v>53000</v>
      </c>
      <c r="G36" s="1">
        <v>4</v>
      </c>
      <c r="H36" s="1">
        <v>112000</v>
      </c>
      <c r="I36" s="1">
        <v>110000</v>
      </c>
      <c r="J36" s="2">
        <v>44429</v>
      </c>
      <c r="K36" s="4" t="s">
        <v>14</v>
      </c>
    </row>
    <row r="37" spans="1:11" x14ac:dyDescent="0.3">
      <c r="A37" s="3" t="s">
        <v>94</v>
      </c>
      <c r="B37" s="1" t="s">
        <v>95</v>
      </c>
      <c r="C37" s="1" t="s">
        <v>17</v>
      </c>
      <c r="D37" s="1" t="s">
        <v>25</v>
      </c>
      <c r="E37" s="1">
        <v>1</v>
      </c>
      <c r="F37" s="1">
        <v>31000</v>
      </c>
      <c r="G37" s="1">
        <v>2</v>
      </c>
      <c r="H37" s="1">
        <v>0</v>
      </c>
      <c r="I37" s="1">
        <v>0</v>
      </c>
      <c r="J37" s="2">
        <v>45662</v>
      </c>
      <c r="K37" s="4" t="s">
        <v>14</v>
      </c>
    </row>
    <row r="38" spans="1:11" x14ac:dyDescent="0.3">
      <c r="A38" s="3" t="s">
        <v>96</v>
      </c>
      <c r="B38" s="1" t="s">
        <v>97</v>
      </c>
      <c r="C38" s="1" t="s">
        <v>7</v>
      </c>
      <c r="D38" s="1" t="s">
        <v>18</v>
      </c>
      <c r="E38" s="1">
        <v>9</v>
      </c>
      <c r="F38" s="1">
        <v>91000</v>
      </c>
      <c r="G38" s="1">
        <v>5</v>
      </c>
      <c r="H38" s="1">
        <v>192000</v>
      </c>
      <c r="I38" s="1">
        <v>180000</v>
      </c>
      <c r="J38" s="2">
        <v>42728</v>
      </c>
      <c r="K38" s="4" t="s">
        <v>14</v>
      </c>
    </row>
    <row r="39" spans="1:11" x14ac:dyDescent="0.3">
      <c r="A39" s="3" t="s">
        <v>98</v>
      </c>
      <c r="B39" s="1" t="s">
        <v>99</v>
      </c>
      <c r="C39" s="1" t="s">
        <v>21</v>
      </c>
      <c r="D39" s="1" t="s">
        <v>22</v>
      </c>
      <c r="E39" s="1">
        <v>6</v>
      </c>
      <c r="F39" s="1">
        <v>71000</v>
      </c>
      <c r="G39" s="1">
        <v>4</v>
      </c>
      <c r="H39" s="1">
        <v>0</v>
      </c>
      <c r="I39" s="1">
        <v>0</v>
      </c>
      <c r="J39" s="2">
        <v>43572</v>
      </c>
      <c r="K39" s="4" t="s">
        <v>14</v>
      </c>
    </row>
    <row r="40" spans="1:11" x14ac:dyDescent="0.3">
      <c r="A40" s="3" t="s">
        <v>100</v>
      </c>
      <c r="B40" s="1" t="s">
        <v>101</v>
      </c>
      <c r="C40" s="1" t="s">
        <v>28</v>
      </c>
      <c r="D40" s="1" t="s">
        <v>13</v>
      </c>
      <c r="E40" s="1">
        <v>5</v>
      </c>
      <c r="F40" s="1">
        <v>64000</v>
      </c>
      <c r="G40" s="1">
        <v>4</v>
      </c>
      <c r="H40" s="1">
        <v>0</v>
      </c>
      <c r="I40" s="1">
        <v>0</v>
      </c>
      <c r="J40" s="2">
        <v>43963</v>
      </c>
      <c r="K40" s="4" t="s">
        <v>30</v>
      </c>
    </row>
    <row r="41" spans="1:11" x14ac:dyDescent="0.3">
      <c r="A41" s="3" t="s">
        <v>102</v>
      </c>
      <c r="B41" s="1" t="s">
        <v>103</v>
      </c>
      <c r="C41" s="1" t="s">
        <v>7</v>
      </c>
      <c r="D41" s="1" t="s">
        <v>29</v>
      </c>
      <c r="E41" s="1">
        <v>3</v>
      </c>
      <c r="F41" s="1">
        <v>48000</v>
      </c>
      <c r="G41" s="1">
        <v>3</v>
      </c>
      <c r="H41" s="1">
        <v>97000</v>
      </c>
      <c r="I41" s="1">
        <v>100000</v>
      </c>
      <c r="J41" s="2">
        <v>44648</v>
      </c>
      <c r="K41" s="4" t="s">
        <v>14</v>
      </c>
    </row>
    <row r="42" spans="1:11" x14ac:dyDescent="0.3">
      <c r="A42" s="3" t="s">
        <v>104</v>
      </c>
      <c r="B42" s="1" t="s">
        <v>105</v>
      </c>
      <c r="C42" s="1" t="s">
        <v>33</v>
      </c>
      <c r="D42" s="1" t="s">
        <v>34</v>
      </c>
      <c r="E42" s="1">
        <v>2</v>
      </c>
      <c r="F42" s="1">
        <v>41000</v>
      </c>
      <c r="G42" s="1">
        <v>3</v>
      </c>
      <c r="H42" s="1">
        <v>92000</v>
      </c>
      <c r="I42" s="1">
        <v>90000</v>
      </c>
      <c r="J42" s="2">
        <v>44966</v>
      </c>
      <c r="K42" s="4" t="s">
        <v>14</v>
      </c>
    </row>
    <row r="43" spans="1:11" x14ac:dyDescent="0.3">
      <c r="A43" s="3" t="s">
        <v>106</v>
      </c>
      <c r="B43" s="1" t="s">
        <v>107</v>
      </c>
      <c r="C43" s="1" t="s">
        <v>17</v>
      </c>
      <c r="D43" s="1" t="s">
        <v>37</v>
      </c>
      <c r="E43" s="1">
        <v>8</v>
      </c>
      <c r="F43" s="1">
        <v>83000</v>
      </c>
      <c r="G43" s="1">
        <v>5</v>
      </c>
      <c r="H43" s="1">
        <v>0</v>
      </c>
      <c r="I43" s="1">
        <v>0</v>
      </c>
      <c r="J43" s="2">
        <v>42985</v>
      </c>
      <c r="K43" s="4" t="s">
        <v>14</v>
      </c>
    </row>
    <row r="44" spans="1:11" x14ac:dyDescent="0.3">
      <c r="A44" s="3" t="s">
        <v>108</v>
      </c>
      <c r="B44" s="1" t="s">
        <v>109</v>
      </c>
      <c r="C44" s="1" t="s">
        <v>7</v>
      </c>
      <c r="D44" s="1" t="s">
        <v>25</v>
      </c>
      <c r="E44" s="1">
        <v>4</v>
      </c>
      <c r="F44" s="1">
        <v>59000</v>
      </c>
      <c r="G44" s="1">
        <v>4</v>
      </c>
      <c r="H44" s="1">
        <v>121000</v>
      </c>
      <c r="I44" s="1">
        <v>120000</v>
      </c>
      <c r="J44" s="2">
        <v>44403</v>
      </c>
      <c r="K44" s="4" t="s">
        <v>14</v>
      </c>
    </row>
    <row r="45" spans="1:11" x14ac:dyDescent="0.3">
      <c r="A45" s="3" t="s">
        <v>110</v>
      </c>
      <c r="B45" s="1" t="s">
        <v>111</v>
      </c>
      <c r="C45" s="1" t="s">
        <v>21</v>
      </c>
      <c r="D45" s="1" t="s">
        <v>18</v>
      </c>
      <c r="E45" s="1">
        <v>7</v>
      </c>
      <c r="F45" s="1">
        <v>76000</v>
      </c>
      <c r="G45" s="1">
        <v>5</v>
      </c>
      <c r="H45" s="1">
        <v>0</v>
      </c>
      <c r="I45" s="1">
        <v>0</v>
      </c>
      <c r="J45" s="2">
        <v>43426</v>
      </c>
      <c r="K45" s="4" t="s">
        <v>14</v>
      </c>
    </row>
    <row r="46" spans="1:11" x14ac:dyDescent="0.3">
      <c r="A46" s="3" t="s">
        <v>112</v>
      </c>
      <c r="B46" s="1" t="s">
        <v>113</v>
      </c>
      <c r="C46" s="1" t="s">
        <v>28</v>
      </c>
      <c r="D46" s="1" t="s">
        <v>22</v>
      </c>
      <c r="E46" s="1">
        <v>3</v>
      </c>
      <c r="F46" s="1">
        <v>52000</v>
      </c>
      <c r="G46" s="1">
        <v>4</v>
      </c>
      <c r="H46" s="1">
        <v>0</v>
      </c>
      <c r="I46" s="1">
        <v>0</v>
      </c>
      <c r="J46" s="2">
        <v>44803</v>
      </c>
      <c r="K46" s="4" t="s">
        <v>14</v>
      </c>
    </row>
    <row r="47" spans="1:11" x14ac:dyDescent="0.3">
      <c r="A47" s="3" t="s">
        <v>114</v>
      </c>
      <c r="B47" s="1" t="s">
        <v>115</v>
      </c>
      <c r="C47" s="1" t="s">
        <v>7</v>
      </c>
      <c r="D47" s="1" t="s">
        <v>13</v>
      </c>
      <c r="E47" s="1">
        <v>6</v>
      </c>
      <c r="F47" s="1">
        <v>73000</v>
      </c>
      <c r="G47" s="1">
        <v>5</v>
      </c>
      <c r="H47" s="1">
        <v>152000</v>
      </c>
      <c r="I47" s="1">
        <v>150000</v>
      </c>
      <c r="J47" s="2">
        <v>43632</v>
      </c>
      <c r="K47" s="4" t="s">
        <v>14</v>
      </c>
    </row>
    <row r="48" spans="1:11" x14ac:dyDescent="0.3">
      <c r="A48" s="3" t="s">
        <v>116</v>
      </c>
      <c r="B48" s="1" t="s">
        <v>117</v>
      </c>
      <c r="C48" s="1" t="s">
        <v>33</v>
      </c>
      <c r="D48" s="1" t="s">
        <v>29</v>
      </c>
      <c r="E48" s="1">
        <v>5</v>
      </c>
      <c r="F48" s="1">
        <v>61000</v>
      </c>
      <c r="G48" s="1">
        <v>4</v>
      </c>
      <c r="H48" s="1">
        <v>126000</v>
      </c>
      <c r="I48" s="1">
        <v>125000</v>
      </c>
      <c r="J48" s="2">
        <v>44124</v>
      </c>
      <c r="K48" s="4" t="s">
        <v>14</v>
      </c>
    </row>
    <row r="49" spans="1:11" x14ac:dyDescent="0.3">
      <c r="A49" s="3" t="s">
        <v>118</v>
      </c>
      <c r="B49" s="1" t="s">
        <v>119</v>
      </c>
      <c r="C49" s="1" t="s">
        <v>17</v>
      </c>
      <c r="D49" s="1" t="s">
        <v>34</v>
      </c>
      <c r="E49" s="1">
        <v>4</v>
      </c>
      <c r="F49" s="1">
        <v>47000</v>
      </c>
      <c r="G49" s="1">
        <v>4</v>
      </c>
      <c r="H49" s="1">
        <v>0</v>
      </c>
      <c r="I49" s="1">
        <v>0</v>
      </c>
      <c r="J49" s="2">
        <v>44532</v>
      </c>
      <c r="K49" s="4" t="s">
        <v>14</v>
      </c>
    </row>
    <row r="50" spans="1:11" x14ac:dyDescent="0.3">
      <c r="A50" s="3" t="s">
        <v>120</v>
      </c>
      <c r="B50" s="1" t="s">
        <v>121</v>
      </c>
      <c r="C50" s="1" t="s">
        <v>7</v>
      </c>
      <c r="D50" s="1" t="s">
        <v>37</v>
      </c>
      <c r="E50" s="1">
        <v>2</v>
      </c>
      <c r="F50" s="1">
        <v>35000</v>
      </c>
      <c r="G50" s="1">
        <v>2</v>
      </c>
      <c r="H50" s="1">
        <v>68000</v>
      </c>
      <c r="I50" s="1">
        <v>75000</v>
      </c>
      <c r="J50" s="2">
        <v>45427</v>
      </c>
      <c r="K50" s="4" t="s">
        <v>14</v>
      </c>
    </row>
    <row r="51" spans="1:11" ht="15" thickBot="1" x14ac:dyDescent="0.35">
      <c r="A51" s="5" t="s">
        <v>122</v>
      </c>
      <c r="B51" s="6" t="s">
        <v>123</v>
      </c>
      <c r="C51" s="6" t="s">
        <v>21</v>
      </c>
      <c r="D51" s="6" t="s">
        <v>25</v>
      </c>
      <c r="E51" s="6">
        <v>9</v>
      </c>
      <c r="F51" s="6">
        <v>92000</v>
      </c>
      <c r="G51" s="6">
        <v>5</v>
      </c>
      <c r="H51" s="6">
        <v>0</v>
      </c>
      <c r="I51" s="6">
        <v>0</v>
      </c>
      <c r="J51" s="7">
        <v>42401</v>
      </c>
      <c r="K51" s="8" t="s">
        <v>14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9B57-8BEF-494F-B1CD-60B4D15260C7}">
  <sheetPr>
    <pageSetUpPr fitToPage="1"/>
  </sheetPr>
  <dimension ref="A1:K64"/>
  <sheetViews>
    <sheetView workbookViewId="0">
      <selection activeCell="D4" sqref="D4"/>
    </sheetView>
  </sheetViews>
  <sheetFormatPr defaultRowHeight="14.4" x14ac:dyDescent="0.3"/>
  <cols>
    <col min="1" max="1" width="7.6640625" bestFit="1" customWidth="1"/>
    <col min="2" max="2" width="8.5546875" bestFit="1" customWidth="1"/>
    <col min="3" max="3" width="9.44140625" bestFit="1" customWidth="1"/>
    <col min="4" max="4" width="10.21875" bestFit="1" customWidth="1"/>
    <col min="5" max="5" width="8.77734375" bestFit="1" customWidth="1"/>
    <col min="6" max="6" width="6.21875" bestFit="1" customWidth="1"/>
    <col min="8" max="9" width="7" bestFit="1" customWidth="1"/>
    <col min="10" max="10" width="10.33203125" bestFit="1" customWidth="1"/>
    <col min="11" max="11" width="7.6640625" bestFit="1" customWidth="1"/>
  </cols>
  <sheetData>
    <row r="1" spans="1:11" ht="15" thickBot="1" x14ac:dyDescent="0.35">
      <c r="A1" s="14" t="s">
        <v>124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43.2" x14ac:dyDescent="0.3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</row>
    <row r="3" spans="1:11" x14ac:dyDescent="0.3">
      <c r="A3" s="3" t="s">
        <v>42</v>
      </c>
      <c r="B3" s="1" t="s">
        <v>43</v>
      </c>
      <c r="C3" s="1" t="s">
        <v>7</v>
      </c>
      <c r="D3" s="1" t="s">
        <v>22</v>
      </c>
      <c r="E3" s="1">
        <v>9</v>
      </c>
      <c r="F3" s="1">
        <v>90000</v>
      </c>
      <c r="G3" s="1">
        <v>5</v>
      </c>
      <c r="H3" s="1">
        <v>180000</v>
      </c>
      <c r="I3" s="1">
        <v>170000</v>
      </c>
      <c r="J3" s="2">
        <v>42459</v>
      </c>
      <c r="K3" s="4" t="s">
        <v>14</v>
      </c>
    </row>
    <row r="4" spans="1:11" x14ac:dyDescent="0.3">
      <c r="A4" s="3" t="s">
        <v>38</v>
      </c>
      <c r="B4" s="1" t="s">
        <v>39</v>
      </c>
      <c r="C4" s="1" t="s">
        <v>21</v>
      </c>
      <c r="D4" s="1" t="s">
        <v>13</v>
      </c>
      <c r="E4" s="1">
        <v>8</v>
      </c>
      <c r="F4" s="1">
        <v>80000</v>
      </c>
      <c r="G4" s="1">
        <v>5</v>
      </c>
      <c r="H4" s="1">
        <v>0</v>
      </c>
      <c r="I4" s="1">
        <v>0</v>
      </c>
      <c r="J4" s="2">
        <v>43058</v>
      </c>
      <c r="K4" s="4" t="s">
        <v>14</v>
      </c>
    </row>
    <row r="5" spans="1:11" x14ac:dyDescent="0.3">
      <c r="A5" s="3" t="s">
        <v>23</v>
      </c>
      <c r="B5" s="1" t="s">
        <v>24</v>
      </c>
      <c r="C5" s="1" t="s">
        <v>7</v>
      </c>
      <c r="D5" s="1" t="s">
        <v>25</v>
      </c>
      <c r="E5" s="1">
        <v>6</v>
      </c>
      <c r="F5" s="1">
        <v>72000</v>
      </c>
      <c r="G5" s="1">
        <v>5</v>
      </c>
      <c r="H5" s="1">
        <v>150000</v>
      </c>
      <c r="I5" s="1">
        <v>140000</v>
      </c>
      <c r="J5" s="2">
        <v>43713</v>
      </c>
      <c r="K5" s="4" t="s">
        <v>14</v>
      </c>
    </row>
    <row r="6" spans="1:11" x14ac:dyDescent="0.3">
      <c r="A6" s="3" t="s">
        <v>31</v>
      </c>
      <c r="B6" s="1" t="s">
        <v>32</v>
      </c>
      <c r="C6" s="1" t="s">
        <v>33</v>
      </c>
      <c r="D6" s="1" t="s">
        <v>34</v>
      </c>
      <c r="E6" s="1">
        <v>7</v>
      </c>
      <c r="F6" s="1">
        <v>68000</v>
      </c>
      <c r="G6" s="1">
        <v>5</v>
      </c>
      <c r="H6" s="1">
        <v>125000</v>
      </c>
      <c r="I6" s="1">
        <v>120000</v>
      </c>
      <c r="J6" s="2">
        <v>43201</v>
      </c>
      <c r="K6" s="4" t="s">
        <v>14</v>
      </c>
    </row>
    <row r="7" spans="1:11" x14ac:dyDescent="0.3">
      <c r="A7" s="3" t="s">
        <v>19</v>
      </c>
      <c r="B7" s="1" t="s">
        <v>20</v>
      </c>
      <c r="C7" s="1" t="s">
        <v>21</v>
      </c>
      <c r="D7" s="1" t="s">
        <v>22</v>
      </c>
      <c r="E7" s="1">
        <v>4</v>
      </c>
      <c r="F7" s="1">
        <v>55000</v>
      </c>
      <c r="G7" s="1">
        <v>3</v>
      </c>
      <c r="H7" s="1">
        <v>0</v>
      </c>
      <c r="I7" s="1">
        <v>0</v>
      </c>
      <c r="J7" s="2">
        <v>44245</v>
      </c>
      <c r="K7" s="4" t="s">
        <v>14</v>
      </c>
    </row>
    <row r="8" spans="1:11" x14ac:dyDescent="0.3">
      <c r="A8" s="3" t="s">
        <v>26</v>
      </c>
      <c r="B8" s="1" t="s">
        <v>27</v>
      </c>
      <c r="C8" s="1" t="s">
        <v>28</v>
      </c>
      <c r="D8" s="1" t="s">
        <v>29</v>
      </c>
      <c r="E8" s="1">
        <v>3</v>
      </c>
      <c r="F8" s="1">
        <v>50000</v>
      </c>
      <c r="G8" s="1">
        <v>4</v>
      </c>
      <c r="H8" s="1">
        <v>0</v>
      </c>
      <c r="I8" s="1">
        <v>0</v>
      </c>
      <c r="J8" s="2">
        <v>44701</v>
      </c>
      <c r="K8" s="4" t="s">
        <v>30</v>
      </c>
    </row>
    <row r="9" spans="1:11" x14ac:dyDescent="0.3">
      <c r="A9" s="3" t="s">
        <v>15</v>
      </c>
      <c r="B9" s="1" t="s">
        <v>16</v>
      </c>
      <c r="C9" s="1" t="s">
        <v>17</v>
      </c>
      <c r="D9" s="1" t="s">
        <v>18</v>
      </c>
      <c r="E9" s="1">
        <v>5</v>
      </c>
      <c r="F9" s="1">
        <v>48000</v>
      </c>
      <c r="G9" s="1">
        <v>5</v>
      </c>
      <c r="H9" s="1">
        <v>0</v>
      </c>
      <c r="I9" s="1">
        <v>0</v>
      </c>
      <c r="J9" s="2">
        <v>44022</v>
      </c>
      <c r="K9" s="4" t="s">
        <v>14</v>
      </c>
    </row>
    <row r="10" spans="1:11" x14ac:dyDescent="0.3">
      <c r="A10" s="3" t="s">
        <v>35</v>
      </c>
      <c r="B10" s="1" t="s">
        <v>36</v>
      </c>
      <c r="C10" s="1" t="s">
        <v>7</v>
      </c>
      <c r="D10" s="1" t="s">
        <v>37</v>
      </c>
      <c r="E10" s="1">
        <v>2</v>
      </c>
      <c r="F10" s="1">
        <v>34000</v>
      </c>
      <c r="G10" s="1">
        <v>2</v>
      </c>
      <c r="H10" s="1">
        <v>62000</v>
      </c>
      <c r="I10" s="1">
        <v>70000</v>
      </c>
      <c r="J10" s="2">
        <v>45299</v>
      </c>
      <c r="K10" s="4" t="s">
        <v>14</v>
      </c>
    </row>
    <row r="11" spans="1:11" x14ac:dyDescent="0.3">
      <c r="A11" s="3" t="s">
        <v>11</v>
      </c>
      <c r="B11" s="1" t="s">
        <v>12</v>
      </c>
      <c r="C11" s="1" t="s">
        <v>7</v>
      </c>
      <c r="D11" s="1" t="s">
        <v>13</v>
      </c>
      <c r="E11" s="1">
        <v>2</v>
      </c>
      <c r="F11" s="1">
        <v>32000</v>
      </c>
      <c r="G11" s="1">
        <v>4</v>
      </c>
      <c r="H11" s="1">
        <v>85000</v>
      </c>
      <c r="I11" s="1">
        <v>80000</v>
      </c>
      <c r="J11" s="2">
        <v>44941</v>
      </c>
      <c r="K11" s="4" t="s">
        <v>14</v>
      </c>
    </row>
    <row r="12" spans="1:11" ht="15" thickBot="1" x14ac:dyDescent="0.35">
      <c r="A12" s="5" t="s">
        <v>40</v>
      </c>
      <c r="B12" s="6" t="s">
        <v>41</v>
      </c>
      <c r="C12" s="6" t="s">
        <v>28</v>
      </c>
      <c r="D12" s="6" t="s">
        <v>18</v>
      </c>
      <c r="E12" s="6">
        <v>1</v>
      </c>
      <c r="F12" s="6">
        <v>28000</v>
      </c>
      <c r="G12" s="6">
        <v>3</v>
      </c>
      <c r="H12" s="6">
        <v>0</v>
      </c>
      <c r="I12" s="6">
        <v>0</v>
      </c>
      <c r="J12" s="7">
        <v>45702</v>
      </c>
      <c r="K12" s="8" t="s">
        <v>14</v>
      </c>
    </row>
    <row r="14" spans="1:11" ht="15" thickBot="1" x14ac:dyDescent="0.35">
      <c r="A14" s="13" t="s">
        <v>125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43.2" x14ac:dyDescent="0.3">
      <c r="A15" s="9" t="s">
        <v>0</v>
      </c>
      <c r="B15" s="10" t="s">
        <v>1</v>
      </c>
      <c r="C15" s="10" t="s">
        <v>2</v>
      </c>
      <c r="D15" s="10" t="s">
        <v>3</v>
      </c>
      <c r="E15" s="10" t="s">
        <v>4</v>
      </c>
      <c r="F15" s="10" t="s">
        <v>5</v>
      </c>
      <c r="G15" s="10" t="s">
        <v>6</v>
      </c>
      <c r="H15" s="10" t="s">
        <v>7</v>
      </c>
      <c r="I15" s="10" t="s">
        <v>8</v>
      </c>
      <c r="J15" s="10" t="s">
        <v>9</v>
      </c>
      <c r="K15" s="11" t="s">
        <v>10</v>
      </c>
    </row>
    <row r="16" spans="1:11" x14ac:dyDescent="0.3">
      <c r="A16" s="3" t="s">
        <v>42</v>
      </c>
      <c r="B16" s="1" t="s">
        <v>43</v>
      </c>
      <c r="C16" s="1" t="s">
        <v>7</v>
      </c>
      <c r="D16" s="1" t="s">
        <v>22</v>
      </c>
      <c r="E16" s="1">
        <v>9</v>
      </c>
      <c r="F16" s="1">
        <v>90000</v>
      </c>
      <c r="G16" s="1">
        <v>5</v>
      </c>
      <c r="H16" s="1">
        <v>180000</v>
      </c>
      <c r="I16" s="1">
        <v>170000</v>
      </c>
      <c r="J16" s="2">
        <v>42459</v>
      </c>
      <c r="K16" s="4" t="s">
        <v>14</v>
      </c>
    </row>
    <row r="17" spans="1:11" x14ac:dyDescent="0.3">
      <c r="A17" s="3" t="s">
        <v>38</v>
      </c>
      <c r="B17" s="1" t="s">
        <v>39</v>
      </c>
      <c r="C17" s="1" t="s">
        <v>21</v>
      </c>
      <c r="D17" s="1" t="s">
        <v>13</v>
      </c>
      <c r="E17" s="1">
        <v>8</v>
      </c>
      <c r="F17" s="1">
        <v>80000</v>
      </c>
      <c r="G17" s="1">
        <v>5</v>
      </c>
      <c r="H17" s="1">
        <v>0</v>
      </c>
      <c r="I17" s="1">
        <v>0</v>
      </c>
      <c r="J17" s="2">
        <v>43058</v>
      </c>
      <c r="K17" s="4" t="s">
        <v>14</v>
      </c>
    </row>
    <row r="18" spans="1:11" x14ac:dyDescent="0.3">
      <c r="A18" s="3" t="s">
        <v>31</v>
      </c>
      <c r="B18" s="1" t="s">
        <v>32</v>
      </c>
      <c r="C18" s="1" t="s">
        <v>33</v>
      </c>
      <c r="D18" s="1" t="s">
        <v>34</v>
      </c>
      <c r="E18" s="1">
        <v>7</v>
      </c>
      <c r="F18" s="1">
        <v>68000</v>
      </c>
      <c r="G18" s="1">
        <v>5</v>
      </c>
      <c r="H18" s="1">
        <v>125000</v>
      </c>
      <c r="I18" s="1">
        <v>120000</v>
      </c>
      <c r="J18" s="2">
        <v>43201</v>
      </c>
      <c r="K18" s="4" t="s">
        <v>14</v>
      </c>
    </row>
    <row r="19" spans="1:11" x14ac:dyDescent="0.3">
      <c r="A19" s="3" t="s">
        <v>23</v>
      </c>
      <c r="B19" s="1" t="s">
        <v>24</v>
      </c>
      <c r="C19" s="1" t="s">
        <v>7</v>
      </c>
      <c r="D19" s="1" t="s">
        <v>25</v>
      </c>
      <c r="E19" s="1">
        <v>6</v>
      </c>
      <c r="F19" s="1">
        <v>72000</v>
      </c>
      <c r="G19" s="1">
        <v>5</v>
      </c>
      <c r="H19" s="1">
        <v>150000</v>
      </c>
      <c r="I19" s="1">
        <v>140000</v>
      </c>
      <c r="J19" s="2">
        <v>43713</v>
      </c>
      <c r="K19" s="4" t="s">
        <v>14</v>
      </c>
    </row>
    <row r="20" spans="1:11" x14ac:dyDescent="0.3">
      <c r="A20" s="3" t="s">
        <v>15</v>
      </c>
      <c r="B20" s="1" t="s">
        <v>16</v>
      </c>
      <c r="C20" s="1" t="s">
        <v>17</v>
      </c>
      <c r="D20" s="1" t="s">
        <v>18</v>
      </c>
      <c r="E20" s="1">
        <v>5</v>
      </c>
      <c r="F20" s="1">
        <v>48000</v>
      </c>
      <c r="G20" s="1">
        <v>5</v>
      </c>
      <c r="H20" s="1">
        <v>0</v>
      </c>
      <c r="I20" s="1">
        <v>0</v>
      </c>
      <c r="J20" s="2">
        <v>44022</v>
      </c>
      <c r="K20" s="4" t="s">
        <v>14</v>
      </c>
    </row>
    <row r="21" spans="1:11" x14ac:dyDescent="0.3">
      <c r="A21" s="3" t="s">
        <v>19</v>
      </c>
      <c r="B21" s="1" t="s">
        <v>20</v>
      </c>
      <c r="C21" s="1" t="s">
        <v>21</v>
      </c>
      <c r="D21" s="1" t="s">
        <v>22</v>
      </c>
      <c r="E21" s="1">
        <v>4</v>
      </c>
      <c r="F21" s="1">
        <v>55000</v>
      </c>
      <c r="G21" s="1">
        <v>3</v>
      </c>
      <c r="H21" s="1">
        <v>0</v>
      </c>
      <c r="I21" s="1">
        <v>0</v>
      </c>
      <c r="J21" s="2">
        <v>44245</v>
      </c>
      <c r="K21" s="4" t="s">
        <v>14</v>
      </c>
    </row>
    <row r="22" spans="1:11" x14ac:dyDescent="0.3">
      <c r="A22" s="3" t="s">
        <v>26</v>
      </c>
      <c r="B22" s="1" t="s">
        <v>27</v>
      </c>
      <c r="C22" s="1" t="s">
        <v>28</v>
      </c>
      <c r="D22" s="1" t="s">
        <v>29</v>
      </c>
      <c r="E22" s="1">
        <v>3</v>
      </c>
      <c r="F22" s="1">
        <v>50000</v>
      </c>
      <c r="G22" s="1">
        <v>4</v>
      </c>
      <c r="H22" s="1">
        <v>0</v>
      </c>
      <c r="I22" s="1">
        <v>0</v>
      </c>
      <c r="J22" s="2">
        <v>44701</v>
      </c>
      <c r="K22" s="4" t="s">
        <v>30</v>
      </c>
    </row>
    <row r="23" spans="1:11" x14ac:dyDescent="0.3">
      <c r="A23" s="3" t="s">
        <v>11</v>
      </c>
      <c r="B23" s="1" t="s">
        <v>12</v>
      </c>
      <c r="C23" s="1" t="s">
        <v>7</v>
      </c>
      <c r="D23" s="1" t="s">
        <v>13</v>
      </c>
      <c r="E23" s="1">
        <v>2</v>
      </c>
      <c r="F23" s="1">
        <v>32000</v>
      </c>
      <c r="G23" s="1">
        <v>4</v>
      </c>
      <c r="H23" s="1">
        <v>85000</v>
      </c>
      <c r="I23" s="1">
        <v>80000</v>
      </c>
      <c r="J23" s="2">
        <v>44941</v>
      </c>
      <c r="K23" s="4" t="s">
        <v>14</v>
      </c>
    </row>
    <row r="24" spans="1:11" x14ac:dyDescent="0.3">
      <c r="A24" s="3" t="s">
        <v>35</v>
      </c>
      <c r="B24" s="1" t="s">
        <v>36</v>
      </c>
      <c r="C24" s="1" t="s">
        <v>7</v>
      </c>
      <c r="D24" s="1" t="s">
        <v>37</v>
      </c>
      <c r="E24" s="1">
        <v>2</v>
      </c>
      <c r="F24" s="1">
        <v>34000</v>
      </c>
      <c r="G24" s="1">
        <v>2</v>
      </c>
      <c r="H24" s="1">
        <v>62000</v>
      </c>
      <c r="I24" s="1">
        <v>70000</v>
      </c>
      <c r="J24" s="2">
        <v>45299</v>
      </c>
      <c r="K24" s="4" t="s">
        <v>14</v>
      </c>
    </row>
    <row r="25" spans="1:11" ht="15" thickBot="1" x14ac:dyDescent="0.35">
      <c r="A25" s="5" t="s">
        <v>40</v>
      </c>
      <c r="B25" s="6" t="s">
        <v>41</v>
      </c>
      <c r="C25" s="6" t="s">
        <v>28</v>
      </c>
      <c r="D25" s="6" t="s">
        <v>18</v>
      </c>
      <c r="E25" s="6">
        <v>1</v>
      </c>
      <c r="F25" s="6">
        <v>28000</v>
      </c>
      <c r="G25" s="6">
        <v>3</v>
      </c>
      <c r="H25" s="6">
        <v>0</v>
      </c>
      <c r="I25" s="6">
        <v>0</v>
      </c>
      <c r="J25" s="7">
        <v>45702</v>
      </c>
      <c r="K25" s="8" t="s">
        <v>14</v>
      </c>
    </row>
    <row r="26" spans="1:11" ht="15" thickBot="1" x14ac:dyDescent="0.35"/>
    <row r="27" spans="1:11" ht="15" thickBot="1" x14ac:dyDescent="0.35">
      <c r="A27" s="17" t="s">
        <v>126</v>
      </c>
      <c r="B27" s="18"/>
      <c r="C27" s="18"/>
      <c r="D27" s="18"/>
      <c r="E27" s="18"/>
      <c r="F27" s="18"/>
      <c r="G27" s="18"/>
      <c r="H27" s="18"/>
      <c r="I27" s="18"/>
      <c r="J27" s="18"/>
      <c r="K27" s="19"/>
    </row>
    <row r="28" spans="1:11" ht="43.2" x14ac:dyDescent="0.3">
      <c r="A28" s="9" t="s">
        <v>0</v>
      </c>
      <c r="B28" s="10" t="s">
        <v>1</v>
      </c>
      <c r="C28" s="10" t="s">
        <v>2</v>
      </c>
      <c r="D28" s="10" t="s">
        <v>3</v>
      </c>
      <c r="E28" s="10" t="s">
        <v>4</v>
      </c>
      <c r="F28" s="10" t="s">
        <v>5</v>
      </c>
      <c r="G28" s="10" t="s">
        <v>6</v>
      </c>
      <c r="H28" s="10" t="s">
        <v>7</v>
      </c>
      <c r="I28" s="10" t="s">
        <v>8</v>
      </c>
      <c r="J28" s="10" t="s">
        <v>9</v>
      </c>
      <c r="K28" s="11" t="s">
        <v>10</v>
      </c>
    </row>
    <row r="29" spans="1:11" x14ac:dyDescent="0.3">
      <c r="A29" s="3" t="s">
        <v>38</v>
      </c>
      <c r="B29" s="1" t="s">
        <v>39</v>
      </c>
      <c r="C29" s="1" t="s">
        <v>21</v>
      </c>
      <c r="D29" s="1" t="s">
        <v>13</v>
      </c>
      <c r="E29" s="1">
        <v>8</v>
      </c>
      <c r="F29" s="1">
        <v>80000</v>
      </c>
      <c r="G29" s="1">
        <v>5</v>
      </c>
      <c r="H29" s="1">
        <v>0</v>
      </c>
      <c r="I29" s="1">
        <v>0</v>
      </c>
      <c r="J29" s="2">
        <v>43058</v>
      </c>
      <c r="K29" s="4" t="s">
        <v>14</v>
      </c>
    </row>
    <row r="30" spans="1:11" x14ac:dyDescent="0.3">
      <c r="A30" s="3" t="s">
        <v>19</v>
      </c>
      <c r="B30" s="1" t="s">
        <v>20</v>
      </c>
      <c r="C30" s="1" t="s">
        <v>21</v>
      </c>
      <c r="D30" s="1" t="s">
        <v>22</v>
      </c>
      <c r="E30" s="1">
        <v>4</v>
      </c>
      <c r="F30" s="1">
        <v>55000</v>
      </c>
      <c r="G30" s="1">
        <v>3</v>
      </c>
      <c r="H30" s="1">
        <v>0</v>
      </c>
      <c r="I30" s="1">
        <v>0</v>
      </c>
      <c r="J30" s="2">
        <v>44245</v>
      </c>
      <c r="K30" s="4" t="s">
        <v>14</v>
      </c>
    </row>
    <row r="31" spans="1:11" x14ac:dyDescent="0.3">
      <c r="A31" s="3" t="s">
        <v>15</v>
      </c>
      <c r="B31" s="1" t="s">
        <v>16</v>
      </c>
      <c r="C31" s="1" t="s">
        <v>17</v>
      </c>
      <c r="D31" s="1" t="s">
        <v>18</v>
      </c>
      <c r="E31" s="1">
        <v>5</v>
      </c>
      <c r="F31" s="1">
        <v>48000</v>
      </c>
      <c r="G31" s="1">
        <v>5</v>
      </c>
      <c r="H31" s="1">
        <v>0</v>
      </c>
      <c r="I31" s="1">
        <v>0</v>
      </c>
      <c r="J31" s="2">
        <v>44022</v>
      </c>
      <c r="K31" s="4" t="s">
        <v>14</v>
      </c>
    </row>
    <row r="32" spans="1:11" x14ac:dyDescent="0.3">
      <c r="A32" s="3" t="s">
        <v>40</v>
      </c>
      <c r="B32" s="1" t="s">
        <v>41</v>
      </c>
      <c r="C32" s="1" t="s">
        <v>28</v>
      </c>
      <c r="D32" s="1" t="s">
        <v>18</v>
      </c>
      <c r="E32" s="1">
        <v>1</v>
      </c>
      <c r="F32" s="1">
        <v>28000</v>
      </c>
      <c r="G32" s="1">
        <v>3</v>
      </c>
      <c r="H32" s="1">
        <v>0</v>
      </c>
      <c r="I32" s="1">
        <v>0</v>
      </c>
      <c r="J32" s="2">
        <v>45702</v>
      </c>
      <c r="K32" s="4" t="s">
        <v>14</v>
      </c>
    </row>
    <row r="33" spans="1:11" x14ac:dyDescent="0.3">
      <c r="A33" s="3" t="s">
        <v>26</v>
      </c>
      <c r="B33" s="1" t="s">
        <v>27</v>
      </c>
      <c r="C33" s="1" t="s">
        <v>28</v>
      </c>
      <c r="D33" s="1" t="s">
        <v>29</v>
      </c>
      <c r="E33" s="1">
        <v>3</v>
      </c>
      <c r="F33" s="1">
        <v>50000</v>
      </c>
      <c r="G33" s="1">
        <v>4</v>
      </c>
      <c r="H33" s="1">
        <v>0</v>
      </c>
      <c r="I33" s="1">
        <v>0</v>
      </c>
      <c r="J33" s="2">
        <v>44701</v>
      </c>
      <c r="K33" s="4" t="s">
        <v>30</v>
      </c>
    </row>
    <row r="34" spans="1:11" x14ac:dyDescent="0.3">
      <c r="A34" s="3" t="s">
        <v>31</v>
      </c>
      <c r="B34" s="1" t="s">
        <v>32</v>
      </c>
      <c r="C34" s="1" t="s">
        <v>33</v>
      </c>
      <c r="D34" s="1" t="s">
        <v>34</v>
      </c>
      <c r="E34" s="1">
        <v>7</v>
      </c>
      <c r="F34" s="1">
        <v>68000</v>
      </c>
      <c r="G34" s="1">
        <v>5</v>
      </c>
      <c r="H34" s="1">
        <v>125000</v>
      </c>
      <c r="I34" s="1">
        <v>120000</v>
      </c>
      <c r="J34" s="2">
        <v>43201</v>
      </c>
      <c r="K34" s="4" t="s">
        <v>14</v>
      </c>
    </row>
    <row r="35" spans="1:11" x14ac:dyDescent="0.3">
      <c r="A35" s="3" t="s">
        <v>11</v>
      </c>
      <c r="B35" s="1" t="s">
        <v>12</v>
      </c>
      <c r="C35" s="1" t="s">
        <v>7</v>
      </c>
      <c r="D35" s="1" t="s">
        <v>13</v>
      </c>
      <c r="E35" s="1">
        <v>2</v>
      </c>
      <c r="F35" s="1">
        <v>32000</v>
      </c>
      <c r="G35" s="1">
        <v>4</v>
      </c>
      <c r="H35" s="1">
        <v>85000</v>
      </c>
      <c r="I35" s="1">
        <v>80000</v>
      </c>
      <c r="J35" s="2">
        <v>44941</v>
      </c>
      <c r="K35" s="4" t="s">
        <v>14</v>
      </c>
    </row>
    <row r="36" spans="1:11" x14ac:dyDescent="0.3">
      <c r="A36" s="3" t="s">
        <v>35</v>
      </c>
      <c r="B36" s="1" t="s">
        <v>36</v>
      </c>
      <c r="C36" s="1" t="s">
        <v>7</v>
      </c>
      <c r="D36" s="1" t="s">
        <v>37</v>
      </c>
      <c r="E36" s="1">
        <v>2</v>
      </c>
      <c r="F36" s="1">
        <v>34000</v>
      </c>
      <c r="G36" s="1">
        <v>2</v>
      </c>
      <c r="H36" s="1">
        <v>62000</v>
      </c>
      <c r="I36" s="1">
        <v>70000</v>
      </c>
      <c r="J36" s="2">
        <v>45299</v>
      </c>
      <c r="K36" s="4" t="s">
        <v>14</v>
      </c>
    </row>
    <row r="37" spans="1:11" x14ac:dyDescent="0.3">
      <c r="A37" s="3" t="s">
        <v>42</v>
      </c>
      <c r="B37" s="1" t="s">
        <v>43</v>
      </c>
      <c r="C37" s="1" t="s">
        <v>7</v>
      </c>
      <c r="D37" s="1" t="s">
        <v>22</v>
      </c>
      <c r="E37" s="1">
        <v>9</v>
      </c>
      <c r="F37" s="1">
        <v>90000</v>
      </c>
      <c r="G37" s="1">
        <v>5</v>
      </c>
      <c r="H37" s="1">
        <v>180000</v>
      </c>
      <c r="I37" s="1">
        <v>170000</v>
      </c>
      <c r="J37" s="2">
        <v>42459</v>
      </c>
      <c r="K37" s="4" t="s">
        <v>14</v>
      </c>
    </row>
    <row r="38" spans="1:11" ht="15" thickBot="1" x14ac:dyDescent="0.35">
      <c r="A38" s="5" t="s">
        <v>23</v>
      </c>
      <c r="B38" s="6" t="s">
        <v>24</v>
      </c>
      <c r="C38" s="6" t="s">
        <v>7</v>
      </c>
      <c r="D38" s="6" t="s">
        <v>25</v>
      </c>
      <c r="E38" s="6">
        <v>6</v>
      </c>
      <c r="F38" s="6">
        <v>72000</v>
      </c>
      <c r="G38" s="6">
        <v>5</v>
      </c>
      <c r="H38" s="6">
        <v>150000</v>
      </c>
      <c r="I38" s="6">
        <v>140000</v>
      </c>
      <c r="J38" s="7">
        <v>43713</v>
      </c>
      <c r="K38" s="8" t="s">
        <v>14</v>
      </c>
    </row>
    <row r="39" spans="1:11" ht="15" thickBot="1" x14ac:dyDescent="0.35"/>
    <row r="40" spans="1:11" ht="15" thickBot="1" x14ac:dyDescent="0.35">
      <c r="A40" s="14" t="s">
        <v>127</v>
      </c>
      <c r="B40" s="15"/>
      <c r="C40" s="15"/>
      <c r="D40" s="15"/>
      <c r="E40" s="15"/>
      <c r="F40" s="15"/>
      <c r="G40" s="15"/>
      <c r="H40" s="15"/>
      <c r="I40" s="15"/>
      <c r="J40" s="15"/>
      <c r="K40" s="16"/>
    </row>
    <row r="41" spans="1:11" ht="43.2" x14ac:dyDescent="0.3">
      <c r="A41" s="9" t="s">
        <v>0</v>
      </c>
      <c r="B41" s="10" t="s">
        <v>1</v>
      </c>
      <c r="C41" s="10" t="s">
        <v>2</v>
      </c>
      <c r="D41" s="10" t="s">
        <v>3</v>
      </c>
      <c r="E41" s="10" t="s">
        <v>4</v>
      </c>
      <c r="F41" s="10" t="s">
        <v>5</v>
      </c>
      <c r="G41" s="10" t="s">
        <v>6</v>
      </c>
      <c r="H41" s="10" t="s">
        <v>7</v>
      </c>
      <c r="I41" s="10" t="s">
        <v>8</v>
      </c>
      <c r="J41" s="10" t="s">
        <v>9</v>
      </c>
      <c r="K41" s="11" t="s">
        <v>10</v>
      </c>
    </row>
    <row r="42" spans="1:11" x14ac:dyDescent="0.3">
      <c r="A42" s="3" t="s">
        <v>42</v>
      </c>
      <c r="B42" s="1" t="s">
        <v>43</v>
      </c>
      <c r="C42" s="1" t="s">
        <v>7</v>
      </c>
      <c r="D42" s="1" t="s">
        <v>22</v>
      </c>
      <c r="E42" s="1">
        <v>9</v>
      </c>
      <c r="F42" s="1">
        <v>90000</v>
      </c>
      <c r="G42" s="1">
        <v>5</v>
      </c>
      <c r="H42" s="1">
        <v>180000</v>
      </c>
      <c r="I42" s="1">
        <v>170000</v>
      </c>
      <c r="J42" s="2">
        <v>42459</v>
      </c>
      <c r="K42" s="4" t="s">
        <v>14</v>
      </c>
    </row>
    <row r="43" spans="1:11" x14ac:dyDescent="0.3">
      <c r="A43" s="3" t="s">
        <v>38</v>
      </c>
      <c r="B43" s="1" t="s">
        <v>39</v>
      </c>
      <c r="C43" s="1" t="s">
        <v>21</v>
      </c>
      <c r="D43" s="1" t="s">
        <v>13</v>
      </c>
      <c r="E43" s="1">
        <v>8</v>
      </c>
      <c r="F43" s="1">
        <v>80000</v>
      </c>
      <c r="G43" s="1">
        <v>5</v>
      </c>
      <c r="H43" s="1">
        <v>0</v>
      </c>
      <c r="I43" s="1">
        <v>0</v>
      </c>
      <c r="J43" s="2">
        <v>43058</v>
      </c>
      <c r="K43" s="4" t="s">
        <v>14</v>
      </c>
    </row>
    <row r="44" spans="1:11" x14ac:dyDescent="0.3">
      <c r="A44" s="3" t="s">
        <v>23</v>
      </c>
      <c r="B44" s="1" t="s">
        <v>24</v>
      </c>
      <c r="C44" s="1" t="s">
        <v>7</v>
      </c>
      <c r="D44" s="1" t="s">
        <v>25</v>
      </c>
      <c r="E44" s="1">
        <v>6</v>
      </c>
      <c r="F44" s="1">
        <v>72000</v>
      </c>
      <c r="G44" s="1">
        <v>5</v>
      </c>
      <c r="H44" s="1">
        <v>150000</v>
      </c>
      <c r="I44" s="1">
        <v>140000</v>
      </c>
      <c r="J44" s="2">
        <v>43713</v>
      </c>
      <c r="K44" s="4" t="s">
        <v>14</v>
      </c>
    </row>
    <row r="45" spans="1:11" x14ac:dyDescent="0.3">
      <c r="A45" s="3" t="s">
        <v>31</v>
      </c>
      <c r="B45" s="1" t="s">
        <v>32</v>
      </c>
      <c r="C45" s="1" t="s">
        <v>33</v>
      </c>
      <c r="D45" s="1" t="s">
        <v>34</v>
      </c>
      <c r="E45" s="1">
        <v>7</v>
      </c>
      <c r="F45" s="1">
        <v>68000</v>
      </c>
      <c r="G45" s="1">
        <v>5</v>
      </c>
      <c r="H45" s="1">
        <v>125000</v>
      </c>
      <c r="I45" s="1">
        <v>120000</v>
      </c>
      <c r="J45" s="2">
        <v>43201</v>
      </c>
      <c r="K45" s="4" t="s">
        <v>14</v>
      </c>
    </row>
    <row r="46" spans="1:11" x14ac:dyDescent="0.3">
      <c r="A46" s="3" t="s">
        <v>15</v>
      </c>
      <c r="B46" s="1" t="s">
        <v>16</v>
      </c>
      <c r="C46" s="1" t="s">
        <v>17</v>
      </c>
      <c r="D46" s="1" t="s">
        <v>18</v>
      </c>
      <c r="E46" s="1">
        <v>5</v>
      </c>
      <c r="F46" s="1">
        <v>48000</v>
      </c>
      <c r="G46" s="1">
        <v>5</v>
      </c>
      <c r="H46" s="1">
        <v>0</v>
      </c>
      <c r="I46" s="1">
        <v>0</v>
      </c>
      <c r="J46" s="2">
        <v>44022</v>
      </c>
      <c r="K46" s="4" t="s">
        <v>14</v>
      </c>
    </row>
    <row r="47" spans="1:11" x14ac:dyDescent="0.3">
      <c r="A47" s="3" t="s">
        <v>26</v>
      </c>
      <c r="B47" s="1" t="s">
        <v>27</v>
      </c>
      <c r="C47" s="1" t="s">
        <v>28</v>
      </c>
      <c r="D47" s="1" t="s">
        <v>29</v>
      </c>
      <c r="E47" s="1">
        <v>3</v>
      </c>
      <c r="F47" s="1">
        <v>50000</v>
      </c>
      <c r="G47" s="1">
        <v>4</v>
      </c>
      <c r="H47" s="1">
        <v>0</v>
      </c>
      <c r="I47" s="1">
        <v>0</v>
      </c>
      <c r="J47" s="2">
        <v>44701</v>
      </c>
      <c r="K47" s="4" t="s">
        <v>30</v>
      </c>
    </row>
    <row r="48" spans="1:11" x14ac:dyDescent="0.3">
      <c r="A48" s="3" t="s">
        <v>11</v>
      </c>
      <c r="B48" s="1" t="s">
        <v>12</v>
      </c>
      <c r="C48" s="1" t="s">
        <v>7</v>
      </c>
      <c r="D48" s="1" t="s">
        <v>13</v>
      </c>
      <c r="E48" s="1">
        <v>2</v>
      </c>
      <c r="F48" s="1">
        <v>32000</v>
      </c>
      <c r="G48" s="1">
        <v>4</v>
      </c>
      <c r="H48" s="1">
        <v>85000</v>
      </c>
      <c r="I48" s="1">
        <v>80000</v>
      </c>
      <c r="J48" s="2">
        <v>44941</v>
      </c>
      <c r="K48" s="4" t="s">
        <v>14</v>
      </c>
    </row>
    <row r="49" spans="1:11" x14ac:dyDescent="0.3">
      <c r="A49" s="3" t="s">
        <v>19</v>
      </c>
      <c r="B49" s="1" t="s">
        <v>20</v>
      </c>
      <c r="C49" s="1" t="s">
        <v>21</v>
      </c>
      <c r="D49" s="1" t="s">
        <v>22</v>
      </c>
      <c r="E49" s="1">
        <v>4</v>
      </c>
      <c r="F49" s="1">
        <v>55000</v>
      </c>
      <c r="G49" s="1">
        <v>3</v>
      </c>
      <c r="H49" s="1">
        <v>0</v>
      </c>
      <c r="I49" s="1">
        <v>0</v>
      </c>
      <c r="J49" s="2">
        <v>44245</v>
      </c>
      <c r="K49" s="4" t="s">
        <v>14</v>
      </c>
    </row>
    <row r="50" spans="1:11" x14ac:dyDescent="0.3">
      <c r="A50" s="3" t="s">
        <v>40</v>
      </c>
      <c r="B50" s="1" t="s">
        <v>41</v>
      </c>
      <c r="C50" s="1" t="s">
        <v>28</v>
      </c>
      <c r="D50" s="1" t="s">
        <v>18</v>
      </c>
      <c r="E50" s="1">
        <v>1</v>
      </c>
      <c r="F50" s="1">
        <v>28000</v>
      </c>
      <c r="G50" s="1">
        <v>3</v>
      </c>
      <c r="H50" s="1">
        <v>0</v>
      </c>
      <c r="I50" s="1">
        <v>0</v>
      </c>
      <c r="J50" s="2">
        <v>45702</v>
      </c>
      <c r="K50" s="4" t="s">
        <v>14</v>
      </c>
    </row>
    <row r="51" spans="1:11" ht="15" thickBot="1" x14ac:dyDescent="0.35">
      <c r="A51" s="5" t="s">
        <v>35</v>
      </c>
      <c r="B51" s="6" t="s">
        <v>36</v>
      </c>
      <c r="C51" s="6" t="s">
        <v>7</v>
      </c>
      <c r="D51" s="6" t="s">
        <v>37</v>
      </c>
      <c r="E51" s="6">
        <v>2</v>
      </c>
      <c r="F51" s="6">
        <v>34000</v>
      </c>
      <c r="G51" s="6">
        <v>2</v>
      </c>
      <c r="H51" s="6">
        <v>62000</v>
      </c>
      <c r="I51" s="6">
        <v>70000</v>
      </c>
      <c r="J51" s="7">
        <v>45299</v>
      </c>
      <c r="K51" s="8" t="s">
        <v>14</v>
      </c>
    </row>
    <row r="52" spans="1:11" ht="15" thickBot="1" x14ac:dyDescent="0.35"/>
    <row r="53" spans="1:11" ht="15" thickBot="1" x14ac:dyDescent="0.35">
      <c r="A53" s="14" t="s">
        <v>128</v>
      </c>
      <c r="B53" s="15"/>
      <c r="C53" s="15"/>
      <c r="D53" s="15"/>
      <c r="E53" s="15"/>
      <c r="F53" s="15"/>
      <c r="G53" s="15"/>
      <c r="H53" s="15"/>
      <c r="I53" s="15"/>
      <c r="J53" s="15"/>
      <c r="K53" s="16"/>
    </row>
    <row r="54" spans="1:11" ht="43.2" x14ac:dyDescent="0.3">
      <c r="A54" s="9" t="s">
        <v>0</v>
      </c>
      <c r="B54" s="10" t="s">
        <v>1</v>
      </c>
      <c r="C54" s="10" t="s">
        <v>2</v>
      </c>
      <c r="D54" s="10" t="s">
        <v>3</v>
      </c>
      <c r="E54" s="10" t="s">
        <v>4</v>
      </c>
      <c r="F54" s="10" t="s">
        <v>5</v>
      </c>
      <c r="G54" s="10" t="s">
        <v>6</v>
      </c>
      <c r="H54" s="10" t="s">
        <v>7</v>
      </c>
      <c r="I54" s="10" t="s">
        <v>8</v>
      </c>
      <c r="J54" s="10" t="s">
        <v>9</v>
      </c>
      <c r="K54" s="11" t="s">
        <v>10</v>
      </c>
    </row>
    <row r="55" spans="1:11" x14ac:dyDescent="0.3">
      <c r="A55" s="3" t="s">
        <v>38</v>
      </c>
      <c r="B55" s="1" t="s">
        <v>39</v>
      </c>
      <c r="C55" s="1" t="s">
        <v>21</v>
      </c>
      <c r="D55" s="1" t="s">
        <v>13</v>
      </c>
      <c r="E55" s="1">
        <v>8</v>
      </c>
      <c r="F55" s="1">
        <v>80000</v>
      </c>
      <c r="G55" s="1">
        <v>5</v>
      </c>
      <c r="H55" s="1">
        <v>0</v>
      </c>
      <c r="I55" s="1">
        <v>0</v>
      </c>
      <c r="J55" s="2">
        <v>43058</v>
      </c>
      <c r="K55" s="4" t="s">
        <v>14</v>
      </c>
    </row>
    <row r="56" spans="1:11" x14ac:dyDescent="0.3">
      <c r="A56" s="3" t="s">
        <v>19</v>
      </c>
      <c r="B56" s="1" t="s">
        <v>20</v>
      </c>
      <c r="C56" s="1" t="s">
        <v>21</v>
      </c>
      <c r="D56" s="1" t="s">
        <v>22</v>
      </c>
      <c r="E56" s="1">
        <v>4</v>
      </c>
      <c r="F56" s="1">
        <v>55000</v>
      </c>
      <c r="G56" s="1">
        <v>3</v>
      </c>
      <c r="H56" s="1">
        <v>0</v>
      </c>
      <c r="I56" s="1">
        <v>0</v>
      </c>
      <c r="J56" s="2">
        <v>44245</v>
      </c>
      <c r="K56" s="4" t="s">
        <v>14</v>
      </c>
    </row>
    <row r="57" spans="1:11" x14ac:dyDescent="0.3">
      <c r="A57" s="3" t="s">
        <v>15</v>
      </c>
      <c r="B57" s="1" t="s">
        <v>16</v>
      </c>
      <c r="C57" s="1" t="s">
        <v>17</v>
      </c>
      <c r="D57" s="1" t="s">
        <v>18</v>
      </c>
      <c r="E57" s="1">
        <v>5</v>
      </c>
      <c r="F57" s="1">
        <v>48000</v>
      </c>
      <c r="G57" s="1">
        <v>5</v>
      </c>
      <c r="H57" s="1">
        <v>0</v>
      </c>
      <c r="I57" s="1">
        <v>0</v>
      </c>
      <c r="J57" s="2">
        <v>44022</v>
      </c>
      <c r="K57" s="4" t="s">
        <v>14</v>
      </c>
    </row>
    <row r="58" spans="1:11" x14ac:dyDescent="0.3">
      <c r="A58" s="3" t="s">
        <v>40</v>
      </c>
      <c r="B58" s="1" t="s">
        <v>41</v>
      </c>
      <c r="C58" s="1" t="s">
        <v>28</v>
      </c>
      <c r="D58" s="1" t="s">
        <v>18</v>
      </c>
      <c r="E58" s="1">
        <v>1</v>
      </c>
      <c r="F58" s="1">
        <v>28000</v>
      </c>
      <c r="G58" s="1">
        <v>3</v>
      </c>
      <c r="H58" s="1">
        <v>0</v>
      </c>
      <c r="I58" s="1">
        <v>0</v>
      </c>
      <c r="J58" s="2">
        <v>45702</v>
      </c>
      <c r="K58" s="4" t="s">
        <v>14</v>
      </c>
    </row>
    <row r="59" spans="1:11" x14ac:dyDescent="0.3">
      <c r="A59" s="3" t="s">
        <v>31</v>
      </c>
      <c r="B59" s="1" t="s">
        <v>32</v>
      </c>
      <c r="C59" s="1" t="s">
        <v>33</v>
      </c>
      <c r="D59" s="1" t="s">
        <v>34</v>
      </c>
      <c r="E59" s="1">
        <v>7</v>
      </c>
      <c r="F59" s="1">
        <v>68000</v>
      </c>
      <c r="G59" s="1">
        <v>5</v>
      </c>
      <c r="H59" s="1">
        <v>125000</v>
      </c>
      <c r="I59" s="1">
        <v>120000</v>
      </c>
      <c r="J59" s="2">
        <v>43201</v>
      </c>
      <c r="K59" s="4" t="s">
        <v>14</v>
      </c>
    </row>
    <row r="60" spans="1:11" x14ac:dyDescent="0.3">
      <c r="A60" s="3" t="s">
        <v>42</v>
      </c>
      <c r="B60" s="1" t="s">
        <v>43</v>
      </c>
      <c r="C60" s="1" t="s">
        <v>7</v>
      </c>
      <c r="D60" s="1" t="s">
        <v>22</v>
      </c>
      <c r="E60" s="1">
        <v>9</v>
      </c>
      <c r="F60" s="1">
        <v>90000</v>
      </c>
      <c r="G60" s="1">
        <v>5</v>
      </c>
      <c r="H60" s="1">
        <v>180000</v>
      </c>
      <c r="I60" s="1">
        <v>170000</v>
      </c>
      <c r="J60" s="2">
        <v>42459</v>
      </c>
      <c r="K60" s="4" t="s">
        <v>14</v>
      </c>
    </row>
    <row r="61" spans="1:11" x14ac:dyDescent="0.3">
      <c r="A61" s="3" t="s">
        <v>23</v>
      </c>
      <c r="B61" s="1" t="s">
        <v>24</v>
      </c>
      <c r="C61" s="1" t="s">
        <v>7</v>
      </c>
      <c r="D61" s="1" t="s">
        <v>25</v>
      </c>
      <c r="E61" s="1">
        <v>6</v>
      </c>
      <c r="F61" s="1">
        <v>72000</v>
      </c>
      <c r="G61" s="1">
        <v>5</v>
      </c>
      <c r="H61" s="1">
        <v>150000</v>
      </c>
      <c r="I61" s="1">
        <v>140000</v>
      </c>
      <c r="J61" s="2">
        <v>43713</v>
      </c>
      <c r="K61" s="4" t="s">
        <v>14</v>
      </c>
    </row>
    <row r="62" spans="1:11" x14ac:dyDescent="0.3">
      <c r="A62" s="3" t="s">
        <v>35</v>
      </c>
      <c r="B62" s="1" t="s">
        <v>36</v>
      </c>
      <c r="C62" s="1" t="s">
        <v>7</v>
      </c>
      <c r="D62" s="1" t="s">
        <v>37</v>
      </c>
      <c r="E62" s="1">
        <v>2</v>
      </c>
      <c r="F62" s="1">
        <v>34000</v>
      </c>
      <c r="G62" s="1">
        <v>2</v>
      </c>
      <c r="H62" s="1">
        <v>62000</v>
      </c>
      <c r="I62" s="1">
        <v>70000</v>
      </c>
      <c r="J62" s="2">
        <v>45299</v>
      </c>
      <c r="K62" s="4" t="s">
        <v>14</v>
      </c>
    </row>
    <row r="63" spans="1:11" x14ac:dyDescent="0.3">
      <c r="A63" s="3" t="s">
        <v>11</v>
      </c>
      <c r="B63" s="1" t="s">
        <v>12</v>
      </c>
      <c r="C63" s="1" t="s">
        <v>7</v>
      </c>
      <c r="D63" s="1" t="s">
        <v>13</v>
      </c>
      <c r="E63" s="1">
        <v>2</v>
      </c>
      <c r="F63" s="1">
        <v>32000</v>
      </c>
      <c r="G63" s="1">
        <v>4</v>
      </c>
      <c r="H63" s="1">
        <v>85000</v>
      </c>
      <c r="I63" s="1">
        <v>80000</v>
      </c>
      <c r="J63" s="2">
        <v>44941</v>
      </c>
      <c r="K63" s="4" t="s">
        <v>14</v>
      </c>
    </row>
    <row r="64" spans="1:11" ht="15" thickBot="1" x14ac:dyDescent="0.35">
      <c r="A64" s="5" t="s">
        <v>26</v>
      </c>
      <c r="B64" s="6" t="s">
        <v>27</v>
      </c>
      <c r="C64" s="6" t="s">
        <v>28</v>
      </c>
      <c r="D64" s="6" t="s">
        <v>29</v>
      </c>
      <c r="E64" s="6">
        <v>3</v>
      </c>
      <c r="F64" s="6">
        <v>50000</v>
      </c>
      <c r="G64" s="6">
        <v>4</v>
      </c>
      <c r="H64" s="6">
        <v>0</v>
      </c>
      <c r="I64" s="6">
        <v>0</v>
      </c>
      <c r="J64" s="7">
        <v>44701</v>
      </c>
      <c r="K64" s="8" t="s">
        <v>30</v>
      </c>
    </row>
  </sheetData>
  <sortState xmlns:xlrd2="http://schemas.microsoft.com/office/spreadsheetml/2017/richdata2" ref="A55:K64">
    <sortCondition descending="1" ref="K55:K64" customList="Inactive,Active"/>
    <sortCondition ref="C55:C64"/>
    <sortCondition descending="1" ref="E55:E64"/>
  </sortState>
  <mergeCells count="5">
    <mergeCell ref="A14:K14"/>
    <mergeCell ref="A1:K1"/>
    <mergeCell ref="A27:K27"/>
    <mergeCell ref="A40:K40"/>
    <mergeCell ref="A53:K53"/>
  </mergeCells>
  <pageMargins left="0.25" right="0.25" top="0.75" bottom="0.75" header="0.3" footer="0.3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C03F-61F5-4FF2-8B05-C5F14E4813E2}">
  <sheetPr>
    <pageSetUpPr fitToPage="1"/>
  </sheetPr>
  <dimension ref="A1:K44"/>
  <sheetViews>
    <sheetView workbookViewId="0">
      <selection sqref="A1:K44"/>
    </sheetView>
  </sheetViews>
  <sheetFormatPr defaultRowHeight="14.4" x14ac:dyDescent="0.3"/>
  <cols>
    <col min="1" max="1" width="7.6640625" bestFit="1" customWidth="1"/>
    <col min="2" max="2" width="15.77734375" bestFit="1" customWidth="1"/>
    <col min="3" max="3" width="11.5546875" bestFit="1" customWidth="1"/>
    <col min="4" max="4" width="10.21875" bestFit="1" customWidth="1"/>
    <col min="5" max="5" width="16.77734375" bestFit="1" customWidth="1"/>
    <col min="6" max="6" width="6.21875" bestFit="1" customWidth="1"/>
    <col min="7" max="7" width="18.88671875" bestFit="1" customWidth="1"/>
    <col min="8" max="9" width="7" bestFit="1" customWidth="1"/>
    <col min="10" max="10" width="12.109375" bestFit="1" customWidth="1"/>
    <col min="11" max="11" width="7.6640625" bestFit="1" customWidth="1"/>
  </cols>
  <sheetData>
    <row r="1" spans="1:11" s="23" customForma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</row>
    <row r="2" spans="1:11" x14ac:dyDescent="0.3">
      <c r="A2" s="3" t="s">
        <v>11</v>
      </c>
      <c r="B2" s="1" t="s">
        <v>12</v>
      </c>
      <c r="C2" s="1" t="s">
        <v>7</v>
      </c>
      <c r="D2" s="1" t="s">
        <v>13</v>
      </c>
      <c r="E2" s="1">
        <v>2</v>
      </c>
      <c r="F2" s="1">
        <v>32000</v>
      </c>
      <c r="G2" s="1">
        <v>4</v>
      </c>
      <c r="H2" s="1">
        <v>85000</v>
      </c>
      <c r="I2" s="1">
        <v>80000</v>
      </c>
      <c r="J2" s="2">
        <v>44941</v>
      </c>
      <c r="K2" s="4" t="s">
        <v>14</v>
      </c>
    </row>
    <row r="3" spans="1:11" x14ac:dyDescent="0.3">
      <c r="A3" s="3" t="s">
        <v>15</v>
      </c>
      <c r="B3" s="1" t="s">
        <v>16</v>
      </c>
      <c r="C3" s="1" t="s">
        <v>17</v>
      </c>
      <c r="D3" s="1" t="s">
        <v>18</v>
      </c>
      <c r="E3" s="1">
        <v>5</v>
      </c>
      <c r="F3" s="1">
        <v>48000</v>
      </c>
      <c r="G3" s="1">
        <v>5</v>
      </c>
      <c r="H3" s="1">
        <v>0</v>
      </c>
      <c r="I3" s="1">
        <v>0</v>
      </c>
      <c r="J3" s="2">
        <v>44022</v>
      </c>
      <c r="K3" s="4" t="s">
        <v>14</v>
      </c>
    </row>
    <row r="4" spans="1:11" x14ac:dyDescent="0.3">
      <c r="A4" s="3" t="s">
        <v>19</v>
      </c>
      <c r="B4" s="1" t="s">
        <v>20</v>
      </c>
      <c r="C4" s="1" t="s">
        <v>21</v>
      </c>
      <c r="D4" s="1" t="s">
        <v>22</v>
      </c>
      <c r="E4" s="1">
        <v>4</v>
      </c>
      <c r="F4" s="1">
        <v>55000</v>
      </c>
      <c r="G4" s="1">
        <v>3</v>
      </c>
      <c r="H4" s="1">
        <v>0</v>
      </c>
      <c r="I4" s="1">
        <v>0</v>
      </c>
      <c r="J4" s="2">
        <v>44245</v>
      </c>
      <c r="K4" s="4" t="s">
        <v>14</v>
      </c>
    </row>
    <row r="5" spans="1:11" x14ac:dyDescent="0.3">
      <c r="A5" s="3" t="s">
        <v>23</v>
      </c>
      <c r="B5" s="1" t="s">
        <v>24</v>
      </c>
      <c r="C5" s="1" t="s">
        <v>7</v>
      </c>
      <c r="D5" s="1" t="s">
        <v>25</v>
      </c>
      <c r="E5" s="1">
        <v>6</v>
      </c>
      <c r="F5" s="1">
        <v>72000</v>
      </c>
      <c r="G5" s="1">
        <v>5</v>
      </c>
      <c r="H5" s="1">
        <v>150000</v>
      </c>
      <c r="I5" s="1">
        <v>140000</v>
      </c>
      <c r="J5" s="2">
        <v>43713</v>
      </c>
      <c r="K5" s="4" t="s">
        <v>14</v>
      </c>
    </row>
    <row r="6" spans="1:11" x14ac:dyDescent="0.3">
      <c r="A6" s="3" t="s">
        <v>26</v>
      </c>
      <c r="B6" s="1" t="s">
        <v>27</v>
      </c>
      <c r="C6" s="1" t="s">
        <v>28</v>
      </c>
      <c r="D6" s="1" t="s">
        <v>29</v>
      </c>
      <c r="E6" s="1">
        <v>3</v>
      </c>
      <c r="F6" s="1">
        <v>50000</v>
      </c>
      <c r="G6" s="1">
        <v>4</v>
      </c>
      <c r="H6" s="1">
        <v>0</v>
      </c>
      <c r="I6" s="1">
        <v>0</v>
      </c>
      <c r="J6" s="2">
        <v>44701</v>
      </c>
      <c r="K6" s="4" t="s">
        <v>30</v>
      </c>
    </row>
    <row r="7" spans="1:11" x14ac:dyDescent="0.3">
      <c r="A7" s="3" t="s">
        <v>31</v>
      </c>
      <c r="B7" s="1" t="s">
        <v>32</v>
      </c>
      <c r="C7" s="1" t="s">
        <v>33</v>
      </c>
      <c r="D7" s="1" t="s">
        <v>34</v>
      </c>
      <c r="E7" s="1">
        <v>7</v>
      </c>
      <c r="F7" s="1">
        <v>68000</v>
      </c>
      <c r="G7" s="1">
        <v>5</v>
      </c>
      <c r="H7" s="1">
        <v>125000</v>
      </c>
      <c r="I7" s="1">
        <v>120000</v>
      </c>
      <c r="J7" s="2">
        <v>43201</v>
      </c>
      <c r="K7" s="4" t="s">
        <v>14</v>
      </c>
    </row>
    <row r="8" spans="1:11" x14ac:dyDescent="0.3">
      <c r="A8" s="3" t="s">
        <v>35</v>
      </c>
      <c r="B8" s="1" t="s">
        <v>36</v>
      </c>
      <c r="C8" s="1" t="s">
        <v>7</v>
      </c>
      <c r="D8" s="1" t="s">
        <v>37</v>
      </c>
      <c r="E8" s="1">
        <v>2</v>
      </c>
      <c r="F8" s="1">
        <v>34000</v>
      </c>
      <c r="G8" s="1">
        <v>2</v>
      </c>
      <c r="H8" s="1">
        <v>62000</v>
      </c>
      <c r="I8" s="1">
        <v>70000</v>
      </c>
      <c r="J8" s="2">
        <v>45299</v>
      </c>
      <c r="K8" s="4" t="s">
        <v>14</v>
      </c>
    </row>
    <row r="9" spans="1:11" x14ac:dyDescent="0.3">
      <c r="A9" s="3" t="s">
        <v>38</v>
      </c>
      <c r="B9" s="1" t="s">
        <v>39</v>
      </c>
      <c r="C9" s="1" t="s">
        <v>21</v>
      </c>
      <c r="D9" s="1" t="s">
        <v>13</v>
      </c>
      <c r="E9" s="1">
        <v>8</v>
      </c>
      <c r="F9" s="1">
        <v>80000</v>
      </c>
      <c r="G9" s="1">
        <v>5</v>
      </c>
      <c r="H9" s="1">
        <v>0</v>
      </c>
      <c r="I9" s="1">
        <v>0</v>
      </c>
      <c r="J9" s="2">
        <v>43058</v>
      </c>
      <c r="K9" s="4" t="s">
        <v>14</v>
      </c>
    </row>
    <row r="10" spans="1:11" x14ac:dyDescent="0.3">
      <c r="A10" s="3" t="s">
        <v>40</v>
      </c>
      <c r="B10" s="1" t="s">
        <v>41</v>
      </c>
      <c r="C10" s="1" t="s">
        <v>28</v>
      </c>
      <c r="D10" s="1" t="s">
        <v>18</v>
      </c>
      <c r="E10" s="1">
        <v>1</v>
      </c>
      <c r="F10" s="1">
        <v>28000</v>
      </c>
      <c r="G10" s="1">
        <v>3</v>
      </c>
      <c r="H10" s="1">
        <v>0</v>
      </c>
      <c r="I10" s="1">
        <v>0</v>
      </c>
      <c r="J10" s="2">
        <v>45702</v>
      </c>
      <c r="K10" s="4" t="s">
        <v>14</v>
      </c>
    </row>
    <row r="11" spans="1:11" x14ac:dyDescent="0.3">
      <c r="A11" s="3" t="s">
        <v>42</v>
      </c>
      <c r="B11" s="1" t="s">
        <v>43</v>
      </c>
      <c r="C11" s="1" t="s">
        <v>7</v>
      </c>
      <c r="D11" s="1" t="s">
        <v>22</v>
      </c>
      <c r="E11" s="1">
        <v>9</v>
      </c>
      <c r="F11" s="1">
        <v>90000</v>
      </c>
      <c r="G11" s="1">
        <v>5</v>
      </c>
      <c r="H11" s="1">
        <v>180000</v>
      </c>
      <c r="I11" s="1">
        <v>170000</v>
      </c>
      <c r="J11" s="2">
        <v>42459</v>
      </c>
      <c r="K11" s="4" t="s">
        <v>14</v>
      </c>
    </row>
    <row r="13" spans="1:11" x14ac:dyDescent="0.3">
      <c r="A13" s="24" t="s">
        <v>129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x14ac:dyDescent="0.3">
      <c r="A14" s="1" t="str" cm="1">
        <f t="array" ref="A14:K17">_xlfn._xlws.FILTER(A1:K11,C1:C11="Sales")</f>
        <v>E001</v>
      </c>
      <c r="B14" s="1" t="str">
        <v>Amit</v>
      </c>
      <c r="C14" s="1" t="str">
        <v>Sales</v>
      </c>
      <c r="D14" s="1" t="str">
        <v>Kolkata</v>
      </c>
      <c r="E14" s="1">
        <v>2</v>
      </c>
      <c r="F14" s="1">
        <v>32000</v>
      </c>
      <c r="G14" s="1">
        <v>4</v>
      </c>
      <c r="H14" s="1">
        <v>85000</v>
      </c>
      <c r="I14" s="1">
        <v>80000</v>
      </c>
      <c r="J14" s="2">
        <v>44941</v>
      </c>
      <c r="K14" s="1" t="str">
        <v>Active</v>
      </c>
    </row>
    <row r="15" spans="1:11" x14ac:dyDescent="0.3">
      <c r="A15" s="1" t="str">
        <v>E004</v>
      </c>
      <c r="B15" s="1" t="str">
        <v>Sneha</v>
      </c>
      <c r="C15" s="1" t="str">
        <v>Sales</v>
      </c>
      <c r="D15" s="1" t="str">
        <v>Bangalore</v>
      </c>
      <c r="E15" s="1">
        <v>6</v>
      </c>
      <c r="F15" s="1">
        <v>72000</v>
      </c>
      <c r="G15" s="1">
        <v>5</v>
      </c>
      <c r="H15" s="1">
        <v>150000</v>
      </c>
      <c r="I15" s="1">
        <v>140000</v>
      </c>
      <c r="J15" s="2">
        <v>43713</v>
      </c>
      <c r="K15" s="1" t="str">
        <v>Active</v>
      </c>
    </row>
    <row r="16" spans="1:11" x14ac:dyDescent="0.3">
      <c r="A16" s="1" t="str">
        <v>E007</v>
      </c>
      <c r="B16" s="1" t="str">
        <v>Arjun</v>
      </c>
      <c r="C16" s="1" t="str">
        <v>Sales</v>
      </c>
      <c r="D16" s="1" t="str">
        <v>Chennai</v>
      </c>
      <c r="E16" s="1">
        <v>2</v>
      </c>
      <c r="F16" s="1">
        <v>34000</v>
      </c>
      <c r="G16" s="1">
        <v>2</v>
      </c>
      <c r="H16" s="1">
        <v>62000</v>
      </c>
      <c r="I16" s="1">
        <v>70000</v>
      </c>
      <c r="J16" s="2">
        <v>45299</v>
      </c>
      <c r="K16" s="1" t="str">
        <v>Active</v>
      </c>
    </row>
    <row r="17" spans="1:11" x14ac:dyDescent="0.3">
      <c r="A17" s="1" t="str">
        <v>E010</v>
      </c>
      <c r="B17" s="1" t="str">
        <v>Meera</v>
      </c>
      <c r="C17" s="1" t="str">
        <v>Sales</v>
      </c>
      <c r="D17" s="1" t="str">
        <v>Mumbai</v>
      </c>
      <c r="E17" s="1">
        <v>9</v>
      </c>
      <c r="F17" s="1">
        <v>90000</v>
      </c>
      <c r="G17" s="1">
        <v>5</v>
      </c>
      <c r="H17" s="1">
        <v>180000</v>
      </c>
      <c r="I17" s="1">
        <v>170000</v>
      </c>
      <c r="J17" s="2">
        <v>42459</v>
      </c>
      <c r="K17" s="1" t="str">
        <v>Active</v>
      </c>
    </row>
    <row r="19" spans="1:11" x14ac:dyDescent="0.3">
      <c r="A19" s="24" t="s">
        <v>130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x14ac:dyDescent="0.3">
      <c r="A20" s="26" t="str" cm="1">
        <f t="array" ref="A20:K24">_xlfn._xlws.FILTER(A1:K11,H1:H11&gt;70000)</f>
        <v>Emp_ID</v>
      </c>
      <c r="B20" s="26" t="str">
        <v>Employee_Name</v>
      </c>
      <c r="C20" s="26" t="str">
        <v>Department</v>
      </c>
      <c r="D20" s="26" t="str">
        <v>City</v>
      </c>
      <c r="E20" s="26" t="str">
        <v>Experience_Years</v>
      </c>
      <c r="F20" s="26" t="str">
        <v>Salary</v>
      </c>
      <c r="G20" s="26" t="str">
        <v>Performance_Rating</v>
      </c>
      <c r="H20" s="26" t="str">
        <v>Sales</v>
      </c>
      <c r="I20" s="26" t="str">
        <v>Target</v>
      </c>
      <c r="J20" s="26" t="str">
        <v>Joining_Date</v>
      </c>
      <c r="K20" s="26" t="str">
        <v>Status</v>
      </c>
    </row>
    <row r="21" spans="1:11" x14ac:dyDescent="0.3">
      <c r="A21" s="1" t="str">
        <v>E001</v>
      </c>
      <c r="B21" s="1" t="str">
        <v>Amit</v>
      </c>
      <c r="C21" s="1" t="str">
        <v>Sales</v>
      </c>
      <c r="D21" s="1" t="str">
        <v>Kolkata</v>
      </c>
      <c r="E21" s="1">
        <v>2</v>
      </c>
      <c r="F21" s="1">
        <v>32000</v>
      </c>
      <c r="G21" s="1">
        <v>4</v>
      </c>
      <c r="H21" s="1">
        <v>85000</v>
      </c>
      <c r="I21" s="1">
        <v>80000</v>
      </c>
      <c r="J21" s="2">
        <v>44941</v>
      </c>
      <c r="K21" s="1" t="str">
        <v>Active</v>
      </c>
    </row>
    <row r="22" spans="1:11" x14ac:dyDescent="0.3">
      <c r="A22" s="1" t="str">
        <v>E004</v>
      </c>
      <c r="B22" s="1" t="str">
        <v>Sneha</v>
      </c>
      <c r="C22" s="1" t="str">
        <v>Sales</v>
      </c>
      <c r="D22" s="1" t="str">
        <v>Bangalore</v>
      </c>
      <c r="E22" s="1">
        <v>6</v>
      </c>
      <c r="F22" s="1">
        <v>72000</v>
      </c>
      <c r="G22" s="1">
        <v>5</v>
      </c>
      <c r="H22" s="1">
        <v>150000</v>
      </c>
      <c r="I22" s="1">
        <v>140000</v>
      </c>
      <c r="J22" s="2">
        <v>43713</v>
      </c>
      <c r="K22" s="1" t="str">
        <v>Active</v>
      </c>
    </row>
    <row r="23" spans="1:11" x14ac:dyDescent="0.3">
      <c r="A23" s="1" t="str">
        <v>E006</v>
      </c>
      <c r="B23" s="1" t="str">
        <v>Ananya</v>
      </c>
      <c r="C23" s="1" t="str">
        <v>Marketing</v>
      </c>
      <c r="D23" s="1" t="str">
        <v>Pune</v>
      </c>
      <c r="E23" s="1">
        <v>7</v>
      </c>
      <c r="F23" s="1">
        <v>68000</v>
      </c>
      <c r="G23" s="1">
        <v>5</v>
      </c>
      <c r="H23" s="1">
        <v>125000</v>
      </c>
      <c r="I23" s="1">
        <v>120000</v>
      </c>
      <c r="J23" s="2">
        <v>43201</v>
      </c>
      <c r="K23" s="1" t="str">
        <v>Active</v>
      </c>
    </row>
    <row r="24" spans="1:11" x14ac:dyDescent="0.3">
      <c r="A24" s="1" t="str">
        <v>E010</v>
      </c>
      <c r="B24" s="1" t="str">
        <v>Meera</v>
      </c>
      <c r="C24" s="1" t="str">
        <v>Sales</v>
      </c>
      <c r="D24" s="1" t="str">
        <v>Mumbai</v>
      </c>
      <c r="E24" s="1">
        <v>9</v>
      </c>
      <c r="F24" s="1">
        <v>90000</v>
      </c>
      <c r="G24" s="1">
        <v>5</v>
      </c>
      <c r="H24" s="1">
        <v>180000</v>
      </c>
      <c r="I24" s="1">
        <v>170000</v>
      </c>
      <c r="J24" s="2">
        <v>42459</v>
      </c>
      <c r="K24" s="1" t="str">
        <v>Active</v>
      </c>
    </row>
    <row r="26" spans="1:11" x14ac:dyDescent="0.3">
      <c r="A26" s="24" t="s">
        <v>131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x14ac:dyDescent="0.3">
      <c r="A27" s="1" t="str" cm="1">
        <f t="array" ref="A27:K28">_xlfn._xlws.FILTER(A1:K11,(C1:C11="Sales")*(G1:G11=5)*(K1:K11="Active"),"No matching records")</f>
        <v>E004</v>
      </c>
      <c r="B27" s="1" t="str">
        <v>Sneha</v>
      </c>
      <c r="C27" s="1" t="str">
        <v>Sales</v>
      </c>
      <c r="D27" s="1" t="str">
        <v>Bangalore</v>
      </c>
      <c r="E27" s="1">
        <v>6</v>
      </c>
      <c r="F27" s="1">
        <v>72000</v>
      </c>
      <c r="G27" s="1">
        <v>5</v>
      </c>
      <c r="H27" s="1">
        <v>150000</v>
      </c>
      <c r="I27" s="1">
        <v>140000</v>
      </c>
      <c r="J27" s="2">
        <v>43713</v>
      </c>
      <c r="K27" s="1" t="str">
        <v>Active</v>
      </c>
    </row>
    <row r="28" spans="1:11" x14ac:dyDescent="0.3">
      <c r="A28" s="1" t="str">
        <v>E010</v>
      </c>
      <c r="B28" s="1" t="str">
        <v>Meera</v>
      </c>
      <c r="C28" s="1" t="str">
        <v>Sales</v>
      </c>
      <c r="D28" s="1" t="str">
        <v>Mumbai</v>
      </c>
      <c r="E28" s="1">
        <v>9</v>
      </c>
      <c r="F28" s="1">
        <v>90000</v>
      </c>
      <c r="G28" s="1">
        <v>5</v>
      </c>
      <c r="H28" s="1">
        <v>180000</v>
      </c>
      <c r="I28" s="1">
        <v>170000</v>
      </c>
      <c r="J28" s="2">
        <v>42459</v>
      </c>
      <c r="K28" s="1" t="str">
        <v>Active</v>
      </c>
    </row>
    <row r="30" spans="1:11" x14ac:dyDescent="0.3">
      <c r="A30" s="25" t="s">
        <v>132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x14ac:dyDescent="0.3">
      <c r="A31" s="26" t="str" cm="1">
        <f t="array" ref="A31:K41">_xlfn._xlws.FILTER(A1:K11,J1:J11&gt;1-1-2022,"No Record Found")</f>
        <v>Emp_ID</v>
      </c>
      <c r="B31" s="26" t="str">
        <v>Employee_Name</v>
      </c>
      <c r="C31" s="26" t="str">
        <v>Department</v>
      </c>
      <c r="D31" s="26" t="str">
        <v>City</v>
      </c>
      <c r="E31" s="26" t="str">
        <v>Experience_Years</v>
      </c>
      <c r="F31" s="26" t="str">
        <v>Salary</v>
      </c>
      <c r="G31" s="26" t="str">
        <v>Performance_Rating</v>
      </c>
      <c r="H31" s="26" t="str">
        <v>Sales</v>
      </c>
      <c r="I31" s="26" t="str">
        <v>Target</v>
      </c>
      <c r="J31" s="26" t="str">
        <v>Joining_Date</v>
      </c>
      <c r="K31" s="26" t="str">
        <v>Status</v>
      </c>
    </row>
    <row r="32" spans="1:11" x14ac:dyDescent="0.3">
      <c r="A32" s="1" t="str">
        <v>E001</v>
      </c>
      <c r="B32" s="1" t="str">
        <v>Amit</v>
      </c>
      <c r="C32" s="1" t="str">
        <v>Sales</v>
      </c>
      <c r="D32" s="1" t="str">
        <v>Kolkata</v>
      </c>
      <c r="E32" s="1">
        <v>2</v>
      </c>
      <c r="F32" s="1">
        <v>32000</v>
      </c>
      <c r="G32" s="1">
        <v>4</v>
      </c>
      <c r="H32" s="1">
        <v>85000</v>
      </c>
      <c r="I32" s="1">
        <v>80000</v>
      </c>
      <c r="J32" s="2">
        <v>44941</v>
      </c>
      <c r="K32" s="1" t="str">
        <v>Active</v>
      </c>
    </row>
    <row r="33" spans="1:11" x14ac:dyDescent="0.3">
      <c r="A33" s="1" t="str">
        <v>E002</v>
      </c>
      <c r="B33" s="1" t="str">
        <v>Priya</v>
      </c>
      <c r="C33" s="1" t="str">
        <v>HR</v>
      </c>
      <c r="D33" s="1" t="str">
        <v>Delhi</v>
      </c>
      <c r="E33" s="1">
        <v>5</v>
      </c>
      <c r="F33" s="1">
        <v>48000</v>
      </c>
      <c r="G33" s="1">
        <v>5</v>
      </c>
      <c r="H33" s="1">
        <v>0</v>
      </c>
      <c r="I33" s="1">
        <v>0</v>
      </c>
      <c r="J33" s="2">
        <v>44022</v>
      </c>
      <c r="K33" s="1" t="str">
        <v>Active</v>
      </c>
    </row>
    <row r="34" spans="1:11" x14ac:dyDescent="0.3">
      <c r="A34" s="1" t="str">
        <v>E003</v>
      </c>
      <c r="B34" s="1" t="str">
        <v>Rahul</v>
      </c>
      <c r="C34" s="1" t="str">
        <v>Finance</v>
      </c>
      <c r="D34" s="1" t="str">
        <v>Mumbai</v>
      </c>
      <c r="E34" s="1">
        <v>4</v>
      </c>
      <c r="F34" s="1">
        <v>55000</v>
      </c>
      <c r="G34" s="1">
        <v>3</v>
      </c>
      <c r="H34" s="1">
        <v>0</v>
      </c>
      <c r="I34" s="1">
        <v>0</v>
      </c>
      <c r="J34" s="2">
        <v>44245</v>
      </c>
      <c r="K34" s="1" t="str">
        <v>Active</v>
      </c>
    </row>
    <row r="35" spans="1:11" x14ac:dyDescent="0.3">
      <c r="A35" s="1" t="str">
        <v>E004</v>
      </c>
      <c r="B35" s="1" t="str">
        <v>Sneha</v>
      </c>
      <c r="C35" s="1" t="str">
        <v>Sales</v>
      </c>
      <c r="D35" s="1" t="str">
        <v>Bangalore</v>
      </c>
      <c r="E35" s="1">
        <v>6</v>
      </c>
      <c r="F35" s="1">
        <v>72000</v>
      </c>
      <c r="G35" s="1">
        <v>5</v>
      </c>
      <c r="H35" s="1">
        <v>150000</v>
      </c>
      <c r="I35" s="1">
        <v>140000</v>
      </c>
      <c r="J35" s="2">
        <v>43713</v>
      </c>
      <c r="K35" s="1" t="str">
        <v>Active</v>
      </c>
    </row>
    <row r="36" spans="1:11" x14ac:dyDescent="0.3">
      <c r="A36" s="1" t="str">
        <v>E005</v>
      </c>
      <c r="B36" s="1" t="str">
        <v>Rohit</v>
      </c>
      <c r="C36" s="1" t="str">
        <v>IT</v>
      </c>
      <c r="D36" s="1" t="str">
        <v>Hyderabad</v>
      </c>
      <c r="E36" s="1">
        <v>3</v>
      </c>
      <c r="F36" s="1">
        <v>50000</v>
      </c>
      <c r="G36" s="1">
        <v>4</v>
      </c>
      <c r="H36" s="1">
        <v>0</v>
      </c>
      <c r="I36" s="1">
        <v>0</v>
      </c>
      <c r="J36" s="2">
        <v>44701</v>
      </c>
      <c r="K36" s="1" t="str">
        <v>Inactive</v>
      </c>
    </row>
    <row r="37" spans="1:11" x14ac:dyDescent="0.3">
      <c r="A37" s="1" t="str">
        <v>E006</v>
      </c>
      <c r="B37" s="1" t="str">
        <v>Ananya</v>
      </c>
      <c r="C37" s="1" t="str">
        <v>Marketing</v>
      </c>
      <c r="D37" s="1" t="str">
        <v>Pune</v>
      </c>
      <c r="E37" s="1">
        <v>7</v>
      </c>
      <c r="F37" s="1">
        <v>68000</v>
      </c>
      <c r="G37" s="1">
        <v>5</v>
      </c>
      <c r="H37" s="1">
        <v>125000</v>
      </c>
      <c r="I37" s="1">
        <v>120000</v>
      </c>
      <c r="J37" s="2">
        <v>43201</v>
      </c>
      <c r="K37" s="1" t="str">
        <v>Active</v>
      </c>
    </row>
    <row r="38" spans="1:11" x14ac:dyDescent="0.3">
      <c r="A38" s="1" t="str">
        <v>E007</v>
      </c>
      <c r="B38" s="1" t="str">
        <v>Arjun</v>
      </c>
      <c r="C38" s="1" t="str">
        <v>Sales</v>
      </c>
      <c r="D38" s="1" t="str">
        <v>Chennai</v>
      </c>
      <c r="E38" s="1">
        <v>2</v>
      </c>
      <c r="F38" s="1">
        <v>34000</v>
      </c>
      <c r="G38" s="1">
        <v>2</v>
      </c>
      <c r="H38" s="1">
        <v>62000</v>
      </c>
      <c r="I38" s="1">
        <v>70000</v>
      </c>
      <c r="J38" s="2">
        <v>45299</v>
      </c>
      <c r="K38" s="1" t="str">
        <v>Active</v>
      </c>
    </row>
    <row r="39" spans="1:11" x14ac:dyDescent="0.3">
      <c r="A39" s="1" t="str">
        <v>E008</v>
      </c>
      <c r="B39" s="1" t="str">
        <v>Neha</v>
      </c>
      <c r="C39" s="1" t="str">
        <v>Finance</v>
      </c>
      <c r="D39" s="1" t="str">
        <v>Kolkata</v>
      </c>
      <c r="E39" s="1">
        <v>8</v>
      </c>
      <c r="F39" s="1">
        <v>80000</v>
      </c>
      <c r="G39" s="1">
        <v>5</v>
      </c>
      <c r="H39" s="1">
        <v>0</v>
      </c>
      <c r="I39" s="1">
        <v>0</v>
      </c>
      <c r="J39" s="2">
        <v>43058</v>
      </c>
      <c r="K39" s="1" t="str">
        <v>Active</v>
      </c>
    </row>
    <row r="40" spans="1:11" x14ac:dyDescent="0.3">
      <c r="A40" s="1" t="str">
        <v>E009</v>
      </c>
      <c r="B40" s="1" t="str">
        <v>Karan</v>
      </c>
      <c r="C40" s="1" t="str">
        <v>IT</v>
      </c>
      <c r="D40" s="1" t="str">
        <v>Delhi</v>
      </c>
      <c r="E40" s="1">
        <v>1</v>
      </c>
      <c r="F40" s="1">
        <v>28000</v>
      </c>
      <c r="G40" s="1">
        <v>3</v>
      </c>
      <c r="H40" s="1">
        <v>0</v>
      </c>
      <c r="I40" s="1">
        <v>0</v>
      </c>
      <c r="J40" s="2">
        <v>45702</v>
      </c>
      <c r="K40" s="1" t="str">
        <v>Active</v>
      </c>
    </row>
    <row r="41" spans="1:11" x14ac:dyDescent="0.3">
      <c r="A41" s="1" t="str">
        <v>E010</v>
      </c>
      <c r="B41" s="1" t="str">
        <v>Meera</v>
      </c>
      <c r="C41" s="1" t="str">
        <v>Sales</v>
      </c>
      <c r="D41" s="1" t="str">
        <v>Mumbai</v>
      </c>
      <c r="E41" s="1">
        <v>9</v>
      </c>
      <c r="F41" s="1">
        <v>90000</v>
      </c>
      <c r="G41" s="1">
        <v>5</v>
      </c>
      <c r="H41" s="1">
        <v>180000</v>
      </c>
      <c r="I41" s="1">
        <v>170000</v>
      </c>
      <c r="J41" s="2">
        <v>42459</v>
      </c>
      <c r="K41" s="1" t="str">
        <v>Active</v>
      </c>
    </row>
    <row r="43" spans="1:11" x14ac:dyDescent="0.3">
      <c r="A43" s="24" t="s">
        <v>133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1" x14ac:dyDescent="0.3">
      <c r="A44" s="1" t="str" cm="1">
        <f t="array" ref="A44:K44">_xlfn._xlws.FILTER(A1:K11,(E1:E11&gt;5)*(F1:F11&gt;60000)*(D1:D11="Bangalore"),"No record found")</f>
        <v>E004</v>
      </c>
      <c r="B44" s="1" t="str">
        <v>Sneha</v>
      </c>
      <c r="C44" s="1" t="str">
        <v>Sales</v>
      </c>
      <c r="D44" s="1" t="str">
        <v>Bangalore</v>
      </c>
      <c r="E44" s="1">
        <v>6</v>
      </c>
      <c r="F44" s="1">
        <v>72000</v>
      </c>
      <c r="G44" s="1">
        <v>5</v>
      </c>
      <c r="H44" s="1">
        <v>150000</v>
      </c>
      <c r="I44" s="1">
        <v>140000</v>
      </c>
      <c r="J44" s="1">
        <v>43713</v>
      </c>
      <c r="K44" s="1" t="str">
        <v>Active</v>
      </c>
    </row>
  </sheetData>
  <mergeCells count="5">
    <mergeCell ref="A13:K13"/>
    <mergeCell ref="A19:K19"/>
    <mergeCell ref="A26:K26"/>
    <mergeCell ref="A30:K30"/>
    <mergeCell ref="A43:K43"/>
  </mergeCells>
  <pageMargins left="0.25" right="0.25" top="0.75" bottom="0.75" header="0.3" footer="0.3"/>
  <pageSetup scale="75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87F1-AC18-4714-89C1-07E8668000F9}">
  <sheetPr>
    <pageSetUpPr fitToPage="1"/>
  </sheetPr>
  <dimension ref="A1:K59"/>
  <sheetViews>
    <sheetView tabSelected="1" workbookViewId="0">
      <selection activeCell="M18" sqref="M18"/>
    </sheetView>
  </sheetViews>
  <sheetFormatPr defaultRowHeight="14.4" x14ac:dyDescent="0.3"/>
  <cols>
    <col min="1" max="1" width="7.6640625" bestFit="1" customWidth="1"/>
    <col min="2" max="2" width="15.77734375" bestFit="1" customWidth="1"/>
    <col min="3" max="3" width="11.5546875" bestFit="1" customWidth="1"/>
    <col min="4" max="4" width="10.21875" bestFit="1" customWidth="1"/>
    <col min="5" max="5" width="16.77734375" bestFit="1" customWidth="1"/>
    <col min="6" max="6" width="6.21875" bestFit="1" customWidth="1"/>
    <col min="7" max="7" width="18.88671875" bestFit="1" customWidth="1"/>
    <col min="8" max="9" width="7" bestFit="1" customWidth="1"/>
    <col min="10" max="10" width="12.109375" bestFit="1" customWidth="1"/>
    <col min="11" max="11" width="7.6640625" bestFit="1" customWidth="1"/>
  </cols>
  <sheetData>
    <row r="1" spans="1:11" s="23" customForma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</row>
    <row r="2" spans="1:11" x14ac:dyDescent="0.3">
      <c r="A2" s="3" t="s">
        <v>11</v>
      </c>
      <c r="B2" s="1" t="s">
        <v>12</v>
      </c>
      <c r="C2" s="1" t="s">
        <v>7</v>
      </c>
      <c r="D2" s="1" t="s">
        <v>13</v>
      </c>
      <c r="E2" s="1">
        <v>2</v>
      </c>
      <c r="F2" s="1">
        <v>32000</v>
      </c>
      <c r="G2" s="1">
        <v>4</v>
      </c>
      <c r="H2" s="1">
        <v>85000</v>
      </c>
      <c r="I2" s="1">
        <v>80000</v>
      </c>
      <c r="J2" s="2">
        <v>44941</v>
      </c>
      <c r="K2" s="4" t="s">
        <v>14</v>
      </c>
    </row>
    <row r="3" spans="1:11" x14ac:dyDescent="0.3">
      <c r="A3" s="3" t="s">
        <v>15</v>
      </c>
      <c r="B3" s="1" t="s">
        <v>16</v>
      </c>
      <c r="C3" s="1" t="s">
        <v>17</v>
      </c>
      <c r="D3" s="1" t="s">
        <v>18</v>
      </c>
      <c r="E3" s="1">
        <v>5</v>
      </c>
      <c r="F3" s="1">
        <v>48000</v>
      </c>
      <c r="G3" s="1">
        <v>5</v>
      </c>
      <c r="H3" s="1">
        <v>0</v>
      </c>
      <c r="I3" s="1">
        <v>0</v>
      </c>
      <c r="J3" s="2">
        <v>44022</v>
      </c>
      <c r="K3" s="4" t="s">
        <v>14</v>
      </c>
    </row>
    <row r="4" spans="1:11" x14ac:dyDescent="0.3">
      <c r="A4" s="3" t="s">
        <v>19</v>
      </c>
      <c r="B4" s="1" t="s">
        <v>20</v>
      </c>
      <c r="C4" s="1" t="s">
        <v>21</v>
      </c>
      <c r="D4" s="1" t="s">
        <v>22</v>
      </c>
      <c r="E4" s="1">
        <v>4</v>
      </c>
      <c r="F4" s="1">
        <v>55000</v>
      </c>
      <c r="G4" s="1">
        <v>3</v>
      </c>
      <c r="H4" s="1">
        <v>0</v>
      </c>
      <c r="I4" s="1">
        <v>0</v>
      </c>
      <c r="J4" s="2">
        <v>44245</v>
      </c>
      <c r="K4" s="4" t="s">
        <v>14</v>
      </c>
    </row>
    <row r="5" spans="1:11" x14ac:dyDescent="0.3">
      <c r="A5" s="3" t="s">
        <v>23</v>
      </c>
      <c r="B5" s="1" t="s">
        <v>24</v>
      </c>
      <c r="C5" s="1" t="s">
        <v>7</v>
      </c>
      <c r="D5" s="1" t="s">
        <v>25</v>
      </c>
      <c r="E5" s="1">
        <v>6</v>
      </c>
      <c r="F5" s="1">
        <v>72000</v>
      </c>
      <c r="G5" s="1">
        <v>5</v>
      </c>
      <c r="H5" s="1">
        <v>150000</v>
      </c>
      <c r="I5" s="1">
        <v>140000</v>
      </c>
      <c r="J5" s="2">
        <v>43713</v>
      </c>
      <c r="K5" s="4" t="s">
        <v>14</v>
      </c>
    </row>
    <row r="6" spans="1:11" x14ac:dyDescent="0.3">
      <c r="A6" s="3" t="s">
        <v>26</v>
      </c>
      <c r="B6" s="1" t="s">
        <v>27</v>
      </c>
      <c r="C6" s="1" t="s">
        <v>28</v>
      </c>
      <c r="D6" s="1" t="s">
        <v>29</v>
      </c>
      <c r="E6" s="1">
        <v>3</v>
      </c>
      <c r="F6" s="1">
        <v>50000</v>
      </c>
      <c r="G6" s="1">
        <v>4</v>
      </c>
      <c r="H6" s="1">
        <v>0</v>
      </c>
      <c r="I6" s="1">
        <v>0</v>
      </c>
      <c r="J6" s="2">
        <v>44701</v>
      </c>
      <c r="K6" s="4" t="s">
        <v>30</v>
      </c>
    </row>
    <row r="7" spans="1:11" x14ac:dyDescent="0.3">
      <c r="A7" s="3" t="s">
        <v>31</v>
      </c>
      <c r="B7" s="1" t="s">
        <v>32</v>
      </c>
      <c r="C7" s="1" t="s">
        <v>33</v>
      </c>
      <c r="D7" s="1" t="s">
        <v>34</v>
      </c>
      <c r="E7" s="1">
        <v>7</v>
      </c>
      <c r="F7" s="1">
        <v>68000</v>
      </c>
      <c r="G7" s="1">
        <v>5</v>
      </c>
      <c r="H7" s="1">
        <v>125000</v>
      </c>
      <c r="I7" s="1">
        <v>120000</v>
      </c>
      <c r="J7" s="2">
        <v>43201</v>
      </c>
      <c r="K7" s="4" t="s">
        <v>14</v>
      </c>
    </row>
    <row r="8" spans="1:11" x14ac:dyDescent="0.3">
      <c r="A8" s="3" t="s">
        <v>35</v>
      </c>
      <c r="B8" s="1" t="s">
        <v>36</v>
      </c>
      <c r="C8" s="1" t="s">
        <v>7</v>
      </c>
      <c r="D8" s="1" t="s">
        <v>37</v>
      </c>
      <c r="E8" s="1">
        <v>2</v>
      </c>
      <c r="F8" s="1">
        <v>34000</v>
      </c>
      <c r="G8" s="1">
        <v>2</v>
      </c>
      <c r="H8" s="1">
        <v>62000</v>
      </c>
      <c r="I8" s="1">
        <v>70000</v>
      </c>
      <c r="J8" s="2">
        <v>45299</v>
      </c>
      <c r="K8" s="4" t="s">
        <v>14</v>
      </c>
    </row>
    <row r="9" spans="1:11" x14ac:dyDescent="0.3">
      <c r="A9" s="3" t="s">
        <v>38</v>
      </c>
      <c r="B9" s="1" t="s">
        <v>39</v>
      </c>
      <c r="C9" s="1" t="s">
        <v>21</v>
      </c>
      <c r="D9" s="1" t="s">
        <v>13</v>
      </c>
      <c r="E9" s="1">
        <v>8</v>
      </c>
      <c r="F9" s="1">
        <v>80000</v>
      </c>
      <c r="G9" s="1">
        <v>5</v>
      </c>
      <c r="H9" s="1">
        <v>0</v>
      </c>
      <c r="I9" s="1">
        <v>0</v>
      </c>
      <c r="J9" s="2">
        <v>43058</v>
      </c>
      <c r="K9" s="4" t="s">
        <v>14</v>
      </c>
    </row>
    <row r="10" spans="1:11" x14ac:dyDescent="0.3">
      <c r="A10" s="3" t="s">
        <v>40</v>
      </c>
      <c r="B10" s="1" t="s">
        <v>41</v>
      </c>
      <c r="C10" s="1" t="s">
        <v>28</v>
      </c>
      <c r="D10" s="1" t="s">
        <v>18</v>
      </c>
      <c r="E10" s="1">
        <v>1</v>
      </c>
      <c r="F10" s="1">
        <v>28000</v>
      </c>
      <c r="G10" s="1">
        <v>3</v>
      </c>
      <c r="H10" s="1">
        <v>0</v>
      </c>
      <c r="I10" s="1">
        <v>0</v>
      </c>
      <c r="J10" s="2">
        <v>45702</v>
      </c>
      <c r="K10" s="4" t="s">
        <v>14</v>
      </c>
    </row>
    <row r="11" spans="1:11" x14ac:dyDescent="0.3">
      <c r="A11" s="3" t="s">
        <v>42</v>
      </c>
      <c r="B11" s="1" t="s">
        <v>43</v>
      </c>
      <c r="C11" s="1" t="s">
        <v>7</v>
      </c>
      <c r="D11" s="1" t="s">
        <v>22</v>
      </c>
      <c r="E11" s="1">
        <v>9</v>
      </c>
      <c r="F11" s="1">
        <v>90000</v>
      </c>
      <c r="G11" s="1">
        <v>5</v>
      </c>
      <c r="H11" s="1">
        <v>180000</v>
      </c>
      <c r="I11" s="1">
        <v>170000</v>
      </c>
      <c r="J11" s="2">
        <v>42459</v>
      </c>
      <c r="K11" s="4" t="s">
        <v>14</v>
      </c>
    </row>
    <row r="12" spans="1:11" x14ac:dyDescent="0.3">
      <c r="A12" s="3" t="s">
        <v>44</v>
      </c>
      <c r="B12" s="1" t="s">
        <v>45</v>
      </c>
      <c r="C12" s="1" t="s">
        <v>17</v>
      </c>
      <c r="D12" s="1" t="s">
        <v>34</v>
      </c>
      <c r="E12" s="1">
        <v>4</v>
      </c>
      <c r="F12" s="1">
        <v>46000</v>
      </c>
      <c r="G12" s="1">
        <v>4</v>
      </c>
      <c r="H12" s="1">
        <v>0</v>
      </c>
      <c r="I12" s="1">
        <v>0</v>
      </c>
      <c r="J12" s="2">
        <v>44362</v>
      </c>
      <c r="K12" s="4" t="s">
        <v>30</v>
      </c>
    </row>
    <row r="13" spans="1:11" x14ac:dyDescent="0.3">
      <c r="A13" s="3" t="s">
        <v>46</v>
      </c>
      <c r="B13" s="1" t="s">
        <v>47</v>
      </c>
      <c r="C13" s="1" t="s">
        <v>33</v>
      </c>
      <c r="D13" s="1" t="s">
        <v>18</v>
      </c>
      <c r="E13" s="1">
        <v>3</v>
      </c>
      <c r="F13" s="1">
        <v>43000</v>
      </c>
      <c r="G13" s="1">
        <v>3</v>
      </c>
      <c r="H13" s="1">
        <v>98000</v>
      </c>
      <c r="I13" s="1">
        <v>100000</v>
      </c>
      <c r="J13" s="2">
        <v>44844</v>
      </c>
      <c r="K13" s="4" t="s">
        <v>14</v>
      </c>
    </row>
    <row r="14" spans="1:11" x14ac:dyDescent="0.3">
      <c r="A14" s="3" t="s">
        <v>48</v>
      </c>
      <c r="B14" s="1" t="s">
        <v>49</v>
      </c>
      <c r="C14" s="1" t="s">
        <v>7</v>
      </c>
      <c r="D14" s="1" t="s">
        <v>13</v>
      </c>
      <c r="E14" s="1">
        <v>5</v>
      </c>
      <c r="F14" s="1">
        <v>60000</v>
      </c>
      <c r="G14" s="1">
        <v>5</v>
      </c>
      <c r="H14" s="1">
        <v>132000</v>
      </c>
      <c r="I14" s="1">
        <v>120000</v>
      </c>
      <c r="J14" s="2">
        <v>44060</v>
      </c>
      <c r="K14" s="4" t="s">
        <v>14</v>
      </c>
    </row>
    <row r="15" spans="1:11" x14ac:dyDescent="0.3">
      <c r="A15" s="3" t="s">
        <v>50</v>
      </c>
      <c r="B15" s="1" t="s">
        <v>51</v>
      </c>
      <c r="C15" s="1" t="s">
        <v>28</v>
      </c>
      <c r="D15" s="1" t="s">
        <v>25</v>
      </c>
      <c r="E15" s="1">
        <v>6</v>
      </c>
      <c r="F15" s="1">
        <v>70000</v>
      </c>
      <c r="G15" s="1">
        <v>4</v>
      </c>
      <c r="H15" s="1">
        <v>0</v>
      </c>
      <c r="I15" s="1">
        <v>0</v>
      </c>
      <c r="J15" s="2">
        <v>43800</v>
      </c>
      <c r="K15" s="4" t="s">
        <v>14</v>
      </c>
    </row>
    <row r="16" spans="1:11" x14ac:dyDescent="0.3">
      <c r="A16" s="3" t="s">
        <v>52</v>
      </c>
      <c r="B16" s="1" t="s">
        <v>53</v>
      </c>
      <c r="C16" s="1" t="s">
        <v>21</v>
      </c>
      <c r="D16" s="1" t="s">
        <v>29</v>
      </c>
      <c r="E16" s="1">
        <v>10</v>
      </c>
      <c r="F16" s="1">
        <v>95000</v>
      </c>
      <c r="G16" s="1">
        <v>5</v>
      </c>
      <c r="H16" s="1">
        <v>0</v>
      </c>
      <c r="I16" s="1">
        <v>0</v>
      </c>
      <c r="J16" s="2">
        <v>42272</v>
      </c>
      <c r="K16" s="4" t="s">
        <v>14</v>
      </c>
    </row>
    <row r="17" spans="1:11" x14ac:dyDescent="0.3">
      <c r="A17" s="3" t="s">
        <v>54</v>
      </c>
      <c r="B17" s="1" t="s">
        <v>55</v>
      </c>
      <c r="C17" s="1" t="s">
        <v>7</v>
      </c>
      <c r="D17" s="1" t="s">
        <v>34</v>
      </c>
      <c r="E17" s="1">
        <v>1</v>
      </c>
      <c r="F17" s="1">
        <v>30000</v>
      </c>
      <c r="G17" s="1">
        <v>2</v>
      </c>
      <c r="H17" s="1">
        <v>50000</v>
      </c>
      <c r="I17" s="1">
        <v>65000</v>
      </c>
      <c r="J17" s="2">
        <v>45748</v>
      </c>
      <c r="K17" s="4" t="s">
        <v>14</v>
      </c>
    </row>
    <row r="18" spans="1:11" x14ac:dyDescent="0.3">
      <c r="A18" s="3" t="s">
        <v>56</v>
      </c>
      <c r="B18" s="1" t="s">
        <v>57</v>
      </c>
      <c r="C18" s="1" t="s">
        <v>33</v>
      </c>
      <c r="D18" s="1" t="s">
        <v>18</v>
      </c>
      <c r="E18" s="1">
        <v>5</v>
      </c>
      <c r="F18" s="1">
        <v>58000</v>
      </c>
      <c r="G18" s="1">
        <v>4</v>
      </c>
      <c r="H18" s="1">
        <v>118000</v>
      </c>
      <c r="I18" s="1">
        <v>115000</v>
      </c>
      <c r="J18" s="2">
        <v>43866</v>
      </c>
      <c r="K18" s="4" t="s">
        <v>14</v>
      </c>
    </row>
    <row r="19" spans="1:11" x14ac:dyDescent="0.3">
      <c r="A19" s="3" t="s">
        <v>58</v>
      </c>
      <c r="B19" s="1" t="s">
        <v>59</v>
      </c>
      <c r="C19" s="1" t="s">
        <v>17</v>
      </c>
      <c r="D19" s="1" t="s">
        <v>37</v>
      </c>
      <c r="E19" s="1">
        <v>7</v>
      </c>
      <c r="F19" s="1">
        <v>67000</v>
      </c>
      <c r="G19" s="1">
        <v>5</v>
      </c>
      <c r="H19" s="1">
        <v>0</v>
      </c>
      <c r="I19" s="1">
        <v>0</v>
      </c>
      <c r="J19" s="2">
        <v>43320</v>
      </c>
      <c r="K19" s="4" t="s">
        <v>14</v>
      </c>
    </row>
    <row r="20" spans="1:11" x14ac:dyDescent="0.3">
      <c r="A20" s="3" t="s">
        <v>60</v>
      </c>
      <c r="B20" s="1" t="s">
        <v>61</v>
      </c>
      <c r="C20" s="1" t="s">
        <v>7</v>
      </c>
      <c r="D20" s="1" t="s">
        <v>22</v>
      </c>
      <c r="E20" s="1">
        <v>8</v>
      </c>
      <c r="F20" s="1">
        <v>82000</v>
      </c>
      <c r="G20" s="1">
        <v>5</v>
      </c>
      <c r="H20" s="1">
        <v>162000</v>
      </c>
      <c r="I20" s="1">
        <v>155000</v>
      </c>
      <c r="J20" s="2">
        <v>42930</v>
      </c>
      <c r="K20" s="4" t="s">
        <v>14</v>
      </c>
    </row>
    <row r="21" spans="1:11" x14ac:dyDescent="0.3">
      <c r="A21" s="3" t="s">
        <v>62</v>
      </c>
      <c r="B21" s="1" t="s">
        <v>63</v>
      </c>
      <c r="C21" s="1" t="s">
        <v>28</v>
      </c>
      <c r="D21" s="1" t="s">
        <v>13</v>
      </c>
      <c r="E21" s="1">
        <v>2</v>
      </c>
      <c r="F21" s="1">
        <v>36000</v>
      </c>
      <c r="G21" s="1">
        <v>3</v>
      </c>
      <c r="H21" s="1">
        <v>0</v>
      </c>
      <c r="I21" s="1">
        <v>0</v>
      </c>
      <c r="J21" s="2">
        <v>45178</v>
      </c>
      <c r="K21" s="4" t="s">
        <v>14</v>
      </c>
    </row>
    <row r="22" spans="1:11" x14ac:dyDescent="0.3">
      <c r="A22" s="3" t="s">
        <v>64</v>
      </c>
      <c r="B22" s="1" t="s">
        <v>65</v>
      </c>
      <c r="C22" s="1" t="s">
        <v>21</v>
      </c>
      <c r="D22" s="1" t="s">
        <v>34</v>
      </c>
      <c r="E22" s="1">
        <v>4</v>
      </c>
      <c r="F22" s="1">
        <v>56000</v>
      </c>
      <c r="G22" s="1">
        <v>4</v>
      </c>
      <c r="H22" s="1">
        <v>0</v>
      </c>
      <c r="I22" s="1">
        <v>0</v>
      </c>
      <c r="J22" s="2">
        <v>44218</v>
      </c>
      <c r="K22" s="4" t="s">
        <v>14</v>
      </c>
    </row>
    <row r="23" spans="1:11" x14ac:dyDescent="0.3">
      <c r="A23" s="3" t="s">
        <v>66</v>
      </c>
      <c r="B23" s="1" t="s">
        <v>67</v>
      </c>
      <c r="C23" s="1" t="s">
        <v>7</v>
      </c>
      <c r="D23" s="1" t="s">
        <v>25</v>
      </c>
      <c r="E23" s="1">
        <v>6</v>
      </c>
      <c r="F23" s="1">
        <v>76000</v>
      </c>
      <c r="G23" s="1">
        <v>5</v>
      </c>
      <c r="H23" s="1">
        <v>148000</v>
      </c>
      <c r="I23" s="1">
        <v>145000</v>
      </c>
      <c r="J23" s="2">
        <v>43756</v>
      </c>
      <c r="K23" s="4" t="s">
        <v>14</v>
      </c>
    </row>
    <row r="24" spans="1:11" x14ac:dyDescent="0.3">
      <c r="A24" s="3" t="s">
        <v>68</v>
      </c>
      <c r="B24" s="1" t="s">
        <v>69</v>
      </c>
      <c r="C24" s="1" t="s">
        <v>33</v>
      </c>
      <c r="D24" s="1" t="s">
        <v>22</v>
      </c>
      <c r="E24" s="1">
        <v>2</v>
      </c>
      <c r="F24" s="1">
        <v>39000</v>
      </c>
      <c r="G24" s="1">
        <v>3</v>
      </c>
      <c r="H24" s="1">
        <v>88000</v>
      </c>
      <c r="I24" s="1">
        <v>90000</v>
      </c>
      <c r="J24" s="2">
        <v>44998</v>
      </c>
      <c r="K24" s="4" t="s">
        <v>14</v>
      </c>
    </row>
    <row r="25" spans="1:11" x14ac:dyDescent="0.3">
      <c r="A25" s="3" t="s">
        <v>70</v>
      </c>
      <c r="B25" s="1" t="s">
        <v>71</v>
      </c>
      <c r="C25" s="1" t="s">
        <v>17</v>
      </c>
      <c r="D25" s="1" t="s">
        <v>18</v>
      </c>
      <c r="E25" s="1">
        <v>9</v>
      </c>
      <c r="F25" s="1">
        <v>87000</v>
      </c>
      <c r="G25" s="1">
        <v>5</v>
      </c>
      <c r="H25" s="1">
        <v>0</v>
      </c>
      <c r="I25" s="1">
        <v>0</v>
      </c>
      <c r="J25" s="2">
        <v>42548</v>
      </c>
      <c r="K25" s="4" t="s">
        <v>14</v>
      </c>
    </row>
    <row r="26" spans="1:11" x14ac:dyDescent="0.3">
      <c r="A26" s="3" t="s">
        <v>72</v>
      </c>
      <c r="B26" s="1" t="s">
        <v>73</v>
      </c>
      <c r="C26" s="1" t="s">
        <v>7</v>
      </c>
      <c r="D26" s="1" t="s">
        <v>29</v>
      </c>
      <c r="E26" s="1">
        <v>3</v>
      </c>
      <c r="F26" s="1">
        <v>47000</v>
      </c>
      <c r="G26" s="1">
        <v>4</v>
      </c>
      <c r="H26" s="1">
        <v>104000</v>
      </c>
      <c r="I26" s="1">
        <v>100000</v>
      </c>
      <c r="J26" s="2">
        <v>44907</v>
      </c>
      <c r="K26" s="4" t="s">
        <v>30</v>
      </c>
    </row>
    <row r="27" spans="1:11" x14ac:dyDescent="0.3">
      <c r="A27" s="3" t="s">
        <v>74</v>
      </c>
      <c r="B27" s="1" t="s">
        <v>75</v>
      </c>
      <c r="C27" s="1" t="s">
        <v>21</v>
      </c>
      <c r="D27" s="1" t="s">
        <v>37</v>
      </c>
      <c r="E27" s="1">
        <v>5</v>
      </c>
      <c r="F27" s="1">
        <v>62000</v>
      </c>
      <c r="G27" s="1">
        <v>5</v>
      </c>
      <c r="H27" s="1">
        <v>0</v>
      </c>
      <c r="I27" s="1">
        <v>0</v>
      </c>
      <c r="J27" s="2">
        <v>44078</v>
      </c>
      <c r="K27" s="4" t="s">
        <v>14</v>
      </c>
    </row>
    <row r="28" spans="1:11" x14ac:dyDescent="0.3">
      <c r="A28" s="3" t="s">
        <v>76</v>
      </c>
      <c r="B28" s="1" t="s">
        <v>77</v>
      </c>
      <c r="C28" s="1" t="s">
        <v>28</v>
      </c>
      <c r="D28" s="1" t="s">
        <v>34</v>
      </c>
      <c r="E28" s="1">
        <v>7</v>
      </c>
      <c r="F28" s="1">
        <v>74000</v>
      </c>
      <c r="G28" s="1">
        <v>5</v>
      </c>
      <c r="H28" s="1">
        <v>0</v>
      </c>
      <c r="I28" s="1">
        <v>0</v>
      </c>
      <c r="J28" s="2">
        <v>43151</v>
      </c>
      <c r="K28" s="4" t="s">
        <v>14</v>
      </c>
    </row>
    <row r="29" spans="1:11" x14ac:dyDescent="0.3">
      <c r="A29" s="3" t="s">
        <v>78</v>
      </c>
      <c r="B29" s="1" t="s">
        <v>79</v>
      </c>
      <c r="C29" s="1" t="s">
        <v>7</v>
      </c>
      <c r="D29" s="1" t="s">
        <v>13</v>
      </c>
      <c r="E29" s="1">
        <v>4</v>
      </c>
      <c r="F29" s="1">
        <v>58000</v>
      </c>
      <c r="G29" s="1">
        <v>4</v>
      </c>
      <c r="H29" s="1">
        <v>119000</v>
      </c>
      <c r="I29" s="1">
        <v>115000</v>
      </c>
      <c r="J29" s="2">
        <v>44515</v>
      </c>
      <c r="K29" s="4" t="s">
        <v>14</v>
      </c>
    </row>
    <row r="30" spans="1:11" x14ac:dyDescent="0.3">
      <c r="A30" s="3" t="s">
        <v>80</v>
      </c>
      <c r="B30" s="1" t="s">
        <v>81</v>
      </c>
      <c r="C30" s="1" t="s">
        <v>33</v>
      </c>
      <c r="D30" s="1" t="s">
        <v>25</v>
      </c>
      <c r="E30" s="1">
        <v>6</v>
      </c>
      <c r="F30" s="1">
        <v>69000</v>
      </c>
      <c r="G30" s="1">
        <v>5</v>
      </c>
      <c r="H30" s="1">
        <v>135000</v>
      </c>
      <c r="I30" s="1">
        <v>130000</v>
      </c>
      <c r="J30" s="2">
        <v>43593</v>
      </c>
      <c r="K30" s="4" t="s">
        <v>14</v>
      </c>
    </row>
    <row r="31" spans="1:11" x14ac:dyDescent="0.3">
      <c r="A31" s="3" t="s">
        <v>82</v>
      </c>
      <c r="B31" s="1" t="s">
        <v>83</v>
      </c>
      <c r="C31" s="1" t="s">
        <v>17</v>
      </c>
      <c r="D31" s="1" t="s">
        <v>22</v>
      </c>
      <c r="E31" s="1">
        <v>2</v>
      </c>
      <c r="F31" s="1">
        <v>38000</v>
      </c>
      <c r="G31" s="1">
        <v>3</v>
      </c>
      <c r="H31" s="1">
        <v>0</v>
      </c>
      <c r="I31" s="1">
        <v>0</v>
      </c>
      <c r="J31" s="2">
        <v>45088</v>
      </c>
      <c r="K31" s="4" t="s">
        <v>14</v>
      </c>
    </row>
    <row r="32" spans="1:11" x14ac:dyDescent="0.3">
      <c r="A32" s="3" t="s">
        <v>84</v>
      </c>
      <c r="B32" s="1" t="s">
        <v>85</v>
      </c>
      <c r="C32" s="1" t="s">
        <v>7</v>
      </c>
      <c r="D32" s="1" t="s">
        <v>18</v>
      </c>
      <c r="E32" s="1">
        <v>5</v>
      </c>
      <c r="F32" s="1">
        <v>61000</v>
      </c>
      <c r="G32" s="1">
        <v>5</v>
      </c>
      <c r="H32" s="1">
        <v>141000</v>
      </c>
      <c r="I32" s="1">
        <v>138000</v>
      </c>
      <c r="J32" s="2">
        <v>43935</v>
      </c>
      <c r="K32" s="4" t="s">
        <v>14</v>
      </c>
    </row>
    <row r="33" spans="1:11" x14ac:dyDescent="0.3">
      <c r="A33" s="3" t="s">
        <v>86</v>
      </c>
      <c r="B33" s="1" t="s">
        <v>87</v>
      </c>
      <c r="C33" s="1" t="s">
        <v>21</v>
      </c>
      <c r="D33" s="1" t="s">
        <v>29</v>
      </c>
      <c r="E33" s="1">
        <v>3</v>
      </c>
      <c r="F33" s="1">
        <v>51000</v>
      </c>
      <c r="G33" s="1">
        <v>4</v>
      </c>
      <c r="H33" s="1">
        <v>0</v>
      </c>
      <c r="I33" s="1">
        <v>0</v>
      </c>
      <c r="J33" s="2">
        <v>44761</v>
      </c>
      <c r="K33" s="4" t="s">
        <v>14</v>
      </c>
    </row>
    <row r="34" spans="1:11" x14ac:dyDescent="0.3">
      <c r="A34" s="3" t="s">
        <v>88</v>
      </c>
      <c r="B34" s="1" t="s">
        <v>89</v>
      </c>
      <c r="C34" s="1" t="s">
        <v>28</v>
      </c>
      <c r="D34" s="1" t="s">
        <v>37</v>
      </c>
      <c r="E34" s="1">
        <v>8</v>
      </c>
      <c r="F34" s="1">
        <v>85000</v>
      </c>
      <c r="G34" s="1">
        <v>5</v>
      </c>
      <c r="H34" s="1">
        <v>0</v>
      </c>
      <c r="I34" s="1">
        <v>0</v>
      </c>
      <c r="J34" s="2">
        <v>43011</v>
      </c>
      <c r="K34" s="4" t="s">
        <v>14</v>
      </c>
    </row>
    <row r="35" spans="1:11" x14ac:dyDescent="0.3">
      <c r="A35" s="3" t="s">
        <v>90</v>
      </c>
      <c r="B35" s="1" t="s">
        <v>91</v>
      </c>
      <c r="C35" s="1" t="s">
        <v>7</v>
      </c>
      <c r="D35" s="1" t="s">
        <v>34</v>
      </c>
      <c r="E35" s="1">
        <v>7</v>
      </c>
      <c r="F35" s="1">
        <v>79000</v>
      </c>
      <c r="G35" s="1">
        <v>5</v>
      </c>
      <c r="H35" s="1">
        <v>170000</v>
      </c>
      <c r="I35" s="1">
        <v>160000</v>
      </c>
      <c r="J35" s="2">
        <v>43129</v>
      </c>
      <c r="K35" s="4" t="s">
        <v>14</v>
      </c>
    </row>
    <row r="36" spans="1:11" x14ac:dyDescent="0.3">
      <c r="A36" s="3" t="s">
        <v>92</v>
      </c>
      <c r="B36" s="1" t="s">
        <v>93</v>
      </c>
      <c r="C36" s="1" t="s">
        <v>33</v>
      </c>
      <c r="D36" s="1" t="s">
        <v>13</v>
      </c>
      <c r="E36" s="1">
        <v>4</v>
      </c>
      <c r="F36" s="1">
        <v>53000</v>
      </c>
      <c r="G36" s="1">
        <v>4</v>
      </c>
      <c r="H36" s="1">
        <v>112000</v>
      </c>
      <c r="I36" s="1">
        <v>110000</v>
      </c>
      <c r="J36" s="2">
        <v>44429</v>
      </c>
      <c r="K36" s="4" t="s">
        <v>14</v>
      </c>
    </row>
    <row r="37" spans="1:11" x14ac:dyDescent="0.3">
      <c r="A37" s="3" t="s">
        <v>94</v>
      </c>
      <c r="B37" s="1" t="s">
        <v>95</v>
      </c>
      <c r="C37" s="1" t="s">
        <v>17</v>
      </c>
      <c r="D37" s="1" t="s">
        <v>25</v>
      </c>
      <c r="E37" s="1">
        <v>1</v>
      </c>
      <c r="F37" s="1">
        <v>31000</v>
      </c>
      <c r="G37" s="1">
        <v>2</v>
      </c>
      <c r="H37" s="1">
        <v>0</v>
      </c>
      <c r="I37" s="1">
        <v>0</v>
      </c>
      <c r="J37" s="2">
        <v>45662</v>
      </c>
      <c r="K37" s="4" t="s">
        <v>14</v>
      </c>
    </row>
    <row r="38" spans="1:11" x14ac:dyDescent="0.3">
      <c r="A38" s="3" t="s">
        <v>96</v>
      </c>
      <c r="B38" s="1" t="s">
        <v>97</v>
      </c>
      <c r="C38" s="1" t="s">
        <v>7</v>
      </c>
      <c r="D38" s="1" t="s">
        <v>18</v>
      </c>
      <c r="E38" s="1">
        <v>9</v>
      </c>
      <c r="F38" s="1">
        <v>91000</v>
      </c>
      <c r="G38" s="1">
        <v>5</v>
      </c>
      <c r="H38" s="1">
        <v>192000</v>
      </c>
      <c r="I38" s="1">
        <v>180000</v>
      </c>
      <c r="J38" s="2">
        <v>42728</v>
      </c>
      <c r="K38" s="4" t="s">
        <v>14</v>
      </c>
    </row>
    <row r="39" spans="1:11" x14ac:dyDescent="0.3">
      <c r="A39" s="3" t="s">
        <v>98</v>
      </c>
      <c r="B39" s="1" t="s">
        <v>99</v>
      </c>
      <c r="C39" s="1" t="s">
        <v>21</v>
      </c>
      <c r="D39" s="1" t="s">
        <v>22</v>
      </c>
      <c r="E39" s="1">
        <v>6</v>
      </c>
      <c r="F39" s="1">
        <v>71000</v>
      </c>
      <c r="G39" s="1">
        <v>4</v>
      </c>
      <c r="H39" s="1">
        <v>0</v>
      </c>
      <c r="I39" s="1">
        <v>0</v>
      </c>
      <c r="J39" s="2">
        <v>43572</v>
      </c>
      <c r="K39" s="4" t="s">
        <v>14</v>
      </c>
    </row>
    <row r="40" spans="1:11" x14ac:dyDescent="0.3">
      <c r="A40" s="3" t="s">
        <v>100</v>
      </c>
      <c r="B40" s="1" t="s">
        <v>101</v>
      </c>
      <c r="C40" s="1" t="s">
        <v>28</v>
      </c>
      <c r="D40" s="1" t="s">
        <v>13</v>
      </c>
      <c r="E40" s="1">
        <v>5</v>
      </c>
      <c r="F40" s="1">
        <v>64000</v>
      </c>
      <c r="G40" s="1">
        <v>4</v>
      </c>
      <c r="H40" s="1">
        <v>0</v>
      </c>
      <c r="I40" s="1">
        <v>0</v>
      </c>
      <c r="J40" s="2">
        <v>43963</v>
      </c>
      <c r="K40" s="4" t="s">
        <v>30</v>
      </c>
    </row>
    <row r="41" spans="1:11" x14ac:dyDescent="0.3">
      <c r="A41" s="3" t="s">
        <v>102</v>
      </c>
      <c r="B41" s="1" t="s">
        <v>103</v>
      </c>
      <c r="C41" s="1" t="s">
        <v>7</v>
      </c>
      <c r="D41" s="1" t="s">
        <v>29</v>
      </c>
      <c r="E41" s="1">
        <v>3</v>
      </c>
      <c r="F41" s="1">
        <v>48000</v>
      </c>
      <c r="G41" s="1">
        <v>3</v>
      </c>
      <c r="H41" s="1">
        <v>97000</v>
      </c>
      <c r="I41" s="1">
        <v>100000</v>
      </c>
      <c r="J41" s="2">
        <v>44648</v>
      </c>
      <c r="K41" s="4" t="s">
        <v>14</v>
      </c>
    </row>
    <row r="42" spans="1:11" x14ac:dyDescent="0.3">
      <c r="A42" s="3" t="s">
        <v>104</v>
      </c>
      <c r="B42" s="1" t="s">
        <v>105</v>
      </c>
      <c r="C42" s="1" t="s">
        <v>33</v>
      </c>
      <c r="D42" s="1" t="s">
        <v>34</v>
      </c>
      <c r="E42" s="1">
        <v>2</v>
      </c>
      <c r="F42" s="1">
        <v>41000</v>
      </c>
      <c r="G42" s="1">
        <v>3</v>
      </c>
      <c r="H42" s="1">
        <v>92000</v>
      </c>
      <c r="I42" s="1">
        <v>90000</v>
      </c>
      <c r="J42" s="2">
        <v>44966</v>
      </c>
      <c r="K42" s="4" t="s">
        <v>14</v>
      </c>
    </row>
    <row r="43" spans="1:11" x14ac:dyDescent="0.3">
      <c r="A43" s="3" t="s">
        <v>106</v>
      </c>
      <c r="B43" s="1" t="s">
        <v>107</v>
      </c>
      <c r="C43" s="1" t="s">
        <v>17</v>
      </c>
      <c r="D43" s="1" t="s">
        <v>37</v>
      </c>
      <c r="E43" s="1">
        <v>8</v>
      </c>
      <c r="F43" s="1">
        <v>83000</v>
      </c>
      <c r="G43" s="1">
        <v>5</v>
      </c>
      <c r="H43" s="1">
        <v>0</v>
      </c>
      <c r="I43" s="1">
        <v>0</v>
      </c>
      <c r="J43" s="2">
        <v>42985</v>
      </c>
      <c r="K43" s="4" t="s">
        <v>14</v>
      </c>
    </row>
    <row r="44" spans="1:11" x14ac:dyDescent="0.3">
      <c r="A44" s="3" t="s">
        <v>108</v>
      </c>
      <c r="B44" s="1" t="s">
        <v>109</v>
      </c>
      <c r="C44" s="1" t="s">
        <v>7</v>
      </c>
      <c r="D44" s="1" t="s">
        <v>25</v>
      </c>
      <c r="E44" s="1">
        <v>4</v>
      </c>
      <c r="F44" s="1">
        <v>59000</v>
      </c>
      <c r="G44" s="1">
        <v>4</v>
      </c>
      <c r="H44" s="1">
        <v>121000</v>
      </c>
      <c r="I44" s="1">
        <v>120000</v>
      </c>
      <c r="J44" s="2">
        <v>44403</v>
      </c>
      <c r="K44" s="4" t="s">
        <v>14</v>
      </c>
    </row>
    <row r="45" spans="1:11" x14ac:dyDescent="0.3">
      <c r="A45" s="3" t="s">
        <v>110</v>
      </c>
      <c r="B45" s="1" t="s">
        <v>111</v>
      </c>
      <c r="C45" s="1" t="s">
        <v>21</v>
      </c>
      <c r="D45" s="1" t="s">
        <v>18</v>
      </c>
      <c r="E45" s="1">
        <v>7</v>
      </c>
      <c r="F45" s="1">
        <v>76000</v>
      </c>
      <c r="G45" s="1">
        <v>5</v>
      </c>
      <c r="H45" s="1">
        <v>0</v>
      </c>
      <c r="I45" s="1">
        <v>0</v>
      </c>
      <c r="J45" s="2">
        <v>43426</v>
      </c>
      <c r="K45" s="4" t="s">
        <v>14</v>
      </c>
    </row>
    <row r="46" spans="1:11" x14ac:dyDescent="0.3">
      <c r="A46" s="3" t="s">
        <v>112</v>
      </c>
      <c r="B46" s="1" t="s">
        <v>113</v>
      </c>
      <c r="C46" s="1" t="s">
        <v>28</v>
      </c>
      <c r="D46" s="1" t="s">
        <v>22</v>
      </c>
      <c r="E46" s="1">
        <v>3</v>
      </c>
      <c r="F46" s="1">
        <v>52000</v>
      </c>
      <c r="G46" s="1">
        <v>4</v>
      </c>
      <c r="H46" s="1">
        <v>0</v>
      </c>
      <c r="I46" s="1">
        <v>0</v>
      </c>
      <c r="J46" s="2">
        <v>44803</v>
      </c>
      <c r="K46" s="4" t="s">
        <v>14</v>
      </c>
    </row>
    <row r="47" spans="1:11" x14ac:dyDescent="0.3">
      <c r="A47" s="3" t="s">
        <v>114</v>
      </c>
      <c r="B47" s="1" t="s">
        <v>115</v>
      </c>
      <c r="C47" s="1" t="s">
        <v>7</v>
      </c>
      <c r="D47" s="1" t="s">
        <v>13</v>
      </c>
      <c r="E47" s="1">
        <v>6</v>
      </c>
      <c r="F47" s="1">
        <v>73000</v>
      </c>
      <c r="G47" s="1">
        <v>5</v>
      </c>
      <c r="H47" s="1">
        <v>152000</v>
      </c>
      <c r="I47" s="1">
        <v>150000</v>
      </c>
      <c r="J47" s="2">
        <v>43632</v>
      </c>
      <c r="K47" s="4" t="s">
        <v>14</v>
      </c>
    </row>
    <row r="48" spans="1:11" x14ac:dyDescent="0.3">
      <c r="A48" s="3" t="s">
        <v>116</v>
      </c>
      <c r="B48" s="1" t="s">
        <v>117</v>
      </c>
      <c r="C48" s="1" t="s">
        <v>33</v>
      </c>
      <c r="D48" s="1" t="s">
        <v>29</v>
      </c>
      <c r="E48" s="1">
        <v>5</v>
      </c>
      <c r="F48" s="1">
        <v>61000</v>
      </c>
      <c r="G48" s="1">
        <v>4</v>
      </c>
      <c r="H48" s="1">
        <v>126000</v>
      </c>
      <c r="I48" s="1">
        <v>125000</v>
      </c>
      <c r="J48" s="2">
        <v>44124</v>
      </c>
      <c r="K48" s="4" t="s">
        <v>14</v>
      </c>
    </row>
    <row r="49" spans="1:11" x14ac:dyDescent="0.3">
      <c r="A49" s="3" t="s">
        <v>118</v>
      </c>
      <c r="B49" s="1" t="s">
        <v>119</v>
      </c>
      <c r="C49" s="1" t="s">
        <v>17</v>
      </c>
      <c r="D49" s="1" t="s">
        <v>34</v>
      </c>
      <c r="E49" s="1">
        <v>4</v>
      </c>
      <c r="F49" s="1">
        <v>47000</v>
      </c>
      <c r="G49" s="1">
        <v>4</v>
      </c>
      <c r="H49" s="1">
        <v>0</v>
      </c>
      <c r="I49" s="1">
        <v>0</v>
      </c>
      <c r="J49" s="2">
        <v>44532</v>
      </c>
      <c r="K49" s="4" t="s">
        <v>14</v>
      </c>
    </row>
    <row r="50" spans="1:11" x14ac:dyDescent="0.3">
      <c r="A50" s="3" t="s">
        <v>120</v>
      </c>
      <c r="B50" s="1" t="s">
        <v>121</v>
      </c>
      <c r="C50" s="1" t="s">
        <v>7</v>
      </c>
      <c r="D50" s="1" t="s">
        <v>37</v>
      </c>
      <c r="E50" s="1">
        <v>2</v>
      </c>
      <c r="F50" s="1">
        <v>35000</v>
      </c>
      <c r="G50" s="1">
        <v>2</v>
      </c>
      <c r="H50" s="1">
        <v>68000</v>
      </c>
      <c r="I50" s="1">
        <v>75000</v>
      </c>
      <c r="J50" s="2">
        <v>45427</v>
      </c>
      <c r="K50" s="4" t="s">
        <v>14</v>
      </c>
    </row>
    <row r="51" spans="1:11" ht="15" thickBot="1" x14ac:dyDescent="0.35">
      <c r="A51" s="5" t="s">
        <v>122</v>
      </c>
      <c r="B51" s="6" t="s">
        <v>123</v>
      </c>
      <c r="C51" s="6" t="s">
        <v>21</v>
      </c>
      <c r="D51" s="6" t="s">
        <v>25</v>
      </c>
      <c r="E51" s="6">
        <v>9</v>
      </c>
      <c r="F51" s="6">
        <v>92000</v>
      </c>
      <c r="G51" s="6">
        <v>5</v>
      </c>
      <c r="H51" s="6">
        <v>0</v>
      </c>
      <c r="I51" s="6">
        <v>0</v>
      </c>
      <c r="J51" s="7">
        <v>42401</v>
      </c>
      <c r="K51" s="8" t="s">
        <v>14</v>
      </c>
    </row>
    <row r="53" spans="1:11" x14ac:dyDescent="0.3">
      <c r="B53" s="27" t="s">
        <v>134</v>
      </c>
      <c r="C53" s="28"/>
      <c r="D53" s="28"/>
      <c r="E53" s="28"/>
      <c r="F53" s="28"/>
      <c r="G53" s="28"/>
      <c r="H53" s="28"/>
      <c r="I53" s="28"/>
      <c r="J53" s="28"/>
    </row>
    <row r="54" spans="1:11" x14ac:dyDescent="0.3">
      <c r="B54" s="28"/>
      <c r="C54" s="28"/>
      <c r="D54" s="28"/>
      <c r="E54" s="28"/>
      <c r="F54" s="28"/>
      <c r="G54" s="28"/>
      <c r="H54" s="28"/>
      <c r="I54" s="28"/>
      <c r="J54" s="28"/>
    </row>
    <row r="55" spans="1:11" x14ac:dyDescent="0.3">
      <c r="B55" s="28"/>
      <c r="C55" s="28"/>
      <c r="D55" s="28"/>
      <c r="E55" s="28"/>
      <c r="F55" s="28"/>
      <c r="G55" s="28"/>
      <c r="H55" s="28"/>
      <c r="I55" s="28"/>
      <c r="J55" s="28"/>
    </row>
    <row r="56" spans="1:11" x14ac:dyDescent="0.3">
      <c r="B56" s="28"/>
      <c r="C56" s="28"/>
      <c r="D56" s="28"/>
      <c r="E56" s="28"/>
      <c r="F56" s="28"/>
      <c r="G56" s="28"/>
      <c r="H56" s="28"/>
      <c r="I56" s="28"/>
      <c r="J56" s="28"/>
    </row>
    <row r="57" spans="1:11" x14ac:dyDescent="0.3">
      <c r="B57" s="28"/>
      <c r="C57" s="28"/>
      <c r="D57" s="28"/>
      <c r="E57" s="28"/>
      <c r="F57" s="28"/>
      <c r="G57" s="28"/>
      <c r="H57" s="28"/>
      <c r="I57" s="28"/>
      <c r="J57" s="28"/>
    </row>
    <row r="58" spans="1:11" x14ac:dyDescent="0.3">
      <c r="B58" s="28"/>
      <c r="C58" s="28"/>
      <c r="D58" s="28"/>
      <c r="E58" s="28"/>
      <c r="F58" s="28"/>
      <c r="G58" s="28"/>
      <c r="H58" s="28"/>
      <c r="I58" s="28"/>
      <c r="J58" s="28"/>
    </row>
    <row r="59" spans="1:11" x14ac:dyDescent="0.3">
      <c r="B59" s="28"/>
      <c r="C59" s="28"/>
      <c r="D59" s="28"/>
      <c r="E59" s="28"/>
      <c r="F59" s="28"/>
      <c r="G59" s="28"/>
      <c r="H59" s="28"/>
      <c r="I59" s="28"/>
      <c r="J59" s="28"/>
    </row>
  </sheetData>
  <mergeCells count="1">
    <mergeCell ref="B53:J59"/>
  </mergeCells>
  <conditionalFormatting sqref="A2:K51">
    <cfRule type="expression" dxfId="3" priority="5">
      <formula>$G2=5</formula>
    </cfRule>
    <cfRule type="expression" dxfId="2" priority="6">
      <formula>$F2&gt;80000</formula>
    </cfRule>
  </conditionalFormatting>
  <conditionalFormatting sqref="C2:C51">
    <cfRule type="duplicateValues" dxfId="1" priority="3"/>
    <cfRule type="duplicateValues" dxfId="0" priority="4"/>
  </conditionalFormatting>
  <conditionalFormatting sqref="H2:H5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{9537CCB0-45B8-4882-A618-46B0F20BD2E6}</x14:id>
        </ext>
      </extLst>
    </cfRule>
  </conditionalFormatting>
  <conditionalFormatting sqref="F2:F51">
    <cfRule type="colorScale" priority="1">
      <colorScale>
        <cfvo type="min"/>
        <cfvo type="percentile" val="50"/>
        <cfvo type="max"/>
        <color theme="5" tint="-0.249977111117893"/>
        <color rgb="FFFFEB84"/>
        <color rgb="FF63BE7B"/>
      </colorScale>
    </cfRule>
  </conditionalFormatting>
  <pageMargins left="0.25" right="0.25" top="0.75" bottom="0.75" header="0.3" footer="0.3"/>
  <pageSetup scale="75" fitToWidth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37CCB0-45B8-4882-A618-46B0F20BD2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RAW-DATA</vt:lpstr>
      <vt:lpstr>SORT</vt:lpstr>
      <vt:lpstr>FILTER</vt:lpstr>
      <vt:lpstr>Conditional_Formatting</vt:lpstr>
      <vt:lpstr>Conditional_Formatting!Print_Area</vt:lpstr>
      <vt:lpstr>FILTER!Print_Area</vt:lpstr>
      <vt:lpstr>SORT!Print_Area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2026-07-26T18:50:47Z</cp:lastPrinted>
  <dcterms:created xsi:type="dcterms:W3CDTF">2026-07-26T14:19:23Z</dcterms:created>
  <dcterms:modified xsi:type="dcterms:W3CDTF">2026-07-26T18:51:50Z</dcterms:modified>
</cp:coreProperties>
</file>