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8B5627FB-5390-4006-B70F-AC5D3D569246}" xr6:coauthVersionLast="47" xr6:coauthVersionMax="47" xr10:uidLastSave="{00000000-0000-0000-0000-000000000000}"/>
  <bookViews>
    <workbookView xWindow="28680" yWindow="-120" windowWidth="29040" windowHeight="16440" xr2:uid="{31B297FA-DE8A-4287-B273-D23F4B840B05}"/>
  </bookViews>
  <sheets>
    <sheet name="RAW-DATA" sheetId="1" r:id="rId1"/>
    <sheet name="DATE" sheetId="2" r:id="rId2"/>
    <sheet name="TODAY-NOW" sheetId="3" r:id="rId3"/>
    <sheet name="YEAR-MONTH-DAY" sheetId="4" r:id="rId4"/>
    <sheet name="WEEKDAY-WEEKNUM" sheetId="5" r:id="rId5"/>
    <sheet name="DATEDIF" sheetId="6" r:id="rId6"/>
    <sheet name="EDATE-EOMONTH" sheetId="7" r:id="rId7"/>
    <sheet name="NETWORKDAYS-NETWORKDAYS.INT" sheetId="8" r:id="rId8"/>
    <sheet name="TEXT" sheetId="9" r:id="rId9"/>
    <sheet name="Challenge-Problems" sheetId="10" r:id="rId10"/>
  </sheets>
  <definedNames>
    <definedName name="_xlnm.Print_Area" localSheetId="9">'Challenge-Problems'!$I$1:$P$18</definedName>
    <definedName name="_xlnm.Print_Area" localSheetId="1">DATE!$H$1:$L$18</definedName>
    <definedName name="_xlnm.Print_Area" localSheetId="5">DATEDIF!$H$1:$L$18</definedName>
    <definedName name="_xlnm.Print_Area" localSheetId="6">'EDATE-EOMONTH'!$H$1:$L$18</definedName>
    <definedName name="_xlnm.Print_Area" localSheetId="7">'NETWORKDAYS-NETWORKDAYS.INT'!$I$1:$M$18</definedName>
    <definedName name="_xlnm.Print_Area" localSheetId="8">TEXT!$H$1:$L$18</definedName>
    <definedName name="_xlnm.Print_Area" localSheetId="2">'TODAY-NOW'!$H$1:$L$18</definedName>
    <definedName name="_xlnm.Print_Area" localSheetId="4">'WEEKDAY-WEEKNUM'!$H$1:$L$18</definedName>
    <definedName name="_xlnm.Print_Area" localSheetId="3">'YEAR-MONTH-DAY'!$H$1:$L$18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" i="10" l="1"/>
  <c r="P4" i="10"/>
  <c r="P5" i="10"/>
  <c r="P6" i="10"/>
  <c r="P7" i="10"/>
  <c r="P8" i="10"/>
  <c r="P9" i="10"/>
  <c r="P10" i="10"/>
  <c r="P11" i="10"/>
  <c r="P2" i="10"/>
  <c r="O3" i="10"/>
  <c r="O4" i="10"/>
  <c r="O5" i="10"/>
  <c r="O6" i="10"/>
  <c r="O7" i="10"/>
  <c r="O8" i="10"/>
  <c r="O9" i="10"/>
  <c r="O10" i="10"/>
  <c r="O11" i="10"/>
  <c r="O2" i="10"/>
  <c r="M2" i="10"/>
  <c r="M3" i="10"/>
  <c r="M4" i="10"/>
  <c r="M5" i="10"/>
  <c r="M6" i="10"/>
  <c r="M7" i="10"/>
  <c r="M8" i="10"/>
  <c r="M9" i="10"/>
  <c r="M10" i="10"/>
  <c r="M11" i="10"/>
  <c r="L3" i="10"/>
  <c r="L4" i="10"/>
  <c r="L5" i="10"/>
  <c r="N5" i="10" s="1"/>
  <c r="L6" i="10"/>
  <c r="L7" i="10"/>
  <c r="L8" i="10"/>
  <c r="L9" i="10"/>
  <c r="N9" i="10" s="1"/>
  <c r="L10" i="10"/>
  <c r="N10" i="10" s="1"/>
  <c r="L11" i="10"/>
  <c r="N11" i="10" s="1"/>
  <c r="L2" i="10"/>
  <c r="N2" i="10" s="1"/>
  <c r="H2" i="10"/>
  <c r="H3" i="10"/>
  <c r="K2" i="10" s="1"/>
  <c r="H4" i="10"/>
  <c r="H5" i="10"/>
  <c r="H6" i="10"/>
  <c r="H7" i="10"/>
  <c r="H8" i="10"/>
  <c r="H9" i="10"/>
  <c r="H10" i="10"/>
  <c r="H11" i="10"/>
  <c r="J3" i="10"/>
  <c r="J4" i="10"/>
  <c r="J5" i="10"/>
  <c r="J6" i="10"/>
  <c r="J7" i="10"/>
  <c r="J8" i="10"/>
  <c r="J9" i="10"/>
  <c r="J10" i="10"/>
  <c r="J11" i="10"/>
  <c r="J2" i="10"/>
  <c r="I3" i="10" a="1"/>
  <c r="I3" i="10" s="1"/>
  <c r="I4" i="10" a="1"/>
  <c r="I4" i="10" s="1"/>
  <c r="I5" i="10" a="1"/>
  <c r="I5" i="10" s="1"/>
  <c r="I6" i="10" a="1"/>
  <c r="I6" i="10" s="1"/>
  <c r="I7" i="10" a="1"/>
  <c r="I7" i="10" s="1"/>
  <c r="I8" i="10" a="1"/>
  <c r="I8" i="10" s="1"/>
  <c r="I9" i="10" a="1"/>
  <c r="I9" i="10" s="1"/>
  <c r="I10" i="10" a="1"/>
  <c r="I10" i="10" s="1"/>
  <c r="I11" i="10" a="1"/>
  <c r="I11" i="10" s="1"/>
  <c r="I2" i="10" a="1"/>
  <c r="I2" i="10" s="1"/>
  <c r="L3" i="9"/>
  <c r="L4" i="9"/>
  <c r="L5" i="9"/>
  <c r="L6" i="9"/>
  <c r="L7" i="9"/>
  <c r="L8" i="9"/>
  <c r="L9" i="9"/>
  <c r="L10" i="9"/>
  <c r="L11" i="9"/>
  <c r="L2" i="9"/>
  <c r="K3" i="9"/>
  <c r="K4" i="9"/>
  <c r="K5" i="9"/>
  <c r="K6" i="9"/>
  <c r="K7" i="9"/>
  <c r="K8" i="9"/>
  <c r="K9" i="9"/>
  <c r="K10" i="9"/>
  <c r="K11" i="9"/>
  <c r="K2" i="9"/>
  <c r="J3" i="9"/>
  <c r="J4" i="9"/>
  <c r="J5" i="9"/>
  <c r="J6" i="9"/>
  <c r="J7" i="9"/>
  <c r="J8" i="9"/>
  <c r="J9" i="9"/>
  <c r="J10" i="9"/>
  <c r="J11" i="9"/>
  <c r="J2" i="9"/>
  <c r="I3" i="9"/>
  <c r="I4" i="9"/>
  <c r="I5" i="9"/>
  <c r="I6" i="9"/>
  <c r="I7" i="9"/>
  <c r="I8" i="9"/>
  <c r="I9" i="9"/>
  <c r="I10" i="9"/>
  <c r="I11" i="9"/>
  <c r="I2" i="9"/>
  <c r="H3" i="9"/>
  <c r="H4" i="9"/>
  <c r="H5" i="9"/>
  <c r="H6" i="9"/>
  <c r="H7" i="9"/>
  <c r="H8" i="9"/>
  <c r="H9" i="9"/>
  <c r="H10" i="9"/>
  <c r="H11" i="9"/>
  <c r="H2" i="9"/>
  <c r="M3" i="8"/>
  <c r="M4" i="8"/>
  <c r="M5" i="8"/>
  <c r="M6" i="8"/>
  <c r="M7" i="8"/>
  <c r="M8" i="8"/>
  <c r="M9" i="8"/>
  <c r="M10" i="8"/>
  <c r="M11" i="8"/>
  <c r="M2" i="8"/>
  <c r="J2" i="8"/>
  <c r="L3" i="8"/>
  <c r="L4" i="8"/>
  <c r="L5" i="8"/>
  <c r="L6" i="8"/>
  <c r="L7" i="8"/>
  <c r="L8" i="8"/>
  <c r="L9" i="8"/>
  <c r="L10" i="8"/>
  <c r="L11" i="8"/>
  <c r="L2" i="8"/>
  <c r="K5" i="8"/>
  <c r="K2" i="8"/>
  <c r="K3" i="8"/>
  <c r="K4" i="8"/>
  <c r="K6" i="8"/>
  <c r="K7" i="8"/>
  <c r="K8" i="8"/>
  <c r="K9" i="8"/>
  <c r="K10" i="8"/>
  <c r="K11" i="8"/>
  <c r="J3" i="8"/>
  <c r="J4" i="8"/>
  <c r="J5" i="8"/>
  <c r="J6" i="8"/>
  <c r="J7" i="8"/>
  <c r="J8" i="8"/>
  <c r="J9" i="8"/>
  <c r="J10" i="8"/>
  <c r="J11" i="8"/>
  <c r="I3" i="8"/>
  <c r="I4" i="8"/>
  <c r="I5" i="8"/>
  <c r="I6" i="8"/>
  <c r="I7" i="8"/>
  <c r="I8" i="8"/>
  <c r="I9" i="8"/>
  <c r="I10" i="8"/>
  <c r="I11" i="8"/>
  <c r="I2" i="8"/>
  <c r="L3" i="7"/>
  <c r="L4" i="7"/>
  <c r="L5" i="7"/>
  <c r="L6" i="7"/>
  <c r="L7" i="7"/>
  <c r="L8" i="7"/>
  <c r="L9" i="7"/>
  <c r="L10" i="7"/>
  <c r="L11" i="7"/>
  <c r="L2" i="7"/>
  <c r="K3" i="7"/>
  <c r="K4" i="7"/>
  <c r="K5" i="7"/>
  <c r="K6" i="7"/>
  <c r="K7" i="7"/>
  <c r="K8" i="7"/>
  <c r="K9" i="7"/>
  <c r="K10" i="7"/>
  <c r="K11" i="7"/>
  <c r="K2" i="7"/>
  <c r="J3" i="7"/>
  <c r="J4" i="7"/>
  <c r="J5" i="7"/>
  <c r="J6" i="7"/>
  <c r="J7" i="7"/>
  <c r="J8" i="7"/>
  <c r="J9" i="7"/>
  <c r="J10" i="7"/>
  <c r="J11" i="7"/>
  <c r="J2" i="7"/>
  <c r="I3" i="7"/>
  <c r="I4" i="7"/>
  <c r="I5" i="7"/>
  <c r="I6" i="7"/>
  <c r="I7" i="7"/>
  <c r="I8" i="7"/>
  <c r="I9" i="7"/>
  <c r="I10" i="7"/>
  <c r="I11" i="7"/>
  <c r="I2" i="7"/>
  <c r="H3" i="7"/>
  <c r="H4" i="7"/>
  <c r="H5" i="7"/>
  <c r="H6" i="7"/>
  <c r="H7" i="7"/>
  <c r="H8" i="7"/>
  <c r="H9" i="7"/>
  <c r="H10" i="7"/>
  <c r="H11" i="7"/>
  <c r="H2" i="7"/>
  <c r="H3" i="6"/>
  <c r="H4" i="6"/>
  <c r="H5" i="6"/>
  <c r="H6" i="6"/>
  <c r="H7" i="6"/>
  <c r="H8" i="6"/>
  <c r="H9" i="6"/>
  <c r="H10" i="6"/>
  <c r="H11" i="6"/>
  <c r="H2" i="6"/>
  <c r="L3" i="6"/>
  <c r="L4" i="6"/>
  <c r="L5" i="6"/>
  <c r="L6" i="6"/>
  <c r="L7" i="6"/>
  <c r="L8" i="6"/>
  <c r="L9" i="6"/>
  <c r="L10" i="6"/>
  <c r="L11" i="6"/>
  <c r="L2" i="6"/>
  <c r="K2" i="6" a="1"/>
  <c r="K2" i="6" s="1"/>
  <c r="K3" i="6" a="1"/>
  <c r="K3" i="6"/>
  <c r="K4" i="6" a="1"/>
  <c r="K4" i="6"/>
  <c r="K5" i="6" a="1"/>
  <c r="K5" i="6"/>
  <c r="K6" i="6" a="1"/>
  <c r="K6" i="6"/>
  <c r="K7" i="6" a="1"/>
  <c r="K7" i="6"/>
  <c r="K8" i="6" a="1"/>
  <c r="K8" i="6"/>
  <c r="K9" i="6" a="1"/>
  <c r="K9" i="6" s="1"/>
  <c r="K10" i="6" a="1"/>
  <c r="K10" i="6"/>
  <c r="K11" i="6" a="1"/>
  <c r="K11" i="6"/>
  <c r="J3" i="6"/>
  <c r="J4" i="6"/>
  <c r="J5" i="6"/>
  <c r="J6" i="6"/>
  <c r="J7" i="6"/>
  <c r="J8" i="6"/>
  <c r="J9" i="6"/>
  <c r="J10" i="6"/>
  <c r="J11" i="6"/>
  <c r="J2" i="6"/>
  <c r="I3" i="6"/>
  <c r="I4" i="6"/>
  <c r="I5" i="6"/>
  <c r="I6" i="6"/>
  <c r="I7" i="6"/>
  <c r="I8" i="6"/>
  <c r="I9" i="6"/>
  <c r="I10" i="6"/>
  <c r="I11" i="6"/>
  <c r="I2" i="6"/>
  <c r="L2" i="5"/>
  <c r="L3" i="5"/>
  <c r="L4" i="5"/>
  <c r="L5" i="5"/>
  <c r="L6" i="5"/>
  <c r="L7" i="5"/>
  <c r="L8" i="5"/>
  <c r="L9" i="5"/>
  <c r="L10" i="5"/>
  <c r="L11" i="5"/>
  <c r="K2" i="5"/>
  <c r="J2" i="5"/>
  <c r="J3" i="5"/>
  <c r="J4" i="5"/>
  <c r="J5" i="5"/>
  <c r="J6" i="5"/>
  <c r="J7" i="5"/>
  <c r="J8" i="5"/>
  <c r="J9" i="5"/>
  <c r="J10" i="5"/>
  <c r="J11" i="5"/>
  <c r="I2" i="5"/>
  <c r="I3" i="5"/>
  <c r="I4" i="5"/>
  <c r="I5" i="5"/>
  <c r="I6" i="5"/>
  <c r="I7" i="5"/>
  <c r="I8" i="5"/>
  <c r="I9" i="5"/>
  <c r="I10" i="5"/>
  <c r="I11" i="5"/>
  <c r="H3" i="5"/>
  <c r="H4" i="5"/>
  <c r="H5" i="5"/>
  <c r="H6" i="5"/>
  <c r="H7" i="5"/>
  <c r="H8" i="5"/>
  <c r="H9" i="5"/>
  <c r="H10" i="5"/>
  <c r="H11" i="5"/>
  <c r="H2" i="5"/>
  <c r="L3" i="4"/>
  <c r="L4" i="4"/>
  <c r="L5" i="4"/>
  <c r="L6" i="4"/>
  <c r="L7" i="4"/>
  <c r="L8" i="4"/>
  <c r="L9" i="4"/>
  <c r="L10" i="4"/>
  <c r="L11" i="4"/>
  <c r="L2" i="4"/>
  <c r="K3" i="4"/>
  <c r="K4" i="4"/>
  <c r="K5" i="4"/>
  <c r="K6" i="4"/>
  <c r="K7" i="4"/>
  <c r="K8" i="4"/>
  <c r="K9" i="4"/>
  <c r="K10" i="4"/>
  <c r="K11" i="4"/>
  <c r="K2" i="4"/>
  <c r="J3" i="4"/>
  <c r="J4" i="4"/>
  <c r="J5" i="4"/>
  <c r="J6" i="4"/>
  <c r="J7" i="4"/>
  <c r="J8" i="4"/>
  <c r="J9" i="4"/>
  <c r="J10" i="4"/>
  <c r="J11" i="4"/>
  <c r="J2" i="4"/>
  <c r="I3" i="4"/>
  <c r="I4" i="4"/>
  <c r="I5" i="4"/>
  <c r="I6" i="4"/>
  <c r="I7" i="4"/>
  <c r="I8" i="4"/>
  <c r="I9" i="4"/>
  <c r="I10" i="4"/>
  <c r="I11" i="4"/>
  <c r="I2" i="4"/>
  <c r="H3" i="4"/>
  <c r="H4" i="4"/>
  <c r="H5" i="4"/>
  <c r="H6" i="4"/>
  <c r="H7" i="4"/>
  <c r="H8" i="4"/>
  <c r="H9" i="4"/>
  <c r="H10" i="4"/>
  <c r="H11" i="4"/>
  <c r="H2" i="4"/>
  <c r="L3" i="3"/>
  <c r="L4" i="3"/>
  <c r="L5" i="3"/>
  <c r="L6" i="3"/>
  <c r="L7" i="3"/>
  <c r="L8" i="3"/>
  <c r="L9" i="3"/>
  <c r="L10" i="3"/>
  <c r="L11" i="3"/>
  <c r="L2" i="3"/>
  <c r="K3" i="3"/>
  <c r="K4" i="3"/>
  <c r="K5" i="3"/>
  <c r="K6" i="3"/>
  <c r="K7" i="3"/>
  <c r="K9" i="3"/>
  <c r="K10" i="3"/>
  <c r="K11" i="3"/>
  <c r="K2" i="3"/>
  <c r="J3" i="3"/>
  <c r="J4" i="3"/>
  <c r="J5" i="3"/>
  <c r="J6" i="3"/>
  <c r="J7" i="3"/>
  <c r="J9" i="3"/>
  <c r="J10" i="3"/>
  <c r="J11" i="3"/>
  <c r="J2" i="3"/>
  <c r="B8" i="3"/>
  <c r="J8" i="3" s="1"/>
  <c r="I3" i="3"/>
  <c r="I4" i="3"/>
  <c r="I5" i="3"/>
  <c r="I6" i="3"/>
  <c r="I7" i="3"/>
  <c r="I9" i="3"/>
  <c r="I10" i="3"/>
  <c r="I11" i="3"/>
  <c r="I2" i="3"/>
  <c r="H3" i="3"/>
  <c r="H4" i="3"/>
  <c r="H5" i="3"/>
  <c r="H6" i="3"/>
  <c r="H7" i="3"/>
  <c r="H9" i="3"/>
  <c r="H10" i="3"/>
  <c r="H11" i="3"/>
  <c r="H2" i="3"/>
  <c r="L3" i="2"/>
  <c r="L4" i="2"/>
  <c r="L5" i="2"/>
  <c r="L6" i="2"/>
  <c r="L7" i="2"/>
  <c r="L8" i="2"/>
  <c r="L9" i="2"/>
  <c r="L10" i="2"/>
  <c r="L11" i="2"/>
  <c r="L2" i="2"/>
  <c r="K2" i="2"/>
  <c r="J2" i="2"/>
  <c r="I2" i="2"/>
  <c r="K3" i="2"/>
  <c r="K4" i="2"/>
  <c r="K5" i="2"/>
  <c r="K6" i="2"/>
  <c r="K7" i="2"/>
  <c r="K8" i="2"/>
  <c r="K9" i="2"/>
  <c r="K10" i="2"/>
  <c r="K11" i="2"/>
  <c r="J3" i="2"/>
  <c r="J4" i="2"/>
  <c r="J5" i="2"/>
  <c r="J6" i="2"/>
  <c r="J7" i="2"/>
  <c r="J8" i="2"/>
  <c r="J9" i="2"/>
  <c r="J10" i="2"/>
  <c r="J11" i="2"/>
  <c r="I3" i="2"/>
  <c r="I4" i="2"/>
  <c r="I5" i="2"/>
  <c r="I6" i="2"/>
  <c r="I7" i="2"/>
  <c r="I8" i="2"/>
  <c r="I9" i="2"/>
  <c r="I10" i="2"/>
  <c r="I11" i="2"/>
  <c r="H3" i="2"/>
  <c r="H4" i="2"/>
  <c r="H5" i="2"/>
  <c r="H6" i="2"/>
  <c r="H7" i="2"/>
  <c r="H8" i="2"/>
  <c r="H9" i="2"/>
  <c r="H10" i="2"/>
  <c r="H11" i="2"/>
  <c r="H2" i="2"/>
  <c r="N8" i="10" l="1"/>
  <c r="N6" i="10"/>
  <c r="N4" i="10"/>
  <c r="N3" i="10"/>
  <c r="N7" i="10"/>
  <c r="K8" i="3"/>
  <c r="H8" i="3"/>
  <c r="I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<sst xmlns="http://schemas.openxmlformats.org/spreadsheetml/2006/main" count="612" uniqueCount="120">
  <si>
    <t>Order_ID</t>
  </si>
  <si>
    <t>Order_Date</t>
  </si>
  <si>
    <t>Delivery_Date</t>
  </si>
  <si>
    <t>Customer_Name</t>
  </si>
  <si>
    <t>Region</t>
  </si>
  <si>
    <t>Order_Status</t>
  </si>
  <si>
    <t>Sales</t>
  </si>
  <si>
    <t>ORD001</t>
  </si>
  <si>
    <t>Amit Sharma</t>
  </si>
  <si>
    <t>East</t>
  </si>
  <si>
    <t>Delivered</t>
  </si>
  <si>
    <t>ORD002</t>
  </si>
  <si>
    <t>Priya Das</t>
  </si>
  <si>
    <t>West</t>
  </si>
  <si>
    <t>ORD003</t>
  </si>
  <si>
    <t>Rahul Roy</t>
  </si>
  <si>
    <t>South</t>
  </si>
  <si>
    <t>Pending</t>
  </si>
  <si>
    <t>ORD004</t>
  </si>
  <si>
    <t>Sneha Ghosh</t>
  </si>
  <si>
    <t>North</t>
  </si>
  <si>
    <t>ORD005</t>
  </si>
  <si>
    <t>Arjun Sen</t>
  </si>
  <si>
    <t>Returned</t>
  </si>
  <si>
    <t>ORD006</t>
  </si>
  <si>
    <t>Neha Singh</t>
  </si>
  <si>
    <t>ORD007</t>
  </si>
  <si>
    <t>Rohit Das</t>
  </si>
  <si>
    <t>ORD008</t>
  </si>
  <si>
    <t>Karan Patel</t>
  </si>
  <si>
    <t>ORD009</t>
  </si>
  <si>
    <t>Anjali Roy</t>
  </si>
  <si>
    <t>ORD010</t>
  </si>
  <si>
    <t>Vikram Shah</t>
  </si>
  <si>
    <t>Problem 1</t>
  </si>
  <si>
    <t>Problem 2</t>
  </si>
  <si>
    <t>Problem 3</t>
  </si>
  <si>
    <t>Problem 4</t>
  </si>
  <si>
    <t>Create the financial year start date (1-Apr of the order year).</t>
  </si>
  <si>
    <t>Problem 5</t>
  </si>
  <si>
    <t>Create an Expected Invoice Date as Order_Date + 2 days using the DATE() function.</t>
  </si>
  <si>
    <t>Create a date representing the first day of the Order month.</t>
  </si>
  <si>
    <t>Create a date representing the last day of the Order month using DATE() logic (without EOMONTH).</t>
  </si>
  <si>
    <t>Create a new column showing 1-Jan of the same year as Order_Date.</t>
  </si>
  <si>
    <t>Expected Invoice Data</t>
  </si>
  <si>
    <t>First day Order Month</t>
  </si>
  <si>
    <t>Last day Order Month</t>
  </si>
  <si>
    <t>Financial Year Start date</t>
  </si>
  <si>
    <t>New Order_Date</t>
  </si>
  <si>
    <t>Calculate how many days have passed since the order was placed.</t>
  </si>
  <si>
    <t>Find orders older than 30 days.</t>
  </si>
  <si>
    <t>Find orders placed within the last 7 days.</t>
  </si>
  <si>
    <t>Calculate the age of every order.</t>
  </si>
  <si>
    <t>Display today's date in a separate report header.</t>
  </si>
  <si>
    <t>Age of Orders</t>
  </si>
  <si>
    <t>Report Header</t>
  </si>
  <si>
    <t>Extract the Order Year.</t>
  </si>
  <si>
    <t>Extract the Order Month Number.</t>
  </si>
  <si>
    <t>Extract the Day of Month.</t>
  </si>
  <si>
    <t>Find all orders placed in March.</t>
  </si>
  <si>
    <t>Create a "Month-Year" helper column (e.g., Jan-2025).</t>
  </si>
  <si>
    <t>Year</t>
  </si>
  <si>
    <t>Month num</t>
  </si>
  <si>
    <t>Day</t>
  </si>
  <si>
    <t>Order Placed in March</t>
  </si>
  <si>
    <t>Month-Year</t>
  </si>
  <si>
    <t>Find the weekday number of each order.</t>
  </si>
  <si>
    <t>Identify whether an order was placed on a weekend.</t>
  </si>
  <si>
    <t>Find the week number of each order.</t>
  </si>
  <si>
    <t>Count how many orders belong to Week 12.</t>
  </si>
  <si>
    <t>Create a flag: Weekend &amp; Weekday</t>
  </si>
  <si>
    <t>Week Number</t>
  </si>
  <si>
    <t>Weekend</t>
  </si>
  <si>
    <t>Weekday Number</t>
  </si>
  <si>
    <t>After Week 12</t>
  </si>
  <si>
    <t>Mark</t>
  </si>
  <si>
    <t>Calculate delivery time in days.</t>
  </si>
  <si>
    <t>Find orders delivered in more than 5 days.</t>
  </si>
  <si>
    <t>Find orders delivered within 3 days.</t>
  </si>
  <si>
    <t>Calculate months between Order_Date and Today().</t>
  </si>
  <si>
    <t>Delivery Time</t>
  </si>
  <si>
    <t>Create delivery categories: Fast , Normal , Delayed</t>
  </si>
  <si>
    <t>Delivery Categories</t>
  </si>
  <si>
    <t>Calculate the contract renewal date after 3 months.</t>
  </si>
  <si>
    <t>Find the month-end date for every order.</t>
  </si>
  <si>
    <t>Find the month-end after 6 months.</t>
  </si>
  <si>
    <t>Create the first day of the next month.</t>
  </si>
  <si>
    <t>Calculate the last day of the previous month.</t>
  </si>
  <si>
    <t>Column1</t>
  </si>
  <si>
    <t>ASSUME :</t>
  </si>
  <si>
    <t>Saturday &amp; Sunday are weekends</t>
  </si>
  <si>
    <t>Calculate working days between Order_Date and Delivery_Date.</t>
  </si>
  <si>
    <t>Find orders that took more than 5 working days.</t>
  </si>
  <si>
    <t>Calculate working days excluding holidays (create a small holiday list).</t>
  </si>
  <si>
    <t>Assume only Sunday is a weekend using NETWORKDAYS.INTL() and compare results.</t>
  </si>
  <si>
    <t>Find orders completed within 3 working days.</t>
  </si>
  <si>
    <t xml:space="preserve">Holiday </t>
  </si>
  <si>
    <t>Display Order_Date as: 05-Jan-2025</t>
  </si>
  <si>
    <t>Display: January 2025</t>
  </si>
  <si>
    <t>Display only the weekday name.</t>
  </si>
  <si>
    <t>Display: 05 January, 2025</t>
  </si>
  <si>
    <t>Create: Week 12 - March</t>
  </si>
  <si>
    <t>Challenge 1 — Delivery SLA</t>
  </si>
  <si>
    <t>Challenge 2 — Monthly Sales Report</t>
  </si>
  <si>
    <t>Classify deliveries:
≤3 days → On Time
4–6 days → Slight Delay
6 days → Late</t>
  </si>
  <si>
    <t>Create a helper column using date functions that groups sales by:
Jan-2025
Feb-2025
Mar-2025</t>
  </si>
  <si>
    <t>Challenge 3 — Weekend Analysis</t>
  </si>
  <si>
    <t>Find all orders placed on weekends and calculate their total sales.</t>
  </si>
  <si>
    <t>Challenge 4 — Business Days vs Calendar Days</t>
  </si>
  <si>
    <t>Challenge 5 — Monthly Closing Report</t>
  </si>
  <si>
    <t>Create a column that shows the last day of the order month and determine whether the order was placed in the first half or second half of the month.</t>
  </si>
  <si>
    <t>Calculate: Calendar Days &amp; Working Days
Then compare the difference for each order.</t>
  </si>
  <si>
    <t>Delivery SLA</t>
  </si>
  <si>
    <t>Helper Column</t>
  </si>
  <si>
    <t>Weekend Analysis</t>
  </si>
  <si>
    <t>Calender Days</t>
  </si>
  <si>
    <t>Working Days</t>
  </si>
  <si>
    <t>Difference</t>
  </si>
  <si>
    <t>Month End</t>
  </si>
  <si>
    <t>Half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</si>
</sst>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mmm/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/>
    <xf numFmtId="15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1" xfId="0" applyNumberFormat="1" applyBorder="1"/>
    <xf numFmtId="0" fontId="0" fillId="0" borderId="2" xfId="0" applyBorder="1" applyAlignment="1">
      <alignment vertical="center"/>
    </xf>
    <xf numFmtId="164" fontId="0" fillId="0" borderId="3" xfId="0" applyNumberForma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15" fontId="0" fillId="0" borderId="8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164" fontId="0" fillId="0" borderId="8" xfId="0" applyNumberFormat="1" applyBorder="1" applyAlignment="1">
      <alignment vertical="center"/>
    </xf>
    <xf numFmtId="164" fontId="0" fillId="0" borderId="8" xfId="0" applyNumberFormat="1" applyBorder="1"/>
    <xf numFmtId="164" fontId="0" fillId="0" borderId="9" xfId="0" applyNumberFormat="1" applyBorder="1"/>
    <xf numFmtId="0" fontId="0" fillId="0" borderId="1" xfId="0" applyNumberFormat="1" applyBorder="1"/>
    <xf numFmtId="0" fontId="0" fillId="0" borderId="1" xfId="0" applyBorder="1"/>
    <xf numFmtId="22" fontId="0" fillId="0" borderId="3" xfId="0" applyNumberFormat="1" applyBorder="1"/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0" fillId="0" borderId="8" xfId="0" applyNumberFormat="1" applyBorder="1"/>
    <xf numFmtId="0" fontId="0" fillId="0" borderId="8" xfId="0" applyBorder="1"/>
    <xf numFmtId="22" fontId="0" fillId="0" borderId="9" xfId="0" applyNumberFormat="1" applyBorder="1"/>
    <xf numFmtId="165" fontId="0" fillId="0" borderId="3" xfId="0" applyNumberFormat="1" applyBorder="1"/>
    <xf numFmtId="165" fontId="0" fillId="0" borderId="9" xfId="0" applyNumberFormat="1" applyBorder="1"/>
    <xf numFmtId="0" fontId="0" fillId="0" borderId="3" xfId="0" applyBorder="1"/>
    <xf numFmtId="0" fontId="0" fillId="0" borderId="0" xfId="0" applyAlignment="1">
      <alignment vertical="center" wrapText="1"/>
    </xf>
    <xf numFmtId="0" fontId="0" fillId="0" borderId="9" xfId="0" applyBorder="1"/>
    <xf numFmtId="15" fontId="0" fillId="0" borderId="1" xfId="0" applyNumberFormat="1" applyBorder="1"/>
    <xf numFmtId="15" fontId="0" fillId="0" borderId="3" xfId="0" applyNumberFormat="1" applyBorder="1"/>
    <xf numFmtId="15" fontId="0" fillId="0" borderId="8" xfId="0" applyNumberFormat="1" applyBorder="1"/>
    <xf numFmtId="15" fontId="0" fillId="0" borderId="9" xfId="0" applyNumberFormat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0" fillId="0" borderId="9" xfId="0" applyBorder="1" applyAlignment="1">
      <alignment vertical="center"/>
    </xf>
  </cellXfs>
  <cellStyles count="1">
    <cellStyle name="Normal" xfId="0" builtinId="0"/>
  </cellStyles>
  <dxfs count="16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0" formatCode="dd/mmm/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m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7" formatCode="dd/mm/yyyy\ hh:mm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dd/m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dd/m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d/m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d/m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B22BF82-D77B-4CAB-A3D4-1FD85A8745B9}" name="Table11" displayName="Table11" ref="A1:G11" totalsRowShown="0" headerRowDxfId="0" dataDxfId="1" headerRowBorderDxfId="10" tableBorderDxfId="11" totalsRowBorderDxfId="9">
  <autoFilter ref="A1:G11" xr:uid="{AB22BF82-D77B-4CAB-A3D4-1FD85A8745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B1AF9839-983C-4506-A6D1-E0AD970FF88C}" name="Order_ID" dataDxfId="8"/>
    <tableColumn id="2" xr3:uid="{7E8891F0-A582-4DE1-8EB7-E0FCD68E7143}" name="Order_Date" dataDxfId="7"/>
    <tableColumn id="3" xr3:uid="{7EFE2A71-8B96-4520-A31C-5E49C2251923}" name="Delivery_Date" dataDxfId="6"/>
    <tableColumn id="4" xr3:uid="{98C87713-39A1-439C-9E84-602B1BD5B38F}" name="Customer_Name" dataDxfId="5"/>
    <tableColumn id="5" xr3:uid="{A1C62AEB-DA18-4138-9D82-7886A070144C}" name="Region" dataDxfId="4"/>
    <tableColumn id="6" xr3:uid="{4ACC417F-2877-46CE-A79C-CF4C1ED679B0}" name="Order_Status" dataDxfId="3"/>
    <tableColumn id="7" xr3:uid="{E14CFEBE-B834-4762-97FC-770A22CB7657}" name="Sales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A26AD9-485A-47F8-ACA3-1B3483EB57D8}" name="Table1" displayName="Table1" ref="A1:L11" totalsRowShown="0" headerRowDxfId="160" headerRowBorderDxfId="159" tableBorderDxfId="158" totalsRowBorderDxfId="157">
  <autoFilter ref="A1:L11" xr:uid="{36A26AD9-485A-47F8-ACA3-1B3483EB57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D6E594BC-83F6-44DB-AEA5-DCF20BD6B6EA}" name="Order_ID" dataDxfId="156"/>
    <tableColumn id="2" xr3:uid="{C8381A0C-B4EC-486B-AA8D-937C0979C7D6}" name="Order_Date" dataDxfId="155"/>
    <tableColumn id="3" xr3:uid="{D623F919-812B-4E1C-8C83-E35803CA9D37}" name="Delivery_Date" dataDxfId="154"/>
    <tableColumn id="4" xr3:uid="{918A21E4-0ED4-4D1A-A951-F23AEDE39696}" name="Customer_Name" dataDxfId="153"/>
    <tableColumn id="5" xr3:uid="{1D73B854-4E7D-4F41-B8DB-E921FE820E6D}" name="Region" dataDxfId="152"/>
    <tableColumn id="6" xr3:uid="{2853750B-D860-4117-AFCD-95BB55C420D2}" name="Order_Status" dataDxfId="151"/>
    <tableColumn id="7" xr3:uid="{85D33036-3CE5-489E-ACD6-89E65822F584}" name="Sales" dataDxfId="150"/>
    <tableColumn id="8" xr3:uid="{86C87324-8952-4700-8C4F-6D298873E649}" name="Expected Invoice Data" dataDxfId="149">
      <calculatedColumnFormula>DATE(YEAR(B2),MONTH(B2),DAY(B2)+2)</calculatedColumnFormula>
    </tableColumn>
    <tableColumn id="9" xr3:uid="{AB9E6F2D-A778-4A03-BDA7-AB01725359E0}" name="First day Order Month" dataDxfId="148">
      <calculatedColumnFormula>DATE(YEAR(B2),MONTH(B2),1)</calculatedColumnFormula>
    </tableColumn>
    <tableColumn id="10" xr3:uid="{3E833335-7A6F-4C2B-83CA-3ECA3B8A3CAF}" name="Last day Order Month" dataDxfId="147">
      <calculatedColumnFormula>DATE(YEAR(B2),MONTH(B2)+1,1)-1</calculatedColumnFormula>
    </tableColumn>
    <tableColumn id="11" xr3:uid="{9E987202-35C4-4A4E-8222-49D85D4A31FE}" name="Financial Year Start date" dataDxfId="146">
      <calculatedColumnFormula>DATE(IF(MONTH(B2)&gt;=4,YEAR(B2),YEAR(B2)-1),4,1)</calculatedColumnFormula>
    </tableColumn>
    <tableColumn id="12" xr3:uid="{D80E53F5-6C96-4761-B760-C64C81B3B187}" name="New Order_Date" dataDxfId="145">
      <calculatedColumnFormula>DATE(YEAR(B2),1,1)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203163-1E2C-408D-B24C-367F465B5E71}" name="Table3" displayName="Table3" ref="A1:L11" totalsRowShown="0" headerRowDxfId="144" headerRowBorderDxfId="143" tableBorderDxfId="142" totalsRowBorderDxfId="141">
  <autoFilter ref="A1:L11" xr:uid="{BA203163-1E2C-408D-B24C-367F465B5E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5FCAFF8C-0748-47B9-AF8E-8A2987FF779B}" name="Order_ID" dataDxfId="140"/>
    <tableColumn id="2" xr3:uid="{B40D8111-89EE-45AD-8BF3-28C2E706507F}" name="Order_Date" dataDxfId="139"/>
    <tableColumn id="3" xr3:uid="{EE043F2D-FC5D-48AE-913F-83FDB685D7FA}" name="Delivery_Date" dataDxfId="138"/>
    <tableColumn id="4" xr3:uid="{2BA22FC6-A7BC-46C8-878E-5F42C239E2E5}" name="Customer_Name" dataDxfId="137"/>
    <tableColumn id="5" xr3:uid="{4658A557-1896-4FAF-8437-BE8528C2C5AA}" name="Region" dataDxfId="136"/>
    <tableColumn id="6" xr3:uid="{01FC388E-608A-4591-8F02-4427E5FBDF63}" name="Order_Status" dataDxfId="135"/>
    <tableColumn id="7" xr3:uid="{7B1980ED-7EEB-426A-A6B8-AF8029929F4D}" name="Sales" dataDxfId="134"/>
    <tableColumn id="8" xr3:uid="{CAA2E1F3-268B-4BD1-8BB8-FC74A79FE74A}" name="Problem 1" dataDxfId="133">
      <calculatedColumnFormula>TODAY()-B2</calculatedColumnFormula>
    </tableColumn>
    <tableColumn id="9" xr3:uid="{2F7AA94D-4FC8-4507-9449-541C1A89A02D}" name="Problem 2" dataDxfId="132">
      <calculatedColumnFormula>IF(TODAY()-B2&gt;30,"Older then 30 Days","Recent")</calculatedColumnFormula>
    </tableColumn>
    <tableColumn id="10" xr3:uid="{B4C2C051-C23F-4AE9-AF8D-63E36FC04F36}" name="Problem 3" dataDxfId="131">
      <calculatedColumnFormula>IF(C2-B2&gt;7,"Within 7 days","Late")</calculatedColumnFormula>
    </tableColumn>
    <tableColumn id="11" xr3:uid="{DF16F8C8-AF70-46B1-AADE-12A02D4FBC69}" name="Age of Orders" dataDxfId="130">
      <calculatedColumnFormula>TODAY()-B2&amp;" Days"</calculatedColumnFormula>
    </tableColumn>
    <tableColumn id="12" xr3:uid="{0C7BC943-55C9-439C-AA4E-03552094CD21}" name="Report Header" dataDxfId="129">
      <calculatedColumnFormula>NOW()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9AB4E8-1F2D-4A82-A74A-28145A2AE010}" name="Table2" displayName="Table2" ref="A1:L11" totalsRowShown="0" headerRowDxfId="128" headerRowBorderDxfId="127" tableBorderDxfId="126" totalsRowBorderDxfId="125">
  <autoFilter ref="A1:L11" xr:uid="{CA9AB4E8-1F2D-4A82-A74A-28145A2AE0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63E9F0C6-92D5-49D4-B9A2-4A96756226A4}" name="Order_ID" dataDxfId="124"/>
    <tableColumn id="2" xr3:uid="{80E28F96-D997-4C5C-AA01-22ACB964EAAC}" name="Order_Date" dataDxfId="123"/>
    <tableColumn id="3" xr3:uid="{1FE05C62-6E18-4176-8846-E0CF6366EF7E}" name="Delivery_Date" dataDxfId="122"/>
    <tableColumn id="4" xr3:uid="{FA43A8F9-DB21-44FE-A3E2-30A0058DCFF5}" name="Customer_Name" dataDxfId="121"/>
    <tableColumn id="5" xr3:uid="{9DDB3A66-C1BD-480C-87AE-74D647E962BC}" name="Region" dataDxfId="120"/>
    <tableColumn id="6" xr3:uid="{2590023D-D392-4CA8-9A19-031724E2E563}" name="Order_Status" dataDxfId="119"/>
    <tableColumn id="7" xr3:uid="{526A506E-47D4-48CF-A8C5-A217C849B727}" name="Sales" dataDxfId="118"/>
    <tableColumn id="8" xr3:uid="{B0CB3F27-6778-4293-BD83-57635E5D60EA}" name="Year" dataDxfId="117">
      <calculatedColumnFormula>YEAR(B2)</calculatedColumnFormula>
    </tableColumn>
    <tableColumn id="9" xr3:uid="{2DE7034B-DB7C-40FD-A3B8-C8200CDA20C5}" name="Month num" dataDxfId="116">
      <calculatedColumnFormula>MONTH(B2)</calculatedColumnFormula>
    </tableColumn>
    <tableColumn id="10" xr3:uid="{F3B91D1E-B494-44AD-8D98-F62A1B86CDEF}" name="Day" dataDxfId="115">
      <calculatedColumnFormula>DAY(B2)</calculatedColumnFormula>
    </tableColumn>
    <tableColumn id="11" xr3:uid="{512E9CAF-0C13-43A1-9283-AC0BB3DE9A40}" name="Order Placed in March" dataDxfId="114">
      <calculatedColumnFormula>IF(MONTH(B2)=3,TRUE,FALSE)</calculatedColumnFormula>
    </tableColumn>
    <tableColumn id="12" xr3:uid="{406670DC-3E80-4BAD-AC6D-5A9525EA2277}" name="Month-Year" dataDxfId="113">
      <calculatedColumnFormula>DATE(YEAR(B2),MONTH(B2),1)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CD2BD9-E4F5-49AD-92DB-934B05C742CE}" name="Table4" displayName="Table4" ref="A1:L11" totalsRowShown="0" headerRowDxfId="112" headerRowBorderDxfId="111" tableBorderDxfId="110" totalsRowBorderDxfId="109">
  <autoFilter ref="A1:L11" xr:uid="{F1CD2BD9-E4F5-49AD-92DB-934B05C742C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0C5A7D22-11EE-4105-8A03-D9F1D5B0C4D5}" name="Order_ID" dataDxfId="108"/>
    <tableColumn id="2" xr3:uid="{10590927-0DF1-4D91-B6DC-8B1B5C238C57}" name="Order_Date" dataDxfId="107"/>
    <tableColumn id="3" xr3:uid="{5852BC5A-DF55-4527-8F2E-43047C9927B5}" name="Delivery_Date" dataDxfId="106"/>
    <tableColumn id="4" xr3:uid="{66EEFB9D-2522-498F-BF56-014894C989B8}" name="Customer_Name" dataDxfId="105"/>
    <tableColumn id="5" xr3:uid="{C71CB616-9F53-4B9A-B8B2-D0B727031C6C}" name="Region" dataDxfId="104"/>
    <tableColumn id="6" xr3:uid="{4C4AD696-9BA4-4FD0-AE30-5EC5B223A49B}" name="Order_Status" dataDxfId="103"/>
    <tableColumn id="7" xr3:uid="{C59B9DBE-D656-4681-B1B3-0CF935182C73}" name="Sales" dataDxfId="102"/>
    <tableColumn id="8" xr3:uid="{E125088E-413C-4924-86F8-21958261C273}" name="Weekday Number" dataDxfId="101">
      <calculatedColumnFormula>WEEKNUM(B2,2)</calculatedColumnFormula>
    </tableColumn>
    <tableColumn id="9" xr3:uid="{F5B96445-F334-47FE-921F-C00E340788FF}" name="Weekend" dataDxfId="100">
      <calculatedColumnFormula>IF(WEEKDAY(B2,2)&gt;5,TRUE,FALSE)</calculatedColumnFormula>
    </tableColumn>
    <tableColumn id="10" xr3:uid="{BF55ED0C-8490-4271-9E8A-DE66B6429AA4}" name="Week Number" dataDxfId="99">
      <calculatedColumnFormula>WEEKNUM(B2)</calculatedColumnFormula>
    </tableColumn>
    <tableColumn id="11" xr3:uid="{D5DC297F-4839-4857-AA4A-DDEB4ABEC905}" name="After Week 12" dataDxfId="98"/>
    <tableColumn id="12" xr3:uid="{EBDD2C7F-2DD5-4513-B4E8-F97EEF210764}" name="Mark" dataDxfId="97">
      <calculatedColumnFormula>IF(WEEKDAY(B2)&gt;5,"Weekend","Weekday")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0A31CD-3E04-46AE-BF6A-B31098F17D92}" name="Table5" displayName="Table5" ref="A1:L11" totalsRowShown="0" headerRowDxfId="81" headerRowBorderDxfId="95" tableBorderDxfId="96" totalsRowBorderDxfId="94">
  <autoFilter ref="A1:L11" xr:uid="{1C0A31CD-3E04-46AE-BF6A-B31098F17D9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917518B2-529A-4529-8BD0-3A952FABA13A}" name="Order_ID" dataDxfId="93"/>
    <tableColumn id="2" xr3:uid="{E1B8B5F1-7E00-44D8-A694-49A514016121}" name="Order_Date" dataDxfId="92"/>
    <tableColumn id="3" xr3:uid="{6CCE5D0E-9109-453C-B110-9F882B9C4863}" name="Delivery_Date" dataDxfId="91"/>
    <tableColumn id="4" xr3:uid="{9E2C5282-3042-4449-AE86-C9BDB8C16D54}" name="Customer_Name" dataDxfId="90"/>
    <tableColumn id="5" xr3:uid="{D2FD57B7-85AF-432B-B79E-7DD038960945}" name="Region" dataDxfId="89"/>
    <tableColumn id="6" xr3:uid="{427317DC-89C2-46A6-8696-C93A70C97103}" name="Order_Status" dataDxfId="88"/>
    <tableColumn id="7" xr3:uid="{0DE26F02-E83F-4152-A419-761FD7456B3E}" name="Sales" dataDxfId="87"/>
    <tableColumn id="8" xr3:uid="{C9F002A7-8855-492C-9746-19D6F034FA33}" name="Delivery Time" dataDxfId="86">
      <calculatedColumnFormula>DATEDIF(B2,C2,"D")&amp;" days"</calculatedColumnFormula>
    </tableColumn>
    <tableColumn id="9" xr3:uid="{993F753A-02DE-4FF6-8FE9-F090CD8B8AFF}" name="Problem 2" dataDxfId="85">
      <calculatedColumnFormula>IF(DATEDIF(B2,C2,"D")&gt;5,A2,"")</calculatedColumnFormula>
    </tableColumn>
    <tableColumn id="10" xr3:uid="{BCBAE0B8-6594-4AC9-B256-31862FF2A1F3}" name="Problem 3" dataDxfId="84">
      <calculatedColumnFormula>IF(DATEDIF(B2,C2,"D")&lt;3,A2,"")</calculatedColumnFormula>
    </tableColumn>
    <tableColumn id="11" xr3:uid="{86131135-D3C6-4B18-8078-C890B217472E}" name="Delivery Categories" dataDxfId="83">
      <calculatedColumnFormula array="1">_xlfn.IFS(DATEDIF(B2,C2,"D")&lt;3,"Fast",DATEDIF(B2,C2,"D")&lt;=5,"Normal",TRUE,"Delayed")</calculatedColumnFormula>
    </tableColumn>
    <tableColumn id="12" xr3:uid="{8E338AE3-9C47-49AB-98FC-47A5EB46BC31}" name="Problem 5" dataDxfId="82">
      <calculatedColumnFormula>DATEDIF(B2,TODAY(),"M")&amp;" months"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5D415-2AD7-4D4D-AFC4-0215B8F17553}" name="Table6" displayName="Table6" ref="A1:L11" totalsRowShown="0" headerRowDxfId="65" headerRowBorderDxfId="79" tableBorderDxfId="80" totalsRowBorderDxfId="78">
  <autoFilter ref="A1:L11" xr:uid="{A675D415-2AD7-4D4D-AFC4-0215B8F175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1BAAE7D0-89B3-4C9D-8C1D-38F63B3F34F6}" name="Order_ID" dataDxfId="77"/>
    <tableColumn id="2" xr3:uid="{0B1FE7B3-EB49-4427-879E-F7A1E4F28C0B}" name="Order_Date" dataDxfId="76"/>
    <tableColumn id="3" xr3:uid="{F621E7E6-0679-4417-A669-0C05B8641751}" name="Delivery_Date" dataDxfId="75"/>
    <tableColumn id="4" xr3:uid="{D2FFA70F-FA2E-40AE-A2AB-4E8834ECAF65}" name="Customer_Name" dataDxfId="74"/>
    <tableColumn id="5" xr3:uid="{3E75CFEA-7983-4543-B7C8-937647657D95}" name="Region" dataDxfId="73"/>
    <tableColumn id="6" xr3:uid="{2708D8E2-DF60-4E4A-A345-4AA343F87595}" name="Order_Status" dataDxfId="72"/>
    <tableColumn id="7" xr3:uid="{330B5A58-F71E-46FB-A807-9836C110DA69}" name="Sales" dataDxfId="71"/>
    <tableColumn id="8" xr3:uid="{4115DDFB-AC74-4277-961F-502E7909CDEE}" name="Problem 1" dataDxfId="70">
      <calculatedColumnFormula>EDATE(B2,3)</calculatedColumnFormula>
    </tableColumn>
    <tableColumn id="9" xr3:uid="{BE14FAF4-F737-451D-89AD-916E2CF95337}" name="Problem 2" dataDxfId="69">
      <calculatedColumnFormula>EOMONTH(B2,0)</calculatedColumnFormula>
    </tableColumn>
    <tableColumn id="10" xr3:uid="{F840FFB1-AD9A-47DB-A929-E29E9307AF04}" name="Problem 3" dataDxfId="68">
      <calculatedColumnFormula>EOMONTH(B2,6)</calculatedColumnFormula>
    </tableColumn>
    <tableColumn id="11" xr3:uid="{026DA273-92E0-4F65-AAC8-E04EFB22A8E3}" name="Problem 4" dataDxfId="67">
      <calculatedColumnFormula>EOMONTH(B2,0)+1</calculatedColumnFormula>
    </tableColumn>
    <tableColumn id="12" xr3:uid="{9A4EECB7-85C5-4FED-9F7F-FE25013EDD6D}" name="Problem 5" dataDxfId="66">
      <calculatedColumnFormula>EOMONTH(B2,-1)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E6F0543-8A31-4707-B307-F196BE37C0E8}" name="Table7" displayName="Table7" ref="A1:M11" totalsRowShown="0" headerRowDxfId="48" headerRowBorderDxfId="63" tableBorderDxfId="64" totalsRowBorderDxfId="62">
  <autoFilter ref="A1:M11" xr:uid="{0E6F0543-8A31-4707-B307-F196BE37C0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ADD5C71E-7788-4184-84D6-B5AD0327C98A}" name="Order_ID" dataDxfId="61"/>
    <tableColumn id="2" xr3:uid="{CCDB4FEF-A4CC-44FF-9FE7-3F1223EBE306}" name="Order_Date" dataDxfId="60"/>
    <tableColumn id="3" xr3:uid="{D5663FE3-7B1F-4C72-A1D7-6290061753C1}" name="Delivery_Date" dataDxfId="59"/>
    <tableColumn id="4" xr3:uid="{34CDE27E-4A18-4D2F-B046-A05301F632D1}" name="Customer_Name" dataDxfId="58"/>
    <tableColumn id="5" xr3:uid="{293E6D6B-C3D3-4719-B65D-28616F85B9FF}" name="Region" dataDxfId="57"/>
    <tableColumn id="6" xr3:uid="{E9BEF8B4-049C-4C69-AC4D-96F2C14D3C60}" name="Order_Status" dataDxfId="56"/>
    <tableColumn id="7" xr3:uid="{51F46F99-1627-4209-B9DD-26445A27CECA}" name="Sales" dataDxfId="55"/>
    <tableColumn id="8" xr3:uid="{2B3DDDF2-5D0C-4AC9-8D17-B1D7C18B610F}" name="Holiday " dataDxfId="54"/>
    <tableColumn id="9" xr3:uid="{DE4150BA-8B5A-4654-82B0-BDFD90ACCC73}" name="Problem 1" dataDxfId="53">
      <calculatedColumnFormula>NETWORKDAYS.INTL(B2,C2,1)</calculatedColumnFormula>
    </tableColumn>
    <tableColumn id="10" xr3:uid="{2949BE37-7190-449C-9A0D-2670F151164E}" name="Problem 2" dataDxfId="52">
      <calculatedColumnFormula>IF(NETWORKDAYS.INTL(B2,C2,1)&gt;5,A2,"-")</calculatedColumnFormula>
    </tableColumn>
    <tableColumn id="11" xr3:uid="{E056A96C-4857-411B-B23D-D5447BC2E4E3}" name="Problem 3" dataDxfId="51">
      <calculatedColumnFormula>NETWORKDAYS.INTL(B2,C2,1,$H$2:$H$4)</calculatedColumnFormula>
    </tableColumn>
    <tableColumn id="12" xr3:uid="{463478E5-0FD2-4354-ABAD-8AB8A1EED94B}" name="Problem 4" dataDxfId="50">
      <calculatedColumnFormula>NETWORKDAYS.INTL(B2,C2,11)</calculatedColumnFormula>
    </tableColumn>
    <tableColumn id="13" xr3:uid="{5D21011C-9040-43F0-BF21-BB00B72C780B}" name="Problem 5" dataDxfId="49">
      <calculatedColumnFormula>IF(NETWORKDAYS.INTL(B2,C2,1)&lt;=3,A2,"-")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E0DAF8-3DE5-48B0-AA99-7172CBF55439}" name="Table8" displayName="Table8" ref="A1:L11" totalsRowShown="0" headerRowDxfId="32" headerRowBorderDxfId="46" tableBorderDxfId="47" totalsRowBorderDxfId="45">
  <autoFilter ref="A1:L11" xr:uid="{03E0DAF8-3DE5-48B0-AA99-7172CBF5543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C3297DFE-21FA-4B0C-AE94-EDAEE3F8DD62}" name="Order_ID" dataDxfId="44"/>
    <tableColumn id="2" xr3:uid="{AE535402-74BD-4C24-9E92-27DEC06BE7CB}" name="Order_Date" dataDxfId="43"/>
    <tableColumn id="3" xr3:uid="{E4724B58-286C-491E-A246-B338984917A2}" name="Delivery_Date" dataDxfId="42"/>
    <tableColumn id="4" xr3:uid="{EFE3309E-EB57-491C-95E4-38D43904A436}" name="Customer_Name" dataDxfId="41"/>
    <tableColumn id="5" xr3:uid="{06F7E232-C9A9-43A0-A2D9-2AA0DA50CE9D}" name="Region" dataDxfId="40"/>
    <tableColumn id="6" xr3:uid="{9633EF38-86C8-4E16-9B57-F00C74B44C46}" name="Order_Status" dataDxfId="39"/>
    <tableColumn id="7" xr3:uid="{66380F3D-2CB8-4F77-8B64-C26245822C02}" name="Sales" dataDxfId="38"/>
    <tableColumn id="8" xr3:uid="{D727915D-2C2C-4E1C-BFAD-33F3DFAF4CBA}" name="Problem 1" dataDxfId="37">
      <calculatedColumnFormula>TEXT(B2,"DD-MMM-YYYY")</calculatedColumnFormula>
    </tableColumn>
    <tableColumn id="9" xr3:uid="{C757291D-384A-4E3A-B780-C7445CE73755}" name="Problem 2" dataDxfId="36">
      <calculatedColumnFormula>TEXT(B2,"MMMM YYYY")</calculatedColumnFormula>
    </tableColumn>
    <tableColumn id="10" xr3:uid="{A232EAD5-DB4D-4A4F-9A19-5194D357BAEC}" name="Problem 3" dataDxfId="35">
      <calculatedColumnFormula>TEXT(B2,"dddd")</calculatedColumnFormula>
    </tableColumn>
    <tableColumn id="11" xr3:uid="{976E18EF-2624-43B5-9D4B-11025D0D3EAB}" name="Problem 4" dataDxfId="34">
      <calculatedColumnFormula>TEXT(B2,"dd mmmm, yyyy")</calculatedColumnFormula>
    </tableColumn>
    <tableColumn id="12" xr3:uid="{43E6434A-17CD-4393-A94E-E4E00C619A56}" name="Problem 5" dataDxfId="33">
      <calculatedColumnFormula>"Week "&amp;WEEKNUM(B2)&amp;" - "&amp;TEXT(B2,"mmmm")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CECE632-CBDE-4BCC-BE22-72E130F5608E}" name="Table10" displayName="Table10" ref="A1:P11" totalsRowShown="0" headerRowDxfId="12" headerRowBorderDxfId="30" tableBorderDxfId="31" totalsRowBorderDxfId="29">
  <autoFilter ref="A1:P11" xr:uid="{FCECE632-CBDE-4BCC-BE22-72E130F5608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15AC7448-E1A0-4D78-8C70-220E93F2E38E}" name="Order_ID" dataDxfId="28"/>
    <tableColumn id="2" xr3:uid="{E3DD4AEF-7E92-4785-8682-FC196533F6DE}" name="Order_Date" dataDxfId="27"/>
    <tableColumn id="3" xr3:uid="{3368F555-EA57-4BD9-95A1-C6764FD82BC2}" name="Delivery_Date" dataDxfId="26"/>
    <tableColumn id="4" xr3:uid="{F0580BC4-E713-4FD3-B0DC-DF5ED20B7E39}" name="Customer_Name" dataDxfId="25"/>
    <tableColumn id="5" xr3:uid="{95BCB753-6D2E-4BD3-B61B-6689EF7783BA}" name="Region" dataDxfId="24"/>
    <tableColumn id="6" xr3:uid="{DCBFDB54-FCF9-41BA-8575-8900FD302B8A}" name="Order_Status" dataDxfId="23"/>
    <tableColumn id="7" xr3:uid="{9657E66A-9991-4616-BA52-81851E7594E1}" name="Sales" dataDxfId="22"/>
    <tableColumn id="8" xr3:uid="{11EEA164-BEC6-4E6D-B4A7-7B24C542AC56}" name="Column1" dataDxfId="21">
      <calculatedColumnFormula>IF(WEEKDAY(B2,2)&gt;=6,"Weekend","Weekday")</calculatedColumnFormula>
    </tableColumn>
    <tableColumn id="9" xr3:uid="{D1D13694-762E-4B9B-8369-E264CE2B43D0}" name="Delivery SLA" dataDxfId="20">
      <calculatedColumnFormula array="1">_xlfn.IFS(NETWORKDAYS(B2,C2)&lt;=3,"On Time",AND(NETWORKDAYS(B2,C2)&gt;=4,NETWORKDAYS(B2,C2)&lt;=6),"Slight Delay",NETWORKDAYS(B2,C2)&gt;6,"Late")</calculatedColumnFormula>
    </tableColumn>
    <tableColumn id="10" xr3:uid="{74C939ED-4D61-4443-BDFA-F00569000D0D}" name="Helper Column" dataDxfId="19">
      <calculatedColumnFormula>TEXT(B2,"mmm-yyyy")</calculatedColumnFormula>
    </tableColumn>
    <tableColumn id="11" xr3:uid="{BD16AC7E-544A-4E01-9A4A-07DE7C7A3BCC}" name="Weekend Analysis" dataDxfId="18"/>
    <tableColumn id="12" xr3:uid="{8B3097E3-7822-488E-A773-CA74D9A86BAB}" name="Calender Days" dataDxfId="17">
      <calculatedColumnFormula>C2-B2+1</calculatedColumnFormula>
    </tableColumn>
    <tableColumn id="13" xr3:uid="{8BA49E8D-A1D8-4EE3-BDEB-02FE860A0354}" name="Working Days" dataDxfId="16">
      <calculatedColumnFormula>NETWORKDAYS(B2,C2)</calculatedColumnFormula>
    </tableColumn>
    <tableColumn id="14" xr3:uid="{BC1E3074-DC0A-4827-9AC3-A415EBA411B3}" name="Difference" dataDxfId="15">
      <calculatedColumnFormula>L2-M2</calculatedColumnFormula>
    </tableColumn>
    <tableColumn id="15" xr3:uid="{F8D61EBB-1A75-4C99-BEF1-692B888D699D}" name="Month End" dataDxfId="14">
      <calculatedColumnFormula>EOMONTH(B2,0)</calculatedColumnFormula>
    </tableColumn>
    <tableColumn id="16" xr3:uid="{391CEEB2-5629-417E-8A64-C74EB9831CBC}" name="Half" dataDxfId="13">
      <calculatedColumnFormula>IF(DAY(B2)&lt;=15,"First Half","Second Half")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52EB3-E7C5-4F55-B428-0BF623364600}">
  <dimension ref="A1:G11"/>
  <sheetViews>
    <sheetView tabSelected="1" zoomScale="145" zoomScaleNormal="145" workbookViewId="0">
      <selection activeCell="I8" sqref="I8"/>
    </sheetView>
  </sheetViews>
  <sheetFormatPr defaultRowHeight="14.4" x14ac:dyDescent="0.3"/>
  <cols>
    <col min="1" max="1" width="9.44140625" customWidth="1"/>
    <col min="2" max="2" width="11.5546875" customWidth="1"/>
    <col min="3" max="3" width="13.6640625" customWidth="1"/>
    <col min="4" max="4" width="16.21875" customWidth="1"/>
    <col min="5" max="5" width="7.77734375" customWidth="1"/>
    <col min="6" max="6" width="13.109375" customWidth="1"/>
    <col min="7" max="7" width="6.6640625" customWidth="1"/>
  </cols>
  <sheetData>
    <row r="1" spans="1:7" s="2" customFormat="1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43" t="s">
        <v>6</v>
      </c>
    </row>
    <row r="2" spans="1:7" x14ac:dyDescent="0.3">
      <c r="A2" s="10" t="s">
        <v>7</v>
      </c>
      <c r="B2" s="3">
        <v>45662</v>
      </c>
      <c r="C2" s="3">
        <v>45666</v>
      </c>
      <c r="D2" s="4" t="s">
        <v>8</v>
      </c>
      <c r="E2" s="4" t="s">
        <v>9</v>
      </c>
      <c r="F2" s="4" t="s">
        <v>10</v>
      </c>
      <c r="G2" s="42">
        <v>25000</v>
      </c>
    </row>
    <row r="3" spans="1:7" x14ac:dyDescent="0.3">
      <c r="A3" s="10" t="s">
        <v>11</v>
      </c>
      <c r="B3" s="3">
        <v>45669</v>
      </c>
      <c r="C3" s="3">
        <v>45675</v>
      </c>
      <c r="D3" s="4" t="s">
        <v>12</v>
      </c>
      <c r="E3" s="4" t="s">
        <v>13</v>
      </c>
      <c r="F3" s="4" t="s">
        <v>10</v>
      </c>
      <c r="G3" s="42">
        <v>48000</v>
      </c>
    </row>
    <row r="4" spans="1:7" x14ac:dyDescent="0.3">
      <c r="A4" s="10" t="s">
        <v>14</v>
      </c>
      <c r="B4" s="3">
        <v>45682</v>
      </c>
      <c r="C4" s="3">
        <v>45687</v>
      </c>
      <c r="D4" s="4" t="s">
        <v>15</v>
      </c>
      <c r="E4" s="4" t="s">
        <v>16</v>
      </c>
      <c r="F4" s="4" t="s">
        <v>17</v>
      </c>
      <c r="G4" s="42">
        <v>18500</v>
      </c>
    </row>
    <row r="5" spans="1:7" x14ac:dyDescent="0.3">
      <c r="A5" s="10" t="s">
        <v>18</v>
      </c>
      <c r="B5" s="3">
        <v>45690</v>
      </c>
      <c r="C5" s="3">
        <v>45693</v>
      </c>
      <c r="D5" s="4" t="s">
        <v>19</v>
      </c>
      <c r="E5" s="4" t="s">
        <v>20</v>
      </c>
      <c r="F5" s="4" t="s">
        <v>10</v>
      </c>
      <c r="G5" s="42">
        <v>72000</v>
      </c>
    </row>
    <row r="6" spans="1:7" x14ac:dyDescent="0.3">
      <c r="A6" s="10" t="s">
        <v>21</v>
      </c>
      <c r="B6" s="3">
        <v>45702</v>
      </c>
      <c r="C6" s="3">
        <v>45710</v>
      </c>
      <c r="D6" s="4" t="s">
        <v>22</v>
      </c>
      <c r="E6" s="4" t="s">
        <v>9</v>
      </c>
      <c r="F6" s="4" t="s">
        <v>23</v>
      </c>
      <c r="G6" s="42">
        <v>15000</v>
      </c>
    </row>
    <row r="7" spans="1:7" x14ac:dyDescent="0.3">
      <c r="A7" s="10" t="s">
        <v>24</v>
      </c>
      <c r="B7" s="3">
        <v>45717</v>
      </c>
      <c r="C7" s="3">
        <v>45720</v>
      </c>
      <c r="D7" s="4" t="s">
        <v>25</v>
      </c>
      <c r="E7" s="4" t="s">
        <v>13</v>
      </c>
      <c r="F7" s="4" t="s">
        <v>10</v>
      </c>
      <c r="G7" s="42">
        <v>91000</v>
      </c>
    </row>
    <row r="8" spans="1:7" x14ac:dyDescent="0.3">
      <c r="A8" s="10" t="s">
        <v>26</v>
      </c>
      <c r="B8" s="3">
        <v>45734</v>
      </c>
      <c r="C8" s="3">
        <v>45741</v>
      </c>
      <c r="D8" s="4" t="s">
        <v>27</v>
      </c>
      <c r="E8" s="4" t="s">
        <v>16</v>
      </c>
      <c r="F8" s="4" t="s">
        <v>10</v>
      </c>
      <c r="G8" s="42">
        <v>36000</v>
      </c>
    </row>
    <row r="9" spans="1:7" x14ac:dyDescent="0.3">
      <c r="A9" s="10" t="s">
        <v>28</v>
      </c>
      <c r="B9" s="3">
        <v>45743</v>
      </c>
      <c r="C9" s="3">
        <v>45750</v>
      </c>
      <c r="D9" s="4" t="s">
        <v>29</v>
      </c>
      <c r="E9" s="4" t="s">
        <v>20</v>
      </c>
      <c r="F9" s="4" t="s">
        <v>17</v>
      </c>
      <c r="G9" s="42">
        <v>42000</v>
      </c>
    </row>
    <row r="10" spans="1:7" x14ac:dyDescent="0.3">
      <c r="A10" s="10" t="s">
        <v>30</v>
      </c>
      <c r="B10" s="3">
        <v>45755</v>
      </c>
      <c r="C10" s="3">
        <v>45757</v>
      </c>
      <c r="D10" s="4" t="s">
        <v>31</v>
      </c>
      <c r="E10" s="4" t="s">
        <v>9</v>
      </c>
      <c r="F10" s="4" t="s">
        <v>10</v>
      </c>
      <c r="G10" s="42">
        <v>56000</v>
      </c>
    </row>
    <row r="11" spans="1:7" x14ac:dyDescent="0.3">
      <c r="A11" s="17" t="s">
        <v>32</v>
      </c>
      <c r="B11" s="18">
        <v>45767</v>
      </c>
      <c r="C11" s="18">
        <v>45774</v>
      </c>
      <c r="D11" s="19" t="s">
        <v>33</v>
      </c>
      <c r="E11" s="19" t="s">
        <v>13</v>
      </c>
      <c r="F11" s="19" t="s">
        <v>10</v>
      </c>
      <c r="G11" s="44">
        <v>67000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82977-E580-4B11-91DB-E3EA603EB4D1}">
  <dimension ref="A1:S18"/>
  <sheetViews>
    <sheetView zoomScale="130" zoomScaleNormal="130" workbookViewId="0">
      <selection activeCell="D17" sqref="D17"/>
    </sheetView>
  </sheetViews>
  <sheetFormatPr defaultRowHeight="14.4" x14ac:dyDescent="0.3"/>
  <cols>
    <col min="1" max="1" width="9.77734375" customWidth="1"/>
    <col min="2" max="2" width="11.77734375" customWidth="1"/>
    <col min="3" max="3" width="13.88671875" customWidth="1"/>
    <col min="4" max="4" width="16.44140625" customWidth="1"/>
    <col min="5" max="5" width="8.109375" customWidth="1"/>
    <col min="6" max="6" width="13.21875" customWidth="1"/>
    <col min="7" max="7" width="6.77734375" customWidth="1"/>
    <col min="8" max="8" width="20.5546875" customWidth="1"/>
    <col min="9" max="9" width="20" customWidth="1"/>
    <col min="10" max="10" width="19.77734375" customWidth="1"/>
    <col min="11" max="11" width="22.21875" customWidth="1"/>
    <col min="12" max="12" width="16" customWidth="1"/>
  </cols>
  <sheetData>
    <row r="1" spans="1:19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44</v>
      </c>
      <c r="I1" s="15" t="s">
        <v>45</v>
      </c>
      <c r="J1" s="15" t="s">
        <v>46</v>
      </c>
      <c r="K1" s="15" t="s">
        <v>47</v>
      </c>
      <c r="L1" s="16" t="s">
        <v>48</v>
      </c>
    </row>
    <row r="2" spans="1:19" x14ac:dyDescent="0.3">
      <c r="A2" s="10" t="s">
        <v>7</v>
      </c>
      <c r="B2" s="3">
        <v>45662</v>
      </c>
      <c r="C2" s="3">
        <v>45666</v>
      </c>
      <c r="D2" s="4" t="s">
        <v>8</v>
      </c>
      <c r="E2" s="4" t="s">
        <v>9</v>
      </c>
      <c r="F2" s="4" t="s">
        <v>10</v>
      </c>
      <c r="G2" s="4">
        <v>25000</v>
      </c>
      <c r="H2" s="8">
        <f>DATE(YEAR(B2),MONTH(B2),DAY(B2)+2)</f>
        <v>45664</v>
      </c>
      <c r="I2" s="9">
        <f>DATE(YEAR(B2),MONTH(B2),1)</f>
        <v>45658</v>
      </c>
      <c r="J2" s="9">
        <f>DATE(YEAR(B2),MONTH(B2)+1,1)-1</f>
        <v>45688</v>
      </c>
      <c r="K2" s="9">
        <f>DATE(IF(MONTH(B2)&gt;=4,YEAR(B2),YEAR(B2)-1),4,1)</f>
        <v>45383</v>
      </c>
      <c r="L2" s="11">
        <f>DATE(YEAR(B2),1,1)</f>
        <v>45658</v>
      </c>
    </row>
    <row r="3" spans="1:19" x14ac:dyDescent="0.3">
      <c r="A3" s="10" t="s">
        <v>11</v>
      </c>
      <c r="B3" s="3">
        <v>45669</v>
      </c>
      <c r="C3" s="3">
        <v>45675</v>
      </c>
      <c r="D3" s="4" t="s">
        <v>12</v>
      </c>
      <c r="E3" s="4" t="s">
        <v>13</v>
      </c>
      <c r="F3" s="4" t="s">
        <v>10</v>
      </c>
      <c r="G3" s="4">
        <v>48000</v>
      </c>
      <c r="H3" s="8">
        <f t="shared" ref="H3:H11" si="0">DATE(YEAR(B3),MONTH(B3),DAY(B3)+2)</f>
        <v>45671</v>
      </c>
      <c r="I3" s="9">
        <f t="shared" ref="I3:I11" si="1">DATE(YEAR(B3),MONTH(B3),1)</f>
        <v>45658</v>
      </c>
      <c r="J3" s="9">
        <f t="shared" ref="J3:J11" si="2">DATE(YEAR(B3),MONTH(B3)+1,1)-1</f>
        <v>45688</v>
      </c>
      <c r="K3" s="9">
        <f t="shared" ref="K3:K11" si="3">DATE(IF(MONTH(B3)&gt;=4,YEAR(B3),YEAR(B3)-1),4,1)</f>
        <v>45383</v>
      </c>
      <c r="L3" s="11">
        <f t="shared" ref="L3:L11" si="4">DATE(YEAR(B3),1,1)</f>
        <v>45658</v>
      </c>
    </row>
    <row r="4" spans="1:19" x14ac:dyDescent="0.3">
      <c r="A4" s="10" t="s">
        <v>14</v>
      </c>
      <c r="B4" s="3">
        <v>45682</v>
      </c>
      <c r="C4" s="3">
        <v>45687</v>
      </c>
      <c r="D4" s="4" t="s">
        <v>15</v>
      </c>
      <c r="E4" s="4" t="s">
        <v>16</v>
      </c>
      <c r="F4" s="4" t="s">
        <v>17</v>
      </c>
      <c r="G4" s="4">
        <v>18500</v>
      </c>
      <c r="H4" s="8">
        <f t="shared" si="0"/>
        <v>45684</v>
      </c>
      <c r="I4" s="9">
        <f t="shared" si="1"/>
        <v>45658</v>
      </c>
      <c r="J4" s="9">
        <f t="shared" si="2"/>
        <v>45688</v>
      </c>
      <c r="K4" s="9">
        <f t="shared" si="3"/>
        <v>45383</v>
      </c>
      <c r="L4" s="11">
        <f t="shared" si="4"/>
        <v>45658</v>
      </c>
    </row>
    <row r="5" spans="1:19" x14ac:dyDescent="0.3">
      <c r="A5" s="10" t="s">
        <v>18</v>
      </c>
      <c r="B5" s="3">
        <v>45690</v>
      </c>
      <c r="C5" s="3">
        <v>45693</v>
      </c>
      <c r="D5" s="4" t="s">
        <v>19</v>
      </c>
      <c r="E5" s="4" t="s">
        <v>20</v>
      </c>
      <c r="F5" s="4" t="s">
        <v>10</v>
      </c>
      <c r="G5" s="4">
        <v>72000</v>
      </c>
      <c r="H5" s="8">
        <f t="shared" si="0"/>
        <v>45692</v>
      </c>
      <c r="I5" s="9">
        <f t="shared" si="1"/>
        <v>45689</v>
      </c>
      <c r="J5" s="9">
        <f t="shared" si="2"/>
        <v>45716</v>
      </c>
      <c r="K5" s="9">
        <f t="shared" si="3"/>
        <v>45383</v>
      </c>
      <c r="L5" s="11">
        <f t="shared" si="4"/>
        <v>45658</v>
      </c>
    </row>
    <row r="6" spans="1:19" x14ac:dyDescent="0.3">
      <c r="A6" s="10" t="s">
        <v>21</v>
      </c>
      <c r="B6" s="3">
        <v>45702</v>
      </c>
      <c r="C6" s="3">
        <v>45710</v>
      </c>
      <c r="D6" s="4" t="s">
        <v>22</v>
      </c>
      <c r="E6" s="4" t="s">
        <v>9</v>
      </c>
      <c r="F6" s="4" t="s">
        <v>23</v>
      </c>
      <c r="G6" s="4">
        <v>15000</v>
      </c>
      <c r="H6" s="8">
        <f t="shared" si="0"/>
        <v>45704</v>
      </c>
      <c r="I6" s="9">
        <f t="shared" si="1"/>
        <v>45689</v>
      </c>
      <c r="J6" s="9">
        <f t="shared" si="2"/>
        <v>45716</v>
      </c>
      <c r="K6" s="9">
        <f t="shared" si="3"/>
        <v>45383</v>
      </c>
      <c r="L6" s="11">
        <f t="shared" si="4"/>
        <v>45658</v>
      </c>
    </row>
    <row r="7" spans="1:19" x14ac:dyDescent="0.3">
      <c r="A7" s="10" t="s">
        <v>24</v>
      </c>
      <c r="B7" s="3">
        <v>45717</v>
      </c>
      <c r="C7" s="3">
        <v>45720</v>
      </c>
      <c r="D7" s="4" t="s">
        <v>25</v>
      </c>
      <c r="E7" s="4" t="s">
        <v>13</v>
      </c>
      <c r="F7" s="4" t="s">
        <v>10</v>
      </c>
      <c r="G7" s="4">
        <v>91000</v>
      </c>
      <c r="H7" s="8">
        <f t="shared" si="0"/>
        <v>45719</v>
      </c>
      <c r="I7" s="9">
        <f t="shared" si="1"/>
        <v>45717</v>
      </c>
      <c r="J7" s="9">
        <f t="shared" si="2"/>
        <v>45747</v>
      </c>
      <c r="K7" s="9">
        <f t="shared" si="3"/>
        <v>45383</v>
      </c>
      <c r="L7" s="11">
        <f t="shared" si="4"/>
        <v>45658</v>
      </c>
    </row>
    <row r="8" spans="1:19" x14ac:dyDescent="0.3">
      <c r="A8" s="10" t="s">
        <v>26</v>
      </c>
      <c r="B8" s="3">
        <v>45734</v>
      </c>
      <c r="C8" s="3">
        <v>45741</v>
      </c>
      <c r="D8" s="4" t="s">
        <v>27</v>
      </c>
      <c r="E8" s="4" t="s">
        <v>16</v>
      </c>
      <c r="F8" s="4" t="s">
        <v>10</v>
      </c>
      <c r="G8" s="4">
        <v>36000</v>
      </c>
      <c r="H8" s="8">
        <f t="shared" si="0"/>
        <v>45736</v>
      </c>
      <c r="I8" s="9">
        <f t="shared" si="1"/>
        <v>45717</v>
      </c>
      <c r="J8" s="9">
        <f t="shared" si="2"/>
        <v>45747</v>
      </c>
      <c r="K8" s="9">
        <f t="shared" si="3"/>
        <v>45383</v>
      </c>
      <c r="L8" s="11">
        <f t="shared" si="4"/>
        <v>45658</v>
      </c>
    </row>
    <row r="9" spans="1:19" x14ac:dyDescent="0.3">
      <c r="A9" s="10" t="s">
        <v>28</v>
      </c>
      <c r="B9" s="3">
        <v>45743</v>
      </c>
      <c r="C9" s="3">
        <v>45750</v>
      </c>
      <c r="D9" s="4" t="s">
        <v>29</v>
      </c>
      <c r="E9" s="4" t="s">
        <v>20</v>
      </c>
      <c r="F9" s="4" t="s">
        <v>17</v>
      </c>
      <c r="G9" s="4">
        <v>42000</v>
      </c>
      <c r="H9" s="8">
        <f t="shared" si="0"/>
        <v>45745</v>
      </c>
      <c r="I9" s="9">
        <f t="shared" si="1"/>
        <v>45717</v>
      </c>
      <c r="J9" s="9">
        <f t="shared" si="2"/>
        <v>45747</v>
      </c>
      <c r="K9" s="9">
        <f t="shared" si="3"/>
        <v>45383</v>
      </c>
      <c r="L9" s="11">
        <f t="shared" si="4"/>
        <v>45658</v>
      </c>
    </row>
    <row r="10" spans="1:19" x14ac:dyDescent="0.3">
      <c r="A10" s="10" t="s">
        <v>30</v>
      </c>
      <c r="B10" s="3">
        <v>45755</v>
      </c>
      <c r="C10" s="3">
        <v>45757</v>
      </c>
      <c r="D10" s="4" t="s">
        <v>31</v>
      </c>
      <c r="E10" s="4" t="s">
        <v>9</v>
      </c>
      <c r="F10" s="4" t="s">
        <v>10</v>
      </c>
      <c r="G10" s="4">
        <v>56000</v>
      </c>
      <c r="H10" s="8">
        <f t="shared" si="0"/>
        <v>45757</v>
      </c>
      <c r="I10" s="9">
        <f t="shared" si="1"/>
        <v>45748</v>
      </c>
      <c r="J10" s="9">
        <f t="shared" si="2"/>
        <v>45777</v>
      </c>
      <c r="K10" s="9">
        <f t="shared" si="3"/>
        <v>45748</v>
      </c>
      <c r="L10" s="11">
        <f t="shared" si="4"/>
        <v>45658</v>
      </c>
    </row>
    <row r="11" spans="1:19" x14ac:dyDescent="0.3">
      <c r="A11" s="17" t="s">
        <v>32</v>
      </c>
      <c r="B11" s="18">
        <v>45767</v>
      </c>
      <c r="C11" s="18">
        <v>45774</v>
      </c>
      <c r="D11" s="19" t="s">
        <v>33</v>
      </c>
      <c r="E11" s="19" t="s">
        <v>13</v>
      </c>
      <c r="F11" s="19" t="s">
        <v>10</v>
      </c>
      <c r="G11" s="19">
        <v>67000</v>
      </c>
      <c r="H11" s="20">
        <f t="shared" si="0"/>
        <v>45769</v>
      </c>
      <c r="I11" s="21">
        <f t="shared" si="1"/>
        <v>45748</v>
      </c>
      <c r="J11" s="21">
        <f t="shared" si="2"/>
        <v>45777</v>
      </c>
      <c r="K11" s="21">
        <f t="shared" si="3"/>
        <v>45748</v>
      </c>
      <c r="L11" s="22">
        <f t="shared" si="4"/>
        <v>45658</v>
      </c>
    </row>
    <row r="14" spans="1:19" x14ac:dyDescent="0.3">
      <c r="G14" s="5"/>
      <c r="H14" s="7" t="s">
        <v>34</v>
      </c>
      <c r="I14" s="34" t="s">
        <v>40</v>
      </c>
      <c r="J14" s="34"/>
      <c r="K14" s="34"/>
      <c r="L14" s="34"/>
      <c r="M14" s="6"/>
      <c r="N14" s="6"/>
      <c r="O14" s="6"/>
      <c r="P14" s="6"/>
      <c r="Q14" s="6"/>
      <c r="R14" s="6"/>
      <c r="S14" s="6"/>
    </row>
    <row r="15" spans="1:19" ht="14.4" customHeight="1" x14ac:dyDescent="0.3">
      <c r="G15" s="5"/>
      <c r="H15" s="7" t="s">
        <v>35</v>
      </c>
      <c r="I15" s="34" t="s">
        <v>41</v>
      </c>
      <c r="J15" s="34"/>
      <c r="K15" s="34"/>
      <c r="L15" s="34"/>
      <c r="M15" s="1"/>
      <c r="N15" s="1"/>
      <c r="O15" s="1"/>
      <c r="P15" s="1"/>
      <c r="Q15" s="1"/>
      <c r="R15" s="1"/>
      <c r="S15" s="1"/>
    </row>
    <row r="16" spans="1:19" ht="28.2" customHeight="1" x14ac:dyDescent="0.3">
      <c r="G16" s="5"/>
      <c r="H16" s="7" t="s">
        <v>36</v>
      </c>
      <c r="I16" s="34" t="s">
        <v>42</v>
      </c>
      <c r="J16" s="34"/>
      <c r="K16" s="34"/>
      <c r="L16" s="34"/>
      <c r="M16" s="1"/>
      <c r="N16" s="1"/>
      <c r="O16" s="1"/>
      <c r="P16" s="1"/>
      <c r="Q16" s="1"/>
      <c r="R16" s="1"/>
      <c r="S16" s="1"/>
    </row>
    <row r="17" spans="7:19" ht="14.4" customHeight="1" x14ac:dyDescent="0.3">
      <c r="G17" s="5"/>
      <c r="H17" s="7" t="s">
        <v>37</v>
      </c>
      <c r="I17" s="34" t="s">
        <v>38</v>
      </c>
      <c r="J17" s="34"/>
      <c r="K17" s="34"/>
      <c r="L17" s="34"/>
      <c r="M17" s="1"/>
      <c r="N17" s="1"/>
      <c r="O17" s="1"/>
      <c r="P17" s="1"/>
      <c r="Q17" s="1"/>
      <c r="R17" s="1"/>
      <c r="S17" s="1"/>
    </row>
    <row r="18" spans="7:19" x14ac:dyDescent="0.3">
      <c r="G18" s="5"/>
      <c r="H18" s="7" t="s">
        <v>39</v>
      </c>
      <c r="I18" s="34" t="s">
        <v>43</v>
      </c>
      <c r="J18" s="34"/>
      <c r="K18" s="34"/>
      <c r="L18" s="34"/>
      <c r="M18" s="1"/>
      <c r="N18" s="1"/>
      <c r="O18" s="1"/>
      <c r="P18" s="1"/>
      <c r="Q18" s="1"/>
      <c r="R18" s="1"/>
      <c r="S18" s="1"/>
    </row>
  </sheetData>
  <mergeCells count="5">
    <mergeCell ref="I18:L18"/>
    <mergeCell ref="I14:L14"/>
    <mergeCell ref="I15:L15"/>
    <mergeCell ref="I16:L16"/>
    <mergeCell ref="I17:L17"/>
  </mergeCells>
  <pageMargins left="0.25" right="0.25" top="0.75" bottom="0.75" header="0.3" footer="0.3"/>
  <pageSetup paperSize="9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592D-BB31-4F1E-B0B6-DD6AF82165E6}">
  <dimension ref="A1:S18"/>
  <sheetViews>
    <sheetView zoomScale="130" zoomScaleNormal="130" workbookViewId="0">
      <selection activeCell="D23" sqref="D23"/>
    </sheetView>
  </sheetViews>
  <sheetFormatPr defaultRowHeight="14.4" x14ac:dyDescent="0.3"/>
  <cols>
    <col min="1" max="1" width="9.77734375" customWidth="1"/>
    <col min="2" max="2" width="11.77734375" customWidth="1"/>
    <col min="3" max="3" width="13.88671875" customWidth="1"/>
    <col min="4" max="4" width="16.44140625" customWidth="1"/>
    <col min="5" max="5" width="8.109375" customWidth="1"/>
    <col min="6" max="6" width="13.21875" customWidth="1"/>
    <col min="7" max="7" width="6.77734375" customWidth="1"/>
    <col min="8" max="8" width="10.6640625" customWidth="1"/>
    <col min="9" max="9" width="16.77734375" bestFit="1" customWidth="1"/>
    <col min="10" max="10" width="11.88671875" bestFit="1" customWidth="1"/>
    <col min="11" max="11" width="13.6640625" customWidth="1"/>
    <col min="12" max="12" width="16.109375" bestFit="1" customWidth="1"/>
  </cols>
  <sheetData>
    <row r="1" spans="1:19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26" t="s">
        <v>34</v>
      </c>
      <c r="I1" s="26" t="s">
        <v>35</v>
      </c>
      <c r="J1" s="26" t="s">
        <v>36</v>
      </c>
      <c r="K1" s="26" t="s">
        <v>54</v>
      </c>
      <c r="L1" s="27" t="s">
        <v>55</v>
      </c>
    </row>
    <row r="2" spans="1:19" x14ac:dyDescent="0.3">
      <c r="A2" s="10" t="s">
        <v>7</v>
      </c>
      <c r="B2" s="3">
        <v>45662</v>
      </c>
      <c r="C2" s="3">
        <v>45666</v>
      </c>
      <c r="D2" s="4" t="s">
        <v>8</v>
      </c>
      <c r="E2" s="4" t="s">
        <v>9</v>
      </c>
      <c r="F2" s="4" t="s">
        <v>10</v>
      </c>
      <c r="G2" s="4">
        <v>25000</v>
      </c>
      <c r="H2" s="23">
        <f ca="1">TODAY()-B2</f>
        <v>562</v>
      </c>
      <c r="I2" s="24" t="str">
        <f ca="1">IF(TODAY()-B2&gt;30,"Older then 30 Days","Recent")</f>
        <v>Older then 30 Days</v>
      </c>
      <c r="J2" s="24" t="str">
        <f>IF(C2-B2&gt;7,"Within 7 days","Late")</f>
        <v>Late</v>
      </c>
      <c r="K2" s="23" t="str">
        <f ca="1">TODAY()-B2&amp;" Days"</f>
        <v>562 Days</v>
      </c>
      <c r="L2" s="25">
        <f ca="1">NOW()</f>
        <v>46224.535667708333</v>
      </c>
    </row>
    <row r="3" spans="1:19" x14ac:dyDescent="0.3">
      <c r="A3" s="10" t="s">
        <v>11</v>
      </c>
      <c r="B3" s="3">
        <v>45669</v>
      </c>
      <c r="C3" s="3">
        <v>45675</v>
      </c>
      <c r="D3" s="4" t="s">
        <v>12</v>
      </c>
      <c r="E3" s="4" t="s">
        <v>13</v>
      </c>
      <c r="F3" s="4" t="s">
        <v>10</v>
      </c>
      <c r="G3" s="4">
        <v>48000</v>
      </c>
      <c r="H3" s="23">
        <f t="shared" ref="H3:H11" ca="1" si="0">TODAY()-B3</f>
        <v>555</v>
      </c>
      <c r="I3" s="24" t="str">
        <f t="shared" ref="I3:I11" ca="1" si="1">IF(TODAY()-B3&gt;30,"Older then 30 Days","Recent")</f>
        <v>Older then 30 Days</v>
      </c>
      <c r="J3" s="24" t="str">
        <f t="shared" ref="J3:J11" si="2">IF(C3-B3&gt;7,"Within 7 days","Late")</f>
        <v>Late</v>
      </c>
      <c r="K3" s="23" t="str">
        <f t="shared" ref="K3:K11" ca="1" si="3">TODAY()-B3&amp;" Days"</f>
        <v>555 Days</v>
      </c>
      <c r="L3" s="25">
        <f t="shared" ref="L3:L11" ca="1" si="4">NOW()</f>
        <v>46224.535667708333</v>
      </c>
    </row>
    <row r="4" spans="1:19" x14ac:dyDescent="0.3">
      <c r="A4" s="10" t="s">
        <v>14</v>
      </c>
      <c r="B4" s="3">
        <v>45682</v>
      </c>
      <c r="C4" s="3">
        <v>45687</v>
      </c>
      <c r="D4" s="4" t="s">
        <v>15</v>
      </c>
      <c r="E4" s="4" t="s">
        <v>16</v>
      </c>
      <c r="F4" s="4" t="s">
        <v>17</v>
      </c>
      <c r="G4" s="4">
        <v>18500</v>
      </c>
      <c r="H4" s="23">
        <f t="shared" ca="1" si="0"/>
        <v>542</v>
      </c>
      <c r="I4" s="24" t="str">
        <f t="shared" ca="1" si="1"/>
        <v>Older then 30 Days</v>
      </c>
      <c r="J4" s="24" t="str">
        <f t="shared" si="2"/>
        <v>Late</v>
      </c>
      <c r="K4" s="23" t="str">
        <f t="shared" ca="1" si="3"/>
        <v>542 Days</v>
      </c>
      <c r="L4" s="25">
        <f t="shared" ca="1" si="4"/>
        <v>46224.535667708333</v>
      </c>
    </row>
    <row r="5" spans="1:19" x14ac:dyDescent="0.3">
      <c r="A5" s="10" t="s">
        <v>18</v>
      </c>
      <c r="B5" s="3">
        <v>45690</v>
      </c>
      <c r="C5" s="3">
        <v>45693</v>
      </c>
      <c r="D5" s="4" t="s">
        <v>19</v>
      </c>
      <c r="E5" s="4" t="s">
        <v>20</v>
      </c>
      <c r="F5" s="4" t="s">
        <v>10</v>
      </c>
      <c r="G5" s="4">
        <v>72000</v>
      </c>
      <c r="H5" s="23">
        <f t="shared" ca="1" si="0"/>
        <v>534</v>
      </c>
      <c r="I5" s="24" t="str">
        <f t="shared" ca="1" si="1"/>
        <v>Older then 30 Days</v>
      </c>
      <c r="J5" s="24" t="str">
        <f t="shared" si="2"/>
        <v>Late</v>
      </c>
      <c r="K5" s="23" t="str">
        <f t="shared" ca="1" si="3"/>
        <v>534 Days</v>
      </c>
      <c r="L5" s="25">
        <f t="shared" ca="1" si="4"/>
        <v>46224.535667708333</v>
      </c>
    </row>
    <row r="6" spans="1:19" x14ac:dyDescent="0.3">
      <c r="A6" s="10" t="s">
        <v>21</v>
      </c>
      <c r="B6" s="3">
        <v>45702</v>
      </c>
      <c r="C6" s="3">
        <v>45710</v>
      </c>
      <c r="D6" s="4" t="s">
        <v>22</v>
      </c>
      <c r="E6" s="4" t="s">
        <v>9</v>
      </c>
      <c r="F6" s="4" t="s">
        <v>23</v>
      </c>
      <c r="G6" s="4">
        <v>15000</v>
      </c>
      <c r="H6" s="23">
        <f t="shared" ca="1" si="0"/>
        <v>522</v>
      </c>
      <c r="I6" s="24" t="str">
        <f t="shared" ca="1" si="1"/>
        <v>Older then 30 Days</v>
      </c>
      <c r="J6" s="24" t="str">
        <f t="shared" si="2"/>
        <v>Within 7 days</v>
      </c>
      <c r="K6" s="23" t="str">
        <f t="shared" ca="1" si="3"/>
        <v>522 Days</v>
      </c>
      <c r="L6" s="25">
        <f t="shared" ca="1" si="4"/>
        <v>46224.535667708333</v>
      </c>
    </row>
    <row r="7" spans="1:19" x14ac:dyDescent="0.3">
      <c r="A7" s="10" t="s">
        <v>24</v>
      </c>
      <c r="B7" s="3">
        <v>45717</v>
      </c>
      <c r="C7" s="3">
        <v>45720</v>
      </c>
      <c r="D7" s="4" t="s">
        <v>25</v>
      </c>
      <c r="E7" s="4" t="s">
        <v>13</v>
      </c>
      <c r="F7" s="4" t="s">
        <v>10</v>
      </c>
      <c r="G7" s="4">
        <v>91000</v>
      </c>
      <c r="H7" s="23">
        <f t="shared" ca="1" si="0"/>
        <v>507</v>
      </c>
      <c r="I7" s="24" t="str">
        <f t="shared" ca="1" si="1"/>
        <v>Older then 30 Days</v>
      </c>
      <c r="J7" s="24" t="str">
        <f t="shared" si="2"/>
        <v>Late</v>
      </c>
      <c r="K7" s="23" t="str">
        <f t="shared" ca="1" si="3"/>
        <v>507 Days</v>
      </c>
      <c r="L7" s="25">
        <f t="shared" ca="1" si="4"/>
        <v>46224.535667708333</v>
      </c>
    </row>
    <row r="8" spans="1:19" x14ac:dyDescent="0.3">
      <c r="A8" s="10" t="s">
        <v>26</v>
      </c>
      <c r="B8" s="3">
        <f ca="1">TODAY()-20</f>
        <v>46204</v>
      </c>
      <c r="C8" s="3">
        <v>45741</v>
      </c>
      <c r="D8" s="4" t="s">
        <v>27</v>
      </c>
      <c r="E8" s="4" t="s">
        <v>16</v>
      </c>
      <c r="F8" s="4" t="s">
        <v>10</v>
      </c>
      <c r="G8" s="4">
        <v>36000</v>
      </c>
      <c r="H8" s="23">
        <f t="shared" ca="1" si="0"/>
        <v>20</v>
      </c>
      <c r="I8" s="24" t="str">
        <f t="shared" ca="1" si="1"/>
        <v>Recent</v>
      </c>
      <c r="J8" s="24" t="str">
        <f t="shared" ca="1" si="2"/>
        <v>Late</v>
      </c>
      <c r="K8" s="23" t="str">
        <f t="shared" ca="1" si="3"/>
        <v>20 Days</v>
      </c>
      <c r="L8" s="25">
        <f t="shared" ca="1" si="4"/>
        <v>46224.535667708333</v>
      </c>
    </row>
    <row r="9" spans="1:19" x14ac:dyDescent="0.3">
      <c r="A9" s="10" t="s">
        <v>28</v>
      </c>
      <c r="B9" s="3">
        <v>45743</v>
      </c>
      <c r="C9" s="3">
        <v>45750</v>
      </c>
      <c r="D9" s="4" t="s">
        <v>29</v>
      </c>
      <c r="E9" s="4" t="s">
        <v>20</v>
      </c>
      <c r="F9" s="4" t="s">
        <v>17</v>
      </c>
      <c r="G9" s="4">
        <v>42000</v>
      </c>
      <c r="H9" s="23">
        <f t="shared" ca="1" si="0"/>
        <v>481</v>
      </c>
      <c r="I9" s="24" t="str">
        <f t="shared" ca="1" si="1"/>
        <v>Older then 30 Days</v>
      </c>
      <c r="J9" s="24" t="str">
        <f t="shared" si="2"/>
        <v>Late</v>
      </c>
      <c r="K9" s="23" t="str">
        <f t="shared" ca="1" si="3"/>
        <v>481 Days</v>
      </c>
      <c r="L9" s="25">
        <f t="shared" ca="1" si="4"/>
        <v>46224.535667708333</v>
      </c>
    </row>
    <row r="10" spans="1:19" x14ac:dyDescent="0.3">
      <c r="A10" s="10" t="s">
        <v>30</v>
      </c>
      <c r="B10" s="3">
        <v>45755</v>
      </c>
      <c r="C10" s="3">
        <v>45757</v>
      </c>
      <c r="D10" s="4" t="s">
        <v>31</v>
      </c>
      <c r="E10" s="4" t="s">
        <v>9</v>
      </c>
      <c r="F10" s="4" t="s">
        <v>10</v>
      </c>
      <c r="G10" s="4">
        <v>56000</v>
      </c>
      <c r="H10" s="23">
        <f t="shared" ca="1" si="0"/>
        <v>469</v>
      </c>
      <c r="I10" s="24" t="str">
        <f t="shared" ca="1" si="1"/>
        <v>Older then 30 Days</v>
      </c>
      <c r="J10" s="24" t="str">
        <f t="shared" si="2"/>
        <v>Late</v>
      </c>
      <c r="K10" s="23" t="str">
        <f t="shared" ca="1" si="3"/>
        <v>469 Days</v>
      </c>
      <c r="L10" s="25">
        <f t="shared" ca="1" si="4"/>
        <v>46224.535667708333</v>
      </c>
    </row>
    <row r="11" spans="1:19" x14ac:dyDescent="0.3">
      <c r="A11" s="17" t="s">
        <v>32</v>
      </c>
      <c r="B11" s="18">
        <v>45767</v>
      </c>
      <c r="C11" s="18">
        <v>45774</v>
      </c>
      <c r="D11" s="19" t="s">
        <v>33</v>
      </c>
      <c r="E11" s="19" t="s">
        <v>13</v>
      </c>
      <c r="F11" s="19" t="s">
        <v>10</v>
      </c>
      <c r="G11" s="19">
        <v>67000</v>
      </c>
      <c r="H11" s="28">
        <f t="shared" ca="1" si="0"/>
        <v>457</v>
      </c>
      <c r="I11" s="29" t="str">
        <f t="shared" ca="1" si="1"/>
        <v>Older then 30 Days</v>
      </c>
      <c r="J11" s="29" t="str">
        <f t="shared" si="2"/>
        <v>Late</v>
      </c>
      <c r="K11" s="28" t="str">
        <f t="shared" ca="1" si="3"/>
        <v>457 Days</v>
      </c>
      <c r="L11" s="30">
        <f t="shared" ca="1" si="4"/>
        <v>46224.535667708333</v>
      </c>
    </row>
    <row r="14" spans="1:19" x14ac:dyDescent="0.3">
      <c r="G14" s="5"/>
      <c r="H14" s="7" t="s">
        <v>34</v>
      </c>
      <c r="I14" s="34" t="s">
        <v>49</v>
      </c>
      <c r="J14" s="34"/>
      <c r="K14" s="34"/>
      <c r="L14" s="34"/>
      <c r="M14" s="6"/>
      <c r="N14" s="6"/>
      <c r="O14" s="6"/>
      <c r="P14" s="6"/>
      <c r="Q14" s="6"/>
      <c r="R14" s="6"/>
      <c r="S14" s="6"/>
    </row>
    <row r="15" spans="1:19" ht="14.4" customHeight="1" x14ac:dyDescent="0.3">
      <c r="G15" s="5"/>
      <c r="H15" s="7" t="s">
        <v>35</v>
      </c>
      <c r="I15" s="34" t="s">
        <v>50</v>
      </c>
      <c r="J15" s="34"/>
      <c r="K15" s="34"/>
      <c r="L15" s="34"/>
      <c r="M15" s="1"/>
      <c r="N15" s="1"/>
      <c r="O15" s="1"/>
      <c r="P15" s="1"/>
      <c r="Q15" s="1"/>
      <c r="R15" s="1"/>
      <c r="S15" s="1"/>
    </row>
    <row r="16" spans="1:19" x14ac:dyDescent="0.3">
      <c r="G16" s="5"/>
      <c r="H16" s="7" t="s">
        <v>36</v>
      </c>
      <c r="I16" s="34" t="s">
        <v>51</v>
      </c>
      <c r="J16" s="34"/>
      <c r="K16" s="34"/>
      <c r="L16" s="34"/>
      <c r="M16" s="1"/>
      <c r="N16" s="1"/>
      <c r="O16" s="1"/>
      <c r="P16" s="1"/>
      <c r="Q16" s="1"/>
      <c r="R16" s="1"/>
      <c r="S16" s="1"/>
    </row>
    <row r="17" spans="7:19" ht="14.4" customHeight="1" x14ac:dyDescent="0.3">
      <c r="G17" s="5"/>
      <c r="H17" s="7" t="s">
        <v>37</v>
      </c>
      <c r="I17" s="34" t="s">
        <v>52</v>
      </c>
      <c r="J17" s="34"/>
      <c r="K17" s="34"/>
      <c r="L17" s="34"/>
      <c r="M17" s="1"/>
      <c r="N17" s="1"/>
      <c r="O17" s="1"/>
      <c r="P17" s="1"/>
      <c r="Q17" s="1"/>
      <c r="R17" s="1"/>
      <c r="S17" s="1"/>
    </row>
    <row r="18" spans="7:19" x14ac:dyDescent="0.3">
      <c r="G18" s="5"/>
      <c r="H18" s="7" t="s">
        <v>39</v>
      </c>
      <c r="I18" s="34" t="s">
        <v>53</v>
      </c>
      <c r="J18" s="34"/>
      <c r="K18" s="34"/>
      <c r="L18" s="34"/>
      <c r="M18" s="1"/>
      <c r="N18" s="1"/>
      <c r="O18" s="1"/>
      <c r="P18" s="1"/>
      <c r="Q18" s="1"/>
      <c r="R18" s="1"/>
      <c r="S18" s="1"/>
    </row>
  </sheetData>
  <mergeCells count="5">
    <mergeCell ref="I14:L14"/>
    <mergeCell ref="I15:L15"/>
    <mergeCell ref="I16:L16"/>
    <mergeCell ref="I17:L17"/>
    <mergeCell ref="I18:L18"/>
  </mergeCells>
  <pageMargins left="0.25" right="0.25" top="0.75" bottom="0.75" header="0.3" footer="0.3"/>
  <pageSetup paperSize="9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8A8E-7E5F-4189-AF76-DCFDB5A12662}">
  <dimension ref="A1:S18"/>
  <sheetViews>
    <sheetView zoomScale="130" zoomScaleNormal="130" workbookViewId="0">
      <selection activeCell="K24" sqref="K24"/>
    </sheetView>
  </sheetViews>
  <sheetFormatPr defaultRowHeight="14.4" x14ac:dyDescent="0.3"/>
  <cols>
    <col min="1" max="1" width="9.77734375" customWidth="1"/>
    <col min="2" max="2" width="11.77734375" customWidth="1"/>
    <col min="3" max="3" width="13.88671875" customWidth="1"/>
    <col min="4" max="4" width="16.44140625" customWidth="1"/>
    <col min="5" max="5" width="8.109375" customWidth="1"/>
    <col min="6" max="6" width="13.21875" customWidth="1"/>
    <col min="7" max="7" width="6.77734375" customWidth="1"/>
    <col min="8" max="8" width="6" customWidth="1"/>
    <col min="9" max="9" width="11.6640625" customWidth="1"/>
    <col min="10" max="10" width="5.33203125" customWidth="1"/>
    <col min="11" max="11" width="20.44140625" customWidth="1"/>
    <col min="12" max="12" width="12" customWidth="1"/>
  </cols>
  <sheetData>
    <row r="1" spans="1:19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26" t="s">
        <v>61</v>
      </c>
      <c r="I1" s="26" t="s">
        <v>62</v>
      </c>
      <c r="J1" s="26" t="s">
        <v>63</v>
      </c>
      <c r="K1" s="26" t="s">
        <v>64</v>
      </c>
      <c r="L1" s="27" t="s">
        <v>65</v>
      </c>
    </row>
    <row r="2" spans="1:19" x14ac:dyDescent="0.3">
      <c r="A2" s="10" t="s">
        <v>7</v>
      </c>
      <c r="B2" s="3">
        <v>45662</v>
      </c>
      <c r="C2" s="3">
        <v>45666</v>
      </c>
      <c r="D2" s="4" t="s">
        <v>8</v>
      </c>
      <c r="E2" s="4" t="s">
        <v>9</v>
      </c>
      <c r="F2" s="4" t="s">
        <v>10</v>
      </c>
      <c r="G2" s="4">
        <v>25000</v>
      </c>
      <c r="H2" s="24">
        <f>YEAR(B2)</f>
        <v>2025</v>
      </c>
      <c r="I2" s="24">
        <f>MONTH(B2)</f>
        <v>1</v>
      </c>
      <c r="J2" s="24">
        <f>DAY(B2)</f>
        <v>5</v>
      </c>
      <c r="K2" s="24" t="b">
        <f>IF(MONTH(B2)=3,TRUE,FALSE)</f>
        <v>0</v>
      </c>
      <c r="L2" s="31">
        <f>DATE(YEAR(B2),MONTH(B2),1)</f>
        <v>45658</v>
      </c>
    </row>
    <row r="3" spans="1:19" x14ac:dyDescent="0.3">
      <c r="A3" s="10" t="s">
        <v>11</v>
      </c>
      <c r="B3" s="3">
        <v>45669</v>
      </c>
      <c r="C3" s="3">
        <v>45675</v>
      </c>
      <c r="D3" s="4" t="s">
        <v>12</v>
      </c>
      <c r="E3" s="4" t="s">
        <v>13</v>
      </c>
      <c r="F3" s="4" t="s">
        <v>10</v>
      </c>
      <c r="G3" s="4">
        <v>48000</v>
      </c>
      <c r="H3" s="24">
        <f t="shared" ref="H3:H11" si="0">YEAR(B3)</f>
        <v>2025</v>
      </c>
      <c r="I3" s="24">
        <f t="shared" ref="I3:I11" si="1">MONTH(B3)</f>
        <v>1</v>
      </c>
      <c r="J3" s="24">
        <f t="shared" ref="J3:J11" si="2">DAY(B3)</f>
        <v>12</v>
      </c>
      <c r="K3" s="24" t="b">
        <f t="shared" ref="K3:K11" si="3">IF(MONTH(B3)=3,TRUE,FALSE)</f>
        <v>0</v>
      </c>
      <c r="L3" s="31">
        <f t="shared" ref="L3:L11" si="4">DATE(YEAR(B3),MONTH(B3),1)</f>
        <v>45658</v>
      </c>
    </row>
    <row r="4" spans="1:19" x14ac:dyDescent="0.3">
      <c r="A4" s="10" t="s">
        <v>14</v>
      </c>
      <c r="B4" s="3">
        <v>45682</v>
      </c>
      <c r="C4" s="3">
        <v>45687</v>
      </c>
      <c r="D4" s="4" t="s">
        <v>15</v>
      </c>
      <c r="E4" s="4" t="s">
        <v>16</v>
      </c>
      <c r="F4" s="4" t="s">
        <v>17</v>
      </c>
      <c r="G4" s="4">
        <v>18500</v>
      </c>
      <c r="H4" s="24">
        <f t="shared" si="0"/>
        <v>2025</v>
      </c>
      <c r="I4" s="24">
        <f t="shared" si="1"/>
        <v>1</v>
      </c>
      <c r="J4" s="24">
        <f t="shared" si="2"/>
        <v>25</v>
      </c>
      <c r="K4" s="24" t="b">
        <f t="shared" si="3"/>
        <v>0</v>
      </c>
      <c r="L4" s="31">
        <f t="shared" si="4"/>
        <v>45658</v>
      </c>
    </row>
    <row r="5" spans="1:19" x14ac:dyDescent="0.3">
      <c r="A5" s="10" t="s">
        <v>18</v>
      </c>
      <c r="B5" s="3">
        <v>45690</v>
      </c>
      <c r="C5" s="3">
        <v>45693</v>
      </c>
      <c r="D5" s="4" t="s">
        <v>19</v>
      </c>
      <c r="E5" s="4" t="s">
        <v>20</v>
      </c>
      <c r="F5" s="4" t="s">
        <v>10</v>
      </c>
      <c r="G5" s="4">
        <v>72000</v>
      </c>
      <c r="H5" s="24">
        <f t="shared" si="0"/>
        <v>2025</v>
      </c>
      <c r="I5" s="24">
        <f t="shared" si="1"/>
        <v>2</v>
      </c>
      <c r="J5" s="24">
        <f t="shared" si="2"/>
        <v>2</v>
      </c>
      <c r="K5" s="24" t="b">
        <f t="shared" si="3"/>
        <v>0</v>
      </c>
      <c r="L5" s="31">
        <f t="shared" si="4"/>
        <v>45689</v>
      </c>
    </row>
    <row r="6" spans="1:19" x14ac:dyDescent="0.3">
      <c r="A6" s="10" t="s">
        <v>21</v>
      </c>
      <c r="B6" s="3">
        <v>45702</v>
      </c>
      <c r="C6" s="3">
        <v>45710</v>
      </c>
      <c r="D6" s="4" t="s">
        <v>22</v>
      </c>
      <c r="E6" s="4" t="s">
        <v>9</v>
      </c>
      <c r="F6" s="4" t="s">
        <v>23</v>
      </c>
      <c r="G6" s="4">
        <v>15000</v>
      </c>
      <c r="H6" s="24">
        <f t="shared" si="0"/>
        <v>2025</v>
      </c>
      <c r="I6" s="24">
        <f t="shared" si="1"/>
        <v>2</v>
      </c>
      <c r="J6" s="24">
        <f t="shared" si="2"/>
        <v>14</v>
      </c>
      <c r="K6" s="24" t="b">
        <f t="shared" si="3"/>
        <v>0</v>
      </c>
      <c r="L6" s="31">
        <f t="shared" si="4"/>
        <v>45689</v>
      </c>
    </row>
    <row r="7" spans="1:19" x14ac:dyDescent="0.3">
      <c r="A7" s="10" t="s">
        <v>24</v>
      </c>
      <c r="B7" s="3">
        <v>45717</v>
      </c>
      <c r="C7" s="3">
        <v>45720</v>
      </c>
      <c r="D7" s="4" t="s">
        <v>25</v>
      </c>
      <c r="E7" s="4" t="s">
        <v>13</v>
      </c>
      <c r="F7" s="4" t="s">
        <v>10</v>
      </c>
      <c r="G7" s="4">
        <v>91000</v>
      </c>
      <c r="H7" s="24">
        <f t="shared" si="0"/>
        <v>2025</v>
      </c>
      <c r="I7" s="24">
        <f t="shared" si="1"/>
        <v>3</v>
      </c>
      <c r="J7" s="24">
        <f t="shared" si="2"/>
        <v>1</v>
      </c>
      <c r="K7" s="24" t="b">
        <f t="shared" si="3"/>
        <v>1</v>
      </c>
      <c r="L7" s="31">
        <f t="shared" si="4"/>
        <v>45717</v>
      </c>
    </row>
    <row r="8" spans="1:19" x14ac:dyDescent="0.3">
      <c r="A8" s="10" t="s">
        <v>26</v>
      </c>
      <c r="B8" s="3">
        <v>45734</v>
      </c>
      <c r="C8" s="3">
        <v>45741</v>
      </c>
      <c r="D8" s="4" t="s">
        <v>27</v>
      </c>
      <c r="E8" s="4" t="s">
        <v>16</v>
      </c>
      <c r="F8" s="4" t="s">
        <v>10</v>
      </c>
      <c r="G8" s="4">
        <v>36000</v>
      </c>
      <c r="H8" s="24">
        <f t="shared" si="0"/>
        <v>2025</v>
      </c>
      <c r="I8" s="24">
        <f t="shared" si="1"/>
        <v>3</v>
      </c>
      <c r="J8" s="24">
        <f t="shared" si="2"/>
        <v>18</v>
      </c>
      <c r="K8" s="24" t="b">
        <f t="shared" si="3"/>
        <v>1</v>
      </c>
      <c r="L8" s="31">
        <f t="shared" si="4"/>
        <v>45717</v>
      </c>
    </row>
    <row r="9" spans="1:19" x14ac:dyDescent="0.3">
      <c r="A9" s="10" t="s">
        <v>28</v>
      </c>
      <c r="B9" s="3">
        <v>45743</v>
      </c>
      <c r="C9" s="3">
        <v>45750</v>
      </c>
      <c r="D9" s="4" t="s">
        <v>29</v>
      </c>
      <c r="E9" s="4" t="s">
        <v>20</v>
      </c>
      <c r="F9" s="4" t="s">
        <v>17</v>
      </c>
      <c r="G9" s="4">
        <v>42000</v>
      </c>
      <c r="H9" s="24">
        <f t="shared" si="0"/>
        <v>2025</v>
      </c>
      <c r="I9" s="24">
        <f t="shared" si="1"/>
        <v>3</v>
      </c>
      <c r="J9" s="24">
        <f t="shared" si="2"/>
        <v>27</v>
      </c>
      <c r="K9" s="24" t="b">
        <f t="shared" si="3"/>
        <v>1</v>
      </c>
      <c r="L9" s="31">
        <f t="shared" si="4"/>
        <v>45717</v>
      </c>
    </row>
    <row r="10" spans="1:19" x14ac:dyDescent="0.3">
      <c r="A10" s="10" t="s">
        <v>30</v>
      </c>
      <c r="B10" s="3">
        <v>45755</v>
      </c>
      <c r="C10" s="3">
        <v>45757</v>
      </c>
      <c r="D10" s="4" t="s">
        <v>31</v>
      </c>
      <c r="E10" s="4" t="s">
        <v>9</v>
      </c>
      <c r="F10" s="4" t="s">
        <v>10</v>
      </c>
      <c r="G10" s="4">
        <v>56000</v>
      </c>
      <c r="H10" s="24">
        <f t="shared" si="0"/>
        <v>2025</v>
      </c>
      <c r="I10" s="24">
        <f t="shared" si="1"/>
        <v>4</v>
      </c>
      <c r="J10" s="24">
        <f t="shared" si="2"/>
        <v>8</v>
      </c>
      <c r="K10" s="24" t="b">
        <f t="shared" si="3"/>
        <v>0</v>
      </c>
      <c r="L10" s="31">
        <f t="shared" si="4"/>
        <v>45748</v>
      </c>
    </row>
    <row r="11" spans="1:19" x14ac:dyDescent="0.3">
      <c r="A11" s="17" t="s">
        <v>32</v>
      </c>
      <c r="B11" s="18">
        <v>45767</v>
      </c>
      <c r="C11" s="18">
        <v>45774</v>
      </c>
      <c r="D11" s="19" t="s">
        <v>33</v>
      </c>
      <c r="E11" s="19" t="s">
        <v>13</v>
      </c>
      <c r="F11" s="19" t="s">
        <v>10</v>
      </c>
      <c r="G11" s="19">
        <v>67000</v>
      </c>
      <c r="H11" s="29">
        <f t="shared" si="0"/>
        <v>2025</v>
      </c>
      <c r="I11" s="29">
        <f t="shared" si="1"/>
        <v>4</v>
      </c>
      <c r="J11" s="29">
        <f t="shared" si="2"/>
        <v>20</v>
      </c>
      <c r="K11" s="29" t="b">
        <f t="shared" si="3"/>
        <v>0</v>
      </c>
      <c r="L11" s="32">
        <f t="shared" si="4"/>
        <v>45748</v>
      </c>
    </row>
    <row r="14" spans="1:19" x14ac:dyDescent="0.3">
      <c r="G14" s="5"/>
      <c r="H14" s="7" t="s">
        <v>34</v>
      </c>
      <c r="I14" s="34" t="s">
        <v>56</v>
      </c>
      <c r="J14" s="34"/>
      <c r="K14" s="34"/>
      <c r="L14" s="34"/>
      <c r="M14" s="6"/>
      <c r="N14" s="6"/>
      <c r="O14" s="6"/>
      <c r="P14" s="6"/>
      <c r="Q14" s="6"/>
      <c r="R14" s="6"/>
      <c r="S14" s="6"/>
    </row>
    <row r="15" spans="1:19" ht="14.4" customHeight="1" x14ac:dyDescent="0.3">
      <c r="G15" s="5"/>
      <c r="H15" s="7" t="s">
        <v>35</v>
      </c>
      <c r="I15" s="34" t="s">
        <v>57</v>
      </c>
      <c r="J15" s="34"/>
      <c r="K15" s="34"/>
      <c r="L15" s="34"/>
      <c r="M15" s="1"/>
      <c r="N15" s="1"/>
      <c r="O15" s="1"/>
      <c r="P15" s="1"/>
      <c r="Q15" s="1"/>
      <c r="R15" s="1"/>
      <c r="S15" s="1"/>
    </row>
    <row r="16" spans="1:19" x14ac:dyDescent="0.3">
      <c r="G16" s="5"/>
      <c r="H16" s="7" t="s">
        <v>36</v>
      </c>
      <c r="I16" s="34" t="s">
        <v>58</v>
      </c>
      <c r="J16" s="34"/>
      <c r="K16" s="34"/>
      <c r="L16" s="34"/>
      <c r="M16" s="1"/>
      <c r="N16" s="1"/>
      <c r="O16" s="1"/>
      <c r="P16" s="1"/>
      <c r="Q16" s="1"/>
      <c r="R16" s="1"/>
      <c r="S16" s="1"/>
    </row>
    <row r="17" spans="7:19" ht="14.4" customHeight="1" x14ac:dyDescent="0.3">
      <c r="G17" s="5"/>
      <c r="H17" s="7" t="s">
        <v>37</v>
      </c>
      <c r="I17" s="34" t="s">
        <v>59</v>
      </c>
      <c r="J17" s="34"/>
      <c r="K17" s="34"/>
      <c r="L17" s="34"/>
      <c r="M17" s="1"/>
      <c r="N17" s="1"/>
      <c r="O17" s="1"/>
      <c r="P17" s="1"/>
      <c r="Q17" s="1"/>
      <c r="R17" s="1"/>
      <c r="S17" s="1"/>
    </row>
    <row r="18" spans="7:19" x14ac:dyDescent="0.3">
      <c r="G18" s="5"/>
      <c r="H18" s="7" t="s">
        <v>39</v>
      </c>
      <c r="I18" s="34" t="s">
        <v>60</v>
      </c>
      <c r="J18" s="34"/>
      <c r="K18" s="34"/>
      <c r="L18" s="34"/>
      <c r="M18" s="1"/>
      <c r="N18" s="1"/>
      <c r="O18" s="1"/>
      <c r="P18" s="1"/>
      <c r="Q18" s="1"/>
      <c r="R18" s="1"/>
      <c r="S18" s="1"/>
    </row>
  </sheetData>
  <mergeCells count="5">
    <mergeCell ref="I14:L14"/>
    <mergeCell ref="I15:L15"/>
    <mergeCell ref="I16:L16"/>
    <mergeCell ref="I17:L17"/>
    <mergeCell ref="I18:L18"/>
  </mergeCells>
  <pageMargins left="0.25" right="0.25" top="0.75" bottom="0.75" header="0.3" footer="0.3"/>
  <pageSetup paperSize="9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D9C82-0C95-4F08-BCE6-FCCF0B7A3D37}">
  <dimension ref="A1:R18"/>
  <sheetViews>
    <sheetView zoomScale="130" zoomScaleNormal="130" workbookViewId="0">
      <selection activeCell="H1" sqref="H1:L18"/>
    </sheetView>
  </sheetViews>
  <sheetFormatPr defaultRowHeight="14.4" x14ac:dyDescent="0.3"/>
  <cols>
    <col min="1" max="1" width="9.77734375" customWidth="1"/>
    <col min="2" max="2" width="11.77734375" customWidth="1"/>
    <col min="3" max="3" width="13.88671875" customWidth="1"/>
    <col min="4" max="4" width="16.44140625" customWidth="1"/>
    <col min="5" max="5" width="8.109375" customWidth="1"/>
    <col min="6" max="6" width="13.21875" customWidth="1"/>
    <col min="7" max="7" width="6.77734375" customWidth="1"/>
    <col min="8" max="8" width="17" customWidth="1"/>
    <col min="9" max="9" width="10.33203125" customWidth="1"/>
    <col min="10" max="10" width="14.21875" customWidth="1"/>
    <col min="11" max="11" width="14" customWidth="1"/>
    <col min="12" max="12" width="8.5546875" bestFit="1" customWidth="1"/>
  </cols>
  <sheetData>
    <row r="1" spans="1:18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26" t="s">
        <v>73</v>
      </c>
      <c r="I1" s="26" t="s">
        <v>72</v>
      </c>
      <c r="J1" s="26" t="s">
        <v>71</v>
      </c>
      <c r="K1" s="26" t="s">
        <v>74</v>
      </c>
      <c r="L1" s="27" t="s">
        <v>75</v>
      </c>
    </row>
    <row r="2" spans="1:18" x14ac:dyDescent="0.3">
      <c r="A2" s="10" t="s">
        <v>7</v>
      </c>
      <c r="B2" s="3">
        <v>45662</v>
      </c>
      <c r="C2" s="3">
        <v>45666</v>
      </c>
      <c r="D2" s="4" t="s">
        <v>8</v>
      </c>
      <c r="E2" s="4" t="s">
        <v>9</v>
      </c>
      <c r="F2" s="4" t="s">
        <v>10</v>
      </c>
      <c r="G2" s="4">
        <v>25000</v>
      </c>
      <c r="H2" s="24">
        <f>WEEKNUM(B2,2)</f>
        <v>1</v>
      </c>
      <c r="I2" s="24" t="b">
        <f>IF(WEEKDAY(B2,2)&gt;5,TRUE,FALSE)</f>
        <v>1</v>
      </c>
      <c r="J2" s="24">
        <f>WEEKNUM(B2)</f>
        <v>2</v>
      </c>
      <c r="K2" s="24">
        <f>COUNTIF(J2:J11,12)</f>
        <v>1</v>
      </c>
      <c r="L2" s="33" t="str">
        <f>IF(WEEKDAY(B2)&gt;5,"Weekend","Weekday")</f>
        <v>Weekday</v>
      </c>
    </row>
    <row r="3" spans="1:18" x14ac:dyDescent="0.3">
      <c r="A3" s="10" t="s">
        <v>11</v>
      </c>
      <c r="B3" s="3">
        <v>45669</v>
      </c>
      <c r="C3" s="3">
        <v>45675</v>
      </c>
      <c r="D3" s="4" t="s">
        <v>12</v>
      </c>
      <c r="E3" s="4" t="s">
        <v>13</v>
      </c>
      <c r="F3" s="4" t="s">
        <v>10</v>
      </c>
      <c r="G3" s="4">
        <v>48000</v>
      </c>
      <c r="H3" s="24">
        <f t="shared" ref="H3:H11" si="0">WEEKNUM(B3,2)</f>
        <v>2</v>
      </c>
      <c r="I3" s="24" t="b">
        <f t="shared" ref="I3:I11" si="1">IF(WEEKDAY(B3,2)&gt;5,TRUE,FALSE)</f>
        <v>1</v>
      </c>
      <c r="J3" s="24">
        <f t="shared" ref="J3:J11" si="2">WEEKNUM(B3)</f>
        <v>3</v>
      </c>
      <c r="K3" s="24"/>
      <c r="L3" s="33" t="str">
        <f t="shared" ref="L3:L11" si="3">IF(WEEKDAY(B3)&gt;5,"Weekend","Weekday")</f>
        <v>Weekday</v>
      </c>
    </row>
    <row r="4" spans="1:18" x14ac:dyDescent="0.3">
      <c r="A4" s="10" t="s">
        <v>14</v>
      </c>
      <c r="B4" s="3">
        <v>45682</v>
      </c>
      <c r="C4" s="3">
        <v>45687</v>
      </c>
      <c r="D4" s="4" t="s">
        <v>15</v>
      </c>
      <c r="E4" s="4" t="s">
        <v>16</v>
      </c>
      <c r="F4" s="4" t="s">
        <v>17</v>
      </c>
      <c r="G4" s="4">
        <v>18500</v>
      </c>
      <c r="H4" s="24">
        <f t="shared" si="0"/>
        <v>4</v>
      </c>
      <c r="I4" s="24" t="b">
        <f t="shared" si="1"/>
        <v>1</v>
      </c>
      <c r="J4" s="24">
        <f t="shared" si="2"/>
        <v>4</v>
      </c>
      <c r="K4" s="24"/>
      <c r="L4" s="33" t="str">
        <f t="shared" si="3"/>
        <v>Weekend</v>
      </c>
    </row>
    <row r="5" spans="1:18" x14ac:dyDescent="0.3">
      <c r="A5" s="10" t="s">
        <v>18</v>
      </c>
      <c r="B5" s="3">
        <v>45690</v>
      </c>
      <c r="C5" s="3">
        <v>45693</v>
      </c>
      <c r="D5" s="4" t="s">
        <v>19</v>
      </c>
      <c r="E5" s="4" t="s">
        <v>20</v>
      </c>
      <c r="F5" s="4" t="s">
        <v>10</v>
      </c>
      <c r="G5" s="4">
        <v>72000</v>
      </c>
      <c r="H5" s="24">
        <f t="shared" si="0"/>
        <v>5</v>
      </c>
      <c r="I5" s="24" t="b">
        <f t="shared" si="1"/>
        <v>1</v>
      </c>
      <c r="J5" s="24">
        <f t="shared" si="2"/>
        <v>6</v>
      </c>
      <c r="K5" s="24"/>
      <c r="L5" s="33" t="str">
        <f t="shared" si="3"/>
        <v>Weekday</v>
      </c>
    </row>
    <row r="6" spans="1:18" x14ac:dyDescent="0.3">
      <c r="A6" s="10" t="s">
        <v>21</v>
      </c>
      <c r="B6" s="3">
        <v>45702</v>
      </c>
      <c r="C6" s="3">
        <v>45710</v>
      </c>
      <c r="D6" s="4" t="s">
        <v>22</v>
      </c>
      <c r="E6" s="4" t="s">
        <v>9</v>
      </c>
      <c r="F6" s="4" t="s">
        <v>23</v>
      </c>
      <c r="G6" s="4">
        <v>15000</v>
      </c>
      <c r="H6" s="24">
        <f t="shared" si="0"/>
        <v>7</v>
      </c>
      <c r="I6" s="24" t="b">
        <f t="shared" si="1"/>
        <v>0</v>
      </c>
      <c r="J6" s="24">
        <f t="shared" si="2"/>
        <v>7</v>
      </c>
      <c r="K6" s="24"/>
      <c r="L6" s="33" t="str">
        <f t="shared" si="3"/>
        <v>Weekend</v>
      </c>
    </row>
    <row r="7" spans="1:18" x14ac:dyDescent="0.3">
      <c r="A7" s="10" t="s">
        <v>24</v>
      </c>
      <c r="B7" s="3">
        <v>45717</v>
      </c>
      <c r="C7" s="3">
        <v>45720</v>
      </c>
      <c r="D7" s="4" t="s">
        <v>25</v>
      </c>
      <c r="E7" s="4" t="s">
        <v>13</v>
      </c>
      <c r="F7" s="4" t="s">
        <v>10</v>
      </c>
      <c r="G7" s="4">
        <v>91000</v>
      </c>
      <c r="H7" s="24">
        <f t="shared" si="0"/>
        <v>9</v>
      </c>
      <c r="I7" s="24" t="b">
        <f t="shared" si="1"/>
        <v>1</v>
      </c>
      <c r="J7" s="24">
        <f t="shared" si="2"/>
        <v>9</v>
      </c>
      <c r="K7" s="24"/>
      <c r="L7" s="33" t="str">
        <f t="shared" si="3"/>
        <v>Weekend</v>
      </c>
    </row>
    <row r="8" spans="1:18" x14ac:dyDescent="0.3">
      <c r="A8" s="10" t="s">
        <v>26</v>
      </c>
      <c r="B8" s="3">
        <v>45734</v>
      </c>
      <c r="C8" s="3">
        <v>45741</v>
      </c>
      <c r="D8" s="4" t="s">
        <v>27</v>
      </c>
      <c r="E8" s="4" t="s">
        <v>16</v>
      </c>
      <c r="F8" s="4" t="s">
        <v>10</v>
      </c>
      <c r="G8" s="4">
        <v>36000</v>
      </c>
      <c r="H8" s="24">
        <f t="shared" si="0"/>
        <v>12</v>
      </c>
      <c r="I8" s="24" t="b">
        <f t="shared" si="1"/>
        <v>0</v>
      </c>
      <c r="J8" s="24">
        <f t="shared" si="2"/>
        <v>12</v>
      </c>
      <c r="K8" s="24"/>
      <c r="L8" s="33" t="str">
        <f t="shared" si="3"/>
        <v>Weekday</v>
      </c>
    </row>
    <row r="9" spans="1:18" x14ac:dyDescent="0.3">
      <c r="A9" s="10" t="s">
        <v>28</v>
      </c>
      <c r="B9" s="3">
        <v>45743</v>
      </c>
      <c r="C9" s="3">
        <v>45750</v>
      </c>
      <c r="D9" s="4" t="s">
        <v>29</v>
      </c>
      <c r="E9" s="4" t="s">
        <v>20</v>
      </c>
      <c r="F9" s="4" t="s">
        <v>17</v>
      </c>
      <c r="G9" s="4">
        <v>42000</v>
      </c>
      <c r="H9" s="24">
        <f t="shared" si="0"/>
        <v>13</v>
      </c>
      <c r="I9" s="24" t="b">
        <f t="shared" si="1"/>
        <v>0</v>
      </c>
      <c r="J9" s="24">
        <f t="shared" si="2"/>
        <v>13</v>
      </c>
      <c r="K9" s="24"/>
      <c r="L9" s="33" t="str">
        <f t="shared" si="3"/>
        <v>Weekday</v>
      </c>
    </row>
    <row r="10" spans="1:18" x14ac:dyDescent="0.3">
      <c r="A10" s="10" t="s">
        <v>30</v>
      </c>
      <c r="B10" s="3">
        <v>45755</v>
      </c>
      <c r="C10" s="3">
        <v>45757</v>
      </c>
      <c r="D10" s="4" t="s">
        <v>31</v>
      </c>
      <c r="E10" s="4" t="s">
        <v>9</v>
      </c>
      <c r="F10" s="4" t="s">
        <v>10</v>
      </c>
      <c r="G10" s="4">
        <v>56000</v>
      </c>
      <c r="H10" s="24">
        <f t="shared" si="0"/>
        <v>15</v>
      </c>
      <c r="I10" s="24" t="b">
        <f t="shared" si="1"/>
        <v>0</v>
      </c>
      <c r="J10" s="24">
        <f t="shared" si="2"/>
        <v>15</v>
      </c>
      <c r="K10" s="24"/>
      <c r="L10" s="33" t="str">
        <f t="shared" si="3"/>
        <v>Weekday</v>
      </c>
    </row>
    <row r="11" spans="1:18" x14ac:dyDescent="0.3">
      <c r="A11" s="17" t="s">
        <v>32</v>
      </c>
      <c r="B11" s="18">
        <v>45767</v>
      </c>
      <c r="C11" s="18">
        <v>45774</v>
      </c>
      <c r="D11" s="19" t="s">
        <v>33</v>
      </c>
      <c r="E11" s="19" t="s">
        <v>13</v>
      </c>
      <c r="F11" s="19" t="s">
        <v>10</v>
      </c>
      <c r="G11" s="19">
        <v>67000</v>
      </c>
      <c r="H11" s="29">
        <f t="shared" si="0"/>
        <v>16</v>
      </c>
      <c r="I11" s="29" t="b">
        <f t="shared" si="1"/>
        <v>1</v>
      </c>
      <c r="J11" s="29">
        <f t="shared" si="2"/>
        <v>17</v>
      </c>
      <c r="K11" s="29"/>
      <c r="L11" s="33" t="str">
        <f t="shared" si="3"/>
        <v>Weekday</v>
      </c>
    </row>
    <row r="14" spans="1:18" x14ac:dyDescent="0.3">
      <c r="G14" s="5"/>
      <c r="H14" s="7" t="s">
        <v>34</v>
      </c>
      <c r="I14" s="34" t="s">
        <v>66</v>
      </c>
      <c r="J14" s="34"/>
      <c r="K14" s="34"/>
      <c r="L14" s="6"/>
      <c r="M14" s="6"/>
      <c r="N14" s="6"/>
      <c r="O14" s="6"/>
      <c r="P14" s="6"/>
      <c r="Q14" s="6"/>
      <c r="R14" s="6"/>
    </row>
    <row r="15" spans="1:18" ht="14.4" customHeight="1" x14ac:dyDescent="0.3">
      <c r="G15" s="5"/>
      <c r="H15" s="7" t="s">
        <v>35</v>
      </c>
      <c r="I15" s="34" t="s">
        <v>67</v>
      </c>
      <c r="J15" s="34"/>
      <c r="K15" s="34"/>
      <c r="L15" s="1"/>
      <c r="M15" s="1"/>
      <c r="N15" s="1"/>
      <c r="O15" s="1"/>
      <c r="P15" s="1"/>
      <c r="Q15" s="1"/>
      <c r="R15" s="1"/>
    </row>
    <row r="16" spans="1:18" x14ac:dyDescent="0.3">
      <c r="G16" s="5"/>
      <c r="H16" s="7" t="s">
        <v>36</v>
      </c>
      <c r="I16" s="34" t="s">
        <v>68</v>
      </c>
      <c r="J16" s="34"/>
      <c r="K16" s="34"/>
      <c r="L16" s="1"/>
      <c r="M16" s="1"/>
      <c r="N16" s="1"/>
      <c r="O16" s="1"/>
      <c r="P16" s="1"/>
      <c r="Q16" s="1"/>
      <c r="R16" s="1"/>
    </row>
    <row r="17" spans="7:18" ht="14.4" customHeight="1" x14ac:dyDescent="0.3">
      <c r="G17" s="5"/>
      <c r="H17" s="7" t="s">
        <v>37</v>
      </c>
      <c r="I17" s="34" t="s">
        <v>69</v>
      </c>
      <c r="J17" s="34"/>
      <c r="K17" s="34"/>
      <c r="L17" s="1"/>
      <c r="M17" s="1"/>
      <c r="N17" s="1"/>
      <c r="O17" s="1"/>
      <c r="P17" s="1"/>
      <c r="Q17" s="1"/>
      <c r="R17" s="1"/>
    </row>
    <row r="18" spans="7:18" x14ac:dyDescent="0.3">
      <c r="G18" s="5"/>
      <c r="H18" s="7" t="s">
        <v>39</v>
      </c>
      <c r="I18" s="34" t="s">
        <v>70</v>
      </c>
      <c r="J18" s="34"/>
      <c r="K18" s="34"/>
      <c r="L18" s="1"/>
      <c r="M18" s="1"/>
      <c r="N18" s="1"/>
      <c r="O18" s="1"/>
      <c r="P18" s="1"/>
      <c r="Q18" s="1"/>
      <c r="R18" s="1"/>
    </row>
  </sheetData>
  <mergeCells count="5">
    <mergeCell ref="I14:K14"/>
    <mergeCell ref="I15:K15"/>
    <mergeCell ref="I16:K16"/>
    <mergeCell ref="I17:K17"/>
    <mergeCell ref="I18:K18"/>
  </mergeCells>
  <pageMargins left="0.25" right="0.25" top="0.75" bottom="0.75" header="0.3" footer="0.3"/>
  <pageSetup paperSize="9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9A761-1F1D-4891-B1BB-098FAE98D958}">
  <dimension ref="A1:S18"/>
  <sheetViews>
    <sheetView zoomScale="130" zoomScaleNormal="130" workbookViewId="0">
      <selection activeCell="F23" sqref="F23"/>
    </sheetView>
  </sheetViews>
  <sheetFormatPr defaultRowHeight="14.4" x14ac:dyDescent="0.3"/>
  <cols>
    <col min="1" max="1" width="9.77734375" customWidth="1"/>
    <col min="2" max="2" width="11.77734375" customWidth="1"/>
    <col min="3" max="3" width="13.88671875" customWidth="1"/>
    <col min="4" max="4" width="16.44140625" customWidth="1"/>
    <col min="5" max="5" width="8.109375" customWidth="1"/>
    <col min="6" max="6" width="13.21875" customWidth="1"/>
    <col min="7" max="7" width="6.77734375" customWidth="1"/>
    <col min="8" max="8" width="13.6640625" customWidth="1"/>
    <col min="9" max="10" width="10.6640625" customWidth="1"/>
    <col min="11" max="11" width="18.6640625" customWidth="1"/>
    <col min="12" max="12" width="10.6640625" customWidth="1"/>
  </cols>
  <sheetData>
    <row r="1" spans="1:19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26" t="s">
        <v>80</v>
      </c>
      <c r="I1" s="26" t="s">
        <v>35</v>
      </c>
      <c r="J1" s="26" t="s">
        <v>36</v>
      </c>
      <c r="K1" s="26" t="s">
        <v>82</v>
      </c>
      <c r="L1" s="27" t="s">
        <v>39</v>
      </c>
    </row>
    <row r="2" spans="1:19" x14ac:dyDescent="0.3">
      <c r="A2" s="10" t="s">
        <v>7</v>
      </c>
      <c r="B2" s="3">
        <v>45662</v>
      </c>
      <c r="C2" s="3">
        <v>45666</v>
      </c>
      <c r="D2" s="4" t="s">
        <v>8</v>
      </c>
      <c r="E2" s="4" t="s">
        <v>9</v>
      </c>
      <c r="F2" s="4" t="s">
        <v>10</v>
      </c>
      <c r="G2" s="4">
        <v>25000</v>
      </c>
      <c r="H2" s="24" t="str">
        <f>DATEDIF(B2,C2,"D")&amp;" days"</f>
        <v>4 days</v>
      </c>
      <c r="I2" s="24" t="str">
        <f>IF(DATEDIF(B2,C2,"D")&gt;5,A2,"")</f>
        <v/>
      </c>
      <c r="J2" s="24" t="str">
        <f>IF(DATEDIF(B2,C2,"D")&lt;3,A2,"")</f>
        <v/>
      </c>
      <c r="K2" s="24" t="str" cm="1">
        <f t="array" ref="K2">_xlfn.IFS(DATEDIF(B2,C2,"D")&lt;3,"Fast",DATEDIF(B2,C2,"D")&lt;=5,"Normal",TRUE,"Delayed")</f>
        <v>Normal</v>
      </c>
      <c r="L2" s="33" t="str">
        <f ca="1">DATEDIF(B2,TODAY(),"M")&amp;" months"</f>
        <v>18 months</v>
      </c>
    </row>
    <row r="3" spans="1:19" x14ac:dyDescent="0.3">
      <c r="A3" s="10" t="s">
        <v>11</v>
      </c>
      <c r="B3" s="3">
        <v>45669</v>
      </c>
      <c r="C3" s="3">
        <v>45675</v>
      </c>
      <c r="D3" s="4" t="s">
        <v>12</v>
      </c>
      <c r="E3" s="4" t="s">
        <v>13</v>
      </c>
      <c r="F3" s="4" t="s">
        <v>10</v>
      </c>
      <c r="G3" s="4">
        <v>48000</v>
      </c>
      <c r="H3" s="24" t="str">
        <f t="shared" ref="H3:H11" si="0">DATEDIF(B3,C3,"D")&amp;" days"</f>
        <v>6 days</v>
      </c>
      <c r="I3" s="24" t="str">
        <f t="shared" ref="I3:I11" si="1">IF(DATEDIF(B3,C3,"D")&gt;5,A3,"")</f>
        <v>ORD002</v>
      </c>
      <c r="J3" s="24" t="str">
        <f t="shared" ref="J3:J11" si="2">IF(DATEDIF(B3,C3,"D")&lt;3,A3,"")</f>
        <v/>
      </c>
      <c r="K3" s="24" t="str" cm="1">
        <f t="array" ref="K3">_xlfn.IFS(DATEDIF(B3,C3,"D")&lt;3,"Fast",DATEDIF(B3,C3,"D")&lt;=5,"Normal",TRUE,"Delayed")</f>
        <v>Delayed</v>
      </c>
      <c r="L3" s="33" t="str">
        <f t="shared" ref="L3:L11" ca="1" si="3">DATEDIF(B3,TODAY(),"M")&amp;" months"</f>
        <v>18 months</v>
      </c>
    </row>
    <row r="4" spans="1:19" x14ac:dyDescent="0.3">
      <c r="A4" s="10" t="s">
        <v>14</v>
      </c>
      <c r="B4" s="3">
        <v>45682</v>
      </c>
      <c r="C4" s="3">
        <v>45687</v>
      </c>
      <c r="D4" s="4" t="s">
        <v>15</v>
      </c>
      <c r="E4" s="4" t="s">
        <v>16</v>
      </c>
      <c r="F4" s="4" t="s">
        <v>17</v>
      </c>
      <c r="G4" s="4">
        <v>18500</v>
      </c>
      <c r="H4" s="24" t="str">
        <f t="shared" si="0"/>
        <v>5 days</v>
      </c>
      <c r="I4" s="24" t="str">
        <f t="shared" si="1"/>
        <v/>
      </c>
      <c r="J4" s="24" t="str">
        <f t="shared" si="2"/>
        <v/>
      </c>
      <c r="K4" s="24" t="str" cm="1">
        <f t="array" ref="K4">_xlfn.IFS(DATEDIF(B4,C4,"D")&lt;3,"Fast",DATEDIF(B4,C4,"D")&lt;=5,"Normal",TRUE,"Delayed")</f>
        <v>Normal</v>
      </c>
      <c r="L4" s="33" t="str">
        <f t="shared" ca="1" si="3"/>
        <v>17 months</v>
      </c>
    </row>
    <row r="5" spans="1:19" x14ac:dyDescent="0.3">
      <c r="A5" s="10" t="s">
        <v>18</v>
      </c>
      <c r="B5" s="3">
        <v>45690</v>
      </c>
      <c r="C5" s="3">
        <v>45693</v>
      </c>
      <c r="D5" s="4" t="s">
        <v>19</v>
      </c>
      <c r="E5" s="4" t="s">
        <v>20</v>
      </c>
      <c r="F5" s="4" t="s">
        <v>10</v>
      </c>
      <c r="G5" s="4">
        <v>72000</v>
      </c>
      <c r="H5" s="24" t="str">
        <f t="shared" si="0"/>
        <v>3 days</v>
      </c>
      <c r="I5" s="24" t="str">
        <f t="shared" si="1"/>
        <v/>
      </c>
      <c r="J5" s="24" t="str">
        <f t="shared" si="2"/>
        <v/>
      </c>
      <c r="K5" s="24" t="str" cm="1">
        <f t="array" ref="K5">_xlfn.IFS(DATEDIF(B5,C5,"D")&lt;3,"Fast",DATEDIF(B5,C5,"D")&lt;=5,"Normal",TRUE,"Delayed")</f>
        <v>Normal</v>
      </c>
      <c r="L5" s="33" t="str">
        <f t="shared" ca="1" si="3"/>
        <v>17 months</v>
      </c>
    </row>
    <row r="6" spans="1:19" x14ac:dyDescent="0.3">
      <c r="A6" s="10" t="s">
        <v>21</v>
      </c>
      <c r="B6" s="3">
        <v>45702</v>
      </c>
      <c r="C6" s="3">
        <v>45710</v>
      </c>
      <c r="D6" s="4" t="s">
        <v>22</v>
      </c>
      <c r="E6" s="4" t="s">
        <v>9</v>
      </c>
      <c r="F6" s="4" t="s">
        <v>23</v>
      </c>
      <c r="G6" s="4">
        <v>15000</v>
      </c>
      <c r="H6" s="24" t="str">
        <f t="shared" si="0"/>
        <v>8 days</v>
      </c>
      <c r="I6" s="24" t="str">
        <f t="shared" si="1"/>
        <v>ORD005</v>
      </c>
      <c r="J6" s="24" t="str">
        <f t="shared" si="2"/>
        <v/>
      </c>
      <c r="K6" s="24" t="str" cm="1">
        <f t="array" ref="K6">_xlfn.IFS(DATEDIF(B6,C6,"D")&lt;3,"Fast",DATEDIF(B6,C6,"D")&lt;=5,"Normal",TRUE,"Delayed")</f>
        <v>Delayed</v>
      </c>
      <c r="L6" s="33" t="str">
        <f t="shared" ca="1" si="3"/>
        <v>17 months</v>
      </c>
    </row>
    <row r="7" spans="1:19" x14ac:dyDescent="0.3">
      <c r="A7" s="10" t="s">
        <v>24</v>
      </c>
      <c r="B7" s="3">
        <v>45717</v>
      </c>
      <c r="C7" s="3">
        <v>45720</v>
      </c>
      <c r="D7" s="4" t="s">
        <v>25</v>
      </c>
      <c r="E7" s="4" t="s">
        <v>13</v>
      </c>
      <c r="F7" s="4" t="s">
        <v>10</v>
      </c>
      <c r="G7" s="4">
        <v>91000</v>
      </c>
      <c r="H7" s="24" t="str">
        <f t="shared" si="0"/>
        <v>3 days</v>
      </c>
      <c r="I7" s="24" t="str">
        <f t="shared" si="1"/>
        <v/>
      </c>
      <c r="J7" s="24" t="str">
        <f t="shared" si="2"/>
        <v/>
      </c>
      <c r="K7" s="24" t="str" cm="1">
        <f t="array" ref="K7">_xlfn.IFS(DATEDIF(B7,C7,"D")&lt;3,"Fast",DATEDIF(B7,C7,"D")&lt;=5,"Normal",TRUE,"Delayed")</f>
        <v>Normal</v>
      </c>
      <c r="L7" s="33" t="str">
        <f t="shared" ca="1" si="3"/>
        <v>16 months</v>
      </c>
    </row>
    <row r="8" spans="1:19" x14ac:dyDescent="0.3">
      <c r="A8" s="10" t="s">
        <v>26</v>
      </c>
      <c r="B8" s="3">
        <v>45734</v>
      </c>
      <c r="C8" s="3">
        <v>45741</v>
      </c>
      <c r="D8" s="4" t="s">
        <v>27</v>
      </c>
      <c r="E8" s="4" t="s">
        <v>16</v>
      </c>
      <c r="F8" s="4" t="s">
        <v>10</v>
      </c>
      <c r="G8" s="4">
        <v>36000</v>
      </c>
      <c r="H8" s="24" t="str">
        <f t="shared" si="0"/>
        <v>7 days</v>
      </c>
      <c r="I8" s="24" t="str">
        <f t="shared" si="1"/>
        <v>ORD007</v>
      </c>
      <c r="J8" s="24" t="str">
        <f t="shared" si="2"/>
        <v/>
      </c>
      <c r="K8" s="24" t="str" cm="1">
        <f t="array" ref="K8">_xlfn.IFS(DATEDIF(B8,C8,"D")&lt;3,"Fast",DATEDIF(B8,C8,"D")&lt;=5,"Normal",TRUE,"Delayed")</f>
        <v>Delayed</v>
      </c>
      <c r="L8" s="33" t="str">
        <f t="shared" ca="1" si="3"/>
        <v>16 months</v>
      </c>
    </row>
    <row r="9" spans="1:19" x14ac:dyDescent="0.3">
      <c r="A9" s="10" t="s">
        <v>28</v>
      </c>
      <c r="B9" s="3">
        <v>45743</v>
      </c>
      <c r="C9" s="3">
        <v>45750</v>
      </c>
      <c r="D9" s="4" t="s">
        <v>29</v>
      </c>
      <c r="E9" s="4" t="s">
        <v>20</v>
      </c>
      <c r="F9" s="4" t="s">
        <v>17</v>
      </c>
      <c r="G9" s="4">
        <v>42000</v>
      </c>
      <c r="H9" s="24" t="str">
        <f t="shared" si="0"/>
        <v>7 days</v>
      </c>
      <c r="I9" s="24" t="str">
        <f t="shared" si="1"/>
        <v>ORD008</v>
      </c>
      <c r="J9" s="24" t="str">
        <f t="shared" si="2"/>
        <v/>
      </c>
      <c r="K9" s="24" t="str" cm="1">
        <f t="array" ref="K9">_xlfn.IFS(DATEDIF(B9,C9,"D")&lt;3,"Fast",DATEDIF(B9,C9,"D")&lt;=5,"Normal",TRUE,"Delayed")</f>
        <v>Delayed</v>
      </c>
      <c r="L9" s="33" t="str">
        <f t="shared" ca="1" si="3"/>
        <v>15 months</v>
      </c>
    </row>
    <row r="10" spans="1:19" x14ac:dyDescent="0.3">
      <c r="A10" s="10" t="s">
        <v>30</v>
      </c>
      <c r="B10" s="3">
        <v>45755</v>
      </c>
      <c r="C10" s="3">
        <v>45757</v>
      </c>
      <c r="D10" s="4" t="s">
        <v>31</v>
      </c>
      <c r="E10" s="4" t="s">
        <v>9</v>
      </c>
      <c r="F10" s="4" t="s">
        <v>10</v>
      </c>
      <c r="G10" s="4">
        <v>56000</v>
      </c>
      <c r="H10" s="24" t="str">
        <f t="shared" si="0"/>
        <v>2 days</v>
      </c>
      <c r="I10" s="24" t="str">
        <f t="shared" si="1"/>
        <v/>
      </c>
      <c r="J10" s="24" t="str">
        <f t="shared" si="2"/>
        <v>ORD009</v>
      </c>
      <c r="K10" s="24" t="str" cm="1">
        <f t="array" ref="K10">_xlfn.IFS(DATEDIF(B10,C10,"D")&lt;3,"Fast",DATEDIF(B10,C10,"D")&lt;=5,"Normal",TRUE,"Delayed")</f>
        <v>Fast</v>
      </c>
      <c r="L10" s="33" t="str">
        <f t="shared" ca="1" si="3"/>
        <v>15 months</v>
      </c>
    </row>
    <row r="11" spans="1:19" x14ac:dyDescent="0.3">
      <c r="A11" s="17" t="s">
        <v>32</v>
      </c>
      <c r="B11" s="18">
        <v>45767</v>
      </c>
      <c r="C11" s="18">
        <v>45774</v>
      </c>
      <c r="D11" s="19" t="s">
        <v>33</v>
      </c>
      <c r="E11" s="19" t="s">
        <v>13</v>
      </c>
      <c r="F11" s="19" t="s">
        <v>10</v>
      </c>
      <c r="G11" s="19">
        <v>67000</v>
      </c>
      <c r="H11" s="29" t="str">
        <f t="shared" si="0"/>
        <v>7 days</v>
      </c>
      <c r="I11" s="29" t="str">
        <f t="shared" si="1"/>
        <v>ORD010</v>
      </c>
      <c r="J11" s="29" t="str">
        <f t="shared" si="2"/>
        <v/>
      </c>
      <c r="K11" s="29" t="str" cm="1">
        <f t="array" ref="K11">_xlfn.IFS(DATEDIF(B11,C11,"D")&lt;3,"Fast",DATEDIF(B11,C11,"D")&lt;=5,"Normal",TRUE,"Delayed")</f>
        <v>Delayed</v>
      </c>
      <c r="L11" s="35" t="str">
        <f t="shared" ca="1" si="3"/>
        <v>15 months</v>
      </c>
    </row>
    <row r="14" spans="1:19" x14ac:dyDescent="0.3">
      <c r="G14" s="5"/>
      <c r="H14" s="7" t="s">
        <v>34</v>
      </c>
      <c r="I14" s="34" t="s">
        <v>76</v>
      </c>
      <c r="J14" s="34"/>
      <c r="K14" s="34"/>
      <c r="L14" s="34"/>
      <c r="M14" s="6"/>
      <c r="N14" s="6"/>
      <c r="O14" s="6"/>
      <c r="P14" s="6"/>
      <c r="Q14" s="6"/>
      <c r="R14" s="6"/>
      <c r="S14" s="6"/>
    </row>
    <row r="15" spans="1:19" ht="14.4" customHeight="1" x14ac:dyDescent="0.3">
      <c r="G15" s="5"/>
      <c r="H15" s="7" t="s">
        <v>35</v>
      </c>
      <c r="I15" s="34" t="s">
        <v>77</v>
      </c>
      <c r="J15" s="34"/>
      <c r="K15" s="34"/>
      <c r="L15" s="34"/>
      <c r="M15" s="1"/>
      <c r="N15" s="1"/>
      <c r="O15" s="1"/>
      <c r="P15" s="1"/>
      <c r="Q15" s="1"/>
      <c r="R15" s="1"/>
      <c r="S15" s="1"/>
    </row>
    <row r="16" spans="1:19" x14ac:dyDescent="0.3">
      <c r="G16" s="5"/>
      <c r="H16" s="7" t="s">
        <v>36</v>
      </c>
      <c r="I16" s="34" t="s">
        <v>78</v>
      </c>
      <c r="J16" s="34"/>
      <c r="K16" s="34"/>
      <c r="L16" s="34"/>
      <c r="M16" s="1"/>
      <c r="N16" s="1"/>
      <c r="O16" s="1"/>
      <c r="P16" s="1"/>
      <c r="Q16" s="1"/>
      <c r="R16" s="1"/>
      <c r="S16" s="1"/>
    </row>
    <row r="17" spans="7:19" ht="14.4" customHeight="1" x14ac:dyDescent="0.3">
      <c r="G17" s="5"/>
      <c r="H17" s="7" t="s">
        <v>37</v>
      </c>
      <c r="I17" s="34" t="s">
        <v>81</v>
      </c>
      <c r="J17" s="34"/>
      <c r="K17" s="34"/>
      <c r="L17" s="34"/>
      <c r="M17" s="1"/>
      <c r="N17" s="1"/>
      <c r="O17" s="1"/>
      <c r="P17" s="1"/>
      <c r="Q17" s="1"/>
      <c r="R17" s="1"/>
      <c r="S17" s="1"/>
    </row>
    <row r="18" spans="7:19" x14ac:dyDescent="0.3">
      <c r="G18" s="5"/>
      <c r="H18" s="7" t="s">
        <v>39</v>
      </c>
      <c r="I18" s="34" t="s">
        <v>79</v>
      </c>
      <c r="J18" s="34"/>
      <c r="K18" s="34"/>
      <c r="L18" s="34"/>
      <c r="M18" s="1"/>
      <c r="N18" s="1"/>
      <c r="O18" s="1"/>
      <c r="P18" s="1"/>
      <c r="Q18" s="1"/>
      <c r="R18" s="1"/>
      <c r="S18" s="1"/>
    </row>
  </sheetData>
  <mergeCells count="5">
    <mergeCell ref="I14:L14"/>
    <mergeCell ref="I15:L15"/>
    <mergeCell ref="I16:L16"/>
    <mergeCell ref="I17:L17"/>
    <mergeCell ref="I18:L18"/>
  </mergeCells>
  <pageMargins left="0.25" right="0.25" top="0.75" bottom="0.75" header="0.3" footer="0.3"/>
  <pageSetup paperSize="9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37736-B3A2-434E-B218-96A0D9A957E8}">
  <dimension ref="A1:S18"/>
  <sheetViews>
    <sheetView zoomScale="130" zoomScaleNormal="130" workbookViewId="0">
      <selection activeCell="I21" sqref="I21"/>
    </sheetView>
  </sheetViews>
  <sheetFormatPr defaultRowHeight="14.4" x14ac:dyDescent="0.3"/>
  <cols>
    <col min="1" max="1" width="9.77734375" customWidth="1"/>
    <col min="2" max="2" width="11.77734375" customWidth="1"/>
    <col min="3" max="3" width="13.88671875" customWidth="1"/>
    <col min="4" max="4" width="16.44140625" customWidth="1"/>
    <col min="5" max="5" width="8.109375" customWidth="1"/>
    <col min="6" max="6" width="13.21875" customWidth="1"/>
    <col min="7" max="7" width="6.77734375" customWidth="1"/>
    <col min="8" max="12" width="10.6640625" customWidth="1"/>
  </cols>
  <sheetData>
    <row r="1" spans="1:19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26" t="s">
        <v>34</v>
      </c>
      <c r="I1" s="26" t="s">
        <v>35</v>
      </c>
      <c r="J1" s="26" t="s">
        <v>36</v>
      </c>
      <c r="K1" s="26" t="s">
        <v>37</v>
      </c>
      <c r="L1" s="27" t="s">
        <v>39</v>
      </c>
    </row>
    <row r="2" spans="1:19" x14ac:dyDescent="0.3">
      <c r="A2" s="10" t="s">
        <v>7</v>
      </c>
      <c r="B2" s="3">
        <v>45662</v>
      </c>
      <c r="C2" s="3">
        <v>45666</v>
      </c>
      <c r="D2" s="4" t="s">
        <v>8</v>
      </c>
      <c r="E2" s="4" t="s">
        <v>9</v>
      </c>
      <c r="F2" s="4" t="s">
        <v>10</v>
      </c>
      <c r="G2" s="4">
        <v>25000</v>
      </c>
      <c r="H2" s="36">
        <f>EDATE(B2,3)</f>
        <v>45752</v>
      </c>
      <c r="I2" s="36">
        <f>EOMONTH(B2,0)</f>
        <v>45688</v>
      </c>
      <c r="J2" s="36">
        <f>EOMONTH(B2,6)</f>
        <v>45869</v>
      </c>
      <c r="K2" s="36">
        <f>EOMONTH(B2,0)+1</f>
        <v>45689</v>
      </c>
      <c r="L2" s="37">
        <f>EOMONTH(B2,-1)</f>
        <v>45657</v>
      </c>
    </row>
    <row r="3" spans="1:19" x14ac:dyDescent="0.3">
      <c r="A3" s="10" t="s">
        <v>11</v>
      </c>
      <c r="B3" s="3">
        <v>45669</v>
      </c>
      <c r="C3" s="3">
        <v>45675</v>
      </c>
      <c r="D3" s="4" t="s">
        <v>12</v>
      </c>
      <c r="E3" s="4" t="s">
        <v>13</v>
      </c>
      <c r="F3" s="4" t="s">
        <v>10</v>
      </c>
      <c r="G3" s="4">
        <v>48000</v>
      </c>
      <c r="H3" s="36">
        <f t="shared" ref="H3:H11" si="0">EDATE(B3,3)</f>
        <v>45759</v>
      </c>
      <c r="I3" s="36">
        <f t="shared" ref="I3:I11" si="1">EOMONTH(B3,0)</f>
        <v>45688</v>
      </c>
      <c r="J3" s="36">
        <f t="shared" ref="J3:J11" si="2">EOMONTH(B3,6)</f>
        <v>45869</v>
      </c>
      <c r="K3" s="36">
        <f t="shared" ref="K3:K11" si="3">EOMONTH(B3,0)+1</f>
        <v>45689</v>
      </c>
      <c r="L3" s="37">
        <f t="shared" ref="L3:L11" si="4">EOMONTH(B3,-1)</f>
        <v>45657</v>
      </c>
    </row>
    <row r="4" spans="1:19" x14ac:dyDescent="0.3">
      <c r="A4" s="10" t="s">
        <v>14</v>
      </c>
      <c r="B4" s="3">
        <v>45682</v>
      </c>
      <c r="C4" s="3">
        <v>45687</v>
      </c>
      <c r="D4" s="4" t="s">
        <v>15</v>
      </c>
      <c r="E4" s="4" t="s">
        <v>16</v>
      </c>
      <c r="F4" s="4" t="s">
        <v>17</v>
      </c>
      <c r="G4" s="4">
        <v>18500</v>
      </c>
      <c r="H4" s="36">
        <f t="shared" si="0"/>
        <v>45772</v>
      </c>
      <c r="I4" s="36">
        <f t="shared" si="1"/>
        <v>45688</v>
      </c>
      <c r="J4" s="36">
        <f t="shared" si="2"/>
        <v>45869</v>
      </c>
      <c r="K4" s="36">
        <f t="shared" si="3"/>
        <v>45689</v>
      </c>
      <c r="L4" s="37">
        <f t="shared" si="4"/>
        <v>45657</v>
      </c>
    </row>
    <row r="5" spans="1:19" x14ac:dyDescent="0.3">
      <c r="A5" s="10" t="s">
        <v>18</v>
      </c>
      <c r="B5" s="3">
        <v>45690</v>
      </c>
      <c r="C5" s="3">
        <v>45693</v>
      </c>
      <c r="D5" s="4" t="s">
        <v>19</v>
      </c>
      <c r="E5" s="4" t="s">
        <v>20</v>
      </c>
      <c r="F5" s="4" t="s">
        <v>10</v>
      </c>
      <c r="G5" s="4">
        <v>72000</v>
      </c>
      <c r="H5" s="36">
        <f t="shared" si="0"/>
        <v>45779</v>
      </c>
      <c r="I5" s="36">
        <f t="shared" si="1"/>
        <v>45716</v>
      </c>
      <c r="J5" s="36">
        <f t="shared" si="2"/>
        <v>45900</v>
      </c>
      <c r="K5" s="36">
        <f t="shared" si="3"/>
        <v>45717</v>
      </c>
      <c r="L5" s="37">
        <f t="shared" si="4"/>
        <v>45688</v>
      </c>
    </row>
    <row r="6" spans="1:19" x14ac:dyDescent="0.3">
      <c r="A6" s="10" t="s">
        <v>21</v>
      </c>
      <c r="B6" s="3">
        <v>45702</v>
      </c>
      <c r="C6" s="3">
        <v>45710</v>
      </c>
      <c r="D6" s="4" t="s">
        <v>22</v>
      </c>
      <c r="E6" s="4" t="s">
        <v>9</v>
      </c>
      <c r="F6" s="4" t="s">
        <v>23</v>
      </c>
      <c r="G6" s="4">
        <v>15000</v>
      </c>
      <c r="H6" s="36">
        <f t="shared" si="0"/>
        <v>45791</v>
      </c>
      <c r="I6" s="36">
        <f t="shared" si="1"/>
        <v>45716</v>
      </c>
      <c r="J6" s="36">
        <f t="shared" si="2"/>
        <v>45900</v>
      </c>
      <c r="K6" s="36">
        <f t="shared" si="3"/>
        <v>45717</v>
      </c>
      <c r="L6" s="37">
        <f t="shared" si="4"/>
        <v>45688</v>
      </c>
    </row>
    <row r="7" spans="1:19" x14ac:dyDescent="0.3">
      <c r="A7" s="10" t="s">
        <v>24</v>
      </c>
      <c r="B7" s="3">
        <v>45717</v>
      </c>
      <c r="C7" s="3">
        <v>45720</v>
      </c>
      <c r="D7" s="4" t="s">
        <v>25</v>
      </c>
      <c r="E7" s="4" t="s">
        <v>13</v>
      </c>
      <c r="F7" s="4" t="s">
        <v>10</v>
      </c>
      <c r="G7" s="4">
        <v>91000</v>
      </c>
      <c r="H7" s="36">
        <f t="shared" si="0"/>
        <v>45809</v>
      </c>
      <c r="I7" s="36">
        <f t="shared" si="1"/>
        <v>45747</v>
      </c>
      <c r="J7" s="36">
        <f t="shared" si="2"/>
        <v>45930</v>
      </c>
      <c r="K7" s="36">
        <f t="shared" si="3"/>
        <v>45748</v>
      </c>
      <c r="L7" s="37">
        <f t="shared" si="4"/>
        <v>45716</v>
      </c>
    </row>
    <row r="8" spans="1:19" x14ac:dyDescent="0.3">
      <c r="A8" s="10" t="s">
        <v>26</v>
      </c>
      <c r="B8" s="3">
        <v>45734</v>
      </c>
      <c r="C8" s="3">
        <v>45741</v>
      </c>
      <c r="D8" s="4" t="s">
        <v>27</v>
      </c>
      <c r="E8" s="4" t="s">
        <v>16</v>
      </c>
      <c r="F8" s="4" t="s">
        <v>10</v>
      </c>
      <c r="G8" s="4">
        <v>36000</v>
      </c>
      <c r="H8" s="36">
        <f t="shared" si="0"/>
        <v>45826</v>
      </c>
      <c r="I8" s="36">
        <f t="shared" si="1"/>
        <v>45747</v>
      </c>
      <c r="J8" s="36">
        <f t="shared" si="2"/>
        <v>45930</v>
      </c>
      <c r="K8" s="36">
        <f t="shared" si="3"/>
        <v>45748</v>
      </c>
      <c r="L8" s="37">
        <f t="shared" si="4"/>
        <v>45716</v>
      </c>
    </row>
    <row r="9" spans="1:19" x14ac:dyDescent="0.3">
      <c r="A9" s="10" t="s">
        <v>28</v>
      </c>
      <c r="B9" s="3">
        <v>45743</v>
      </c>
      <c r="C9" s="3">
        <v>45750</v>
      </c>
      <c r="D9" s="4" t="s">
        <v>29</v>
      </c>
      <c r="E9" s="4" t="s">
        <v>20</v>
      </c>
      <c r="F9" s="4" t="s">
        <v>17</v>
      </c>
      <c r="G9" s="4">
        <v>42000</v>
      </c>
      <c r="H9" s="36">
        <f t="shared" si="0"/>
        <v>45835</v>
      </c>
      <c r="I9" s="36">
        <f t="shared" si="1"/>
        <v>45747</v>
      </c>
      <c r="J9" s="36">
        <f t="shared" si="2"/>
        <v>45930</v>
      </c>
      <c r="K9" s="36">
        <f t="shared" si="3"/>
        <v>45748</v>
      </c>
      <c r="L9" s="37">
        <f t="shared" si="4"/>
        <v>45716</v>
      </c>
    </row>
    <row r="10" spans="1:19" x14ac:dyDescent="0.3">
      <c r="A10" s="10" t="s">
        <v>30</v>
      </c>
      <c r="B10" s="3">
        <v>45755</v>
      </c>
      <c r="C10" s="3">
        <v>45757</v>
      </c>
      <c r="D10" s="4" t="s">
        <v>31</v>
      </c>
      <c r="E10" s="4" t="s">
        <v>9</v>
      </c>
      <c r="F10" s="4" t="s">
        <v>10</v>
      </c>
      <c r="G10" s="4">
        <v>56000</v>
      </c>
      <c r="H10" s="36">
        <f t="shared" si="0"/>
        <v>45846</v>
      </c>
      <c r="I10" s="36">
        <f t="shared" si="1"/>
        <v>45777</v>
      </c>
      <c r="J10" s="36">
        <f t="shared" si="2"/>
        <v>45961</v>
      </c>
      <c r="K10" s="36">
        <f t="shared" si="3"/>
        <v>45778</v>
      </c>
      <c r="L10" s="37">
        <f t="shared" si="4"/>
        <v>45747</v>
      </c>
    </row>
    <row r="11" spans="1:19" x14ac:dyDescent="0.3">
      <c r="A11" s="17" t="s">
        <v>32</v>
      </c>
      <c r="B11" s="18">
        <v>45767</v>
      </c>
      <c r="C11" s="18">
        <v>45774</v>
      </c>
      <c r="D11" s="19" t="s">
        <v>33</v>
      </c>
      <c r="E11" s="19" t="s">
        <v>13</v>
      </c>
      <c r="F11" s="19" t="s">
        <v>10</v>
      </c>
      <c r="G11" s="19">
        <v>67000</v>
      </c>
      <c r="H11" s="38">
        <f t="shared" si="0"/>
        <v>45858</v>
      </c>
      <c r="I11" s="38">
        <f t="shared" si="1"/>
        <v>45777</v>
      </c>
      <c r="J11" s="38">
        <f t="shared" si="2"/>
        <v>45961</v>
      </c>
      <c r="K11" s="38">
        <f t="shared" si="3"/>
        <v>45778</v>
      </c>
      <c r="L11" s="39">
        <f t="shared" si="4"/>
        <v>45747</v>
      </c>
    </row>
    <row r="14" spans="1:19" x14ac:dyDescent="0.3">
      <c r="G14" s="5"/>
      <c r="H14" s="7" t="s">
        <v>34</v>
      </c>
      <c r="I14" s="34" t="s">
        <v>83</v>
      </c>
      <c r="J14" s="34"/>
      <c r="K14" s="34"/>
      <c r="L14" s="34"/>
      <c r="M14" s="6"/>
      <c r="N14" s="6"/>
      <c r="O14" s="6"/>
      <c r="P14" s="6"/>
      <c r="Q14" s="6"/>
      <c r="R14" s="6"/>
      <c r="S14" s="6"/>
    </row>
    <row r="15" spans="1:19" ht="14.4" customHeight="1" x14ac:dyDescent="0.3">
      <c r="G15" s="5"/>
      <c r="H15" s="7" t="s">
        <v>35</v>
      </c>
      <c r="I15" s="34" t="s">
        <v>84</v>
      </c>
      <c r="J15" s="34"/>
      <c r="K15" s="34"/>
      <c r="L15" s="34"/>
      <c r="M15" s="1"/>
      <c r="N15" s="1"/>
      <c r="O15" s="1"/>
      <c r="P15" s="1"/>
      <c r="Q15" s="1"/>
      <c r="R15" s="1"/>
      <c r="S15" s="1"/>
    </row>
    <row r="16" spans="1:19" x14ac:dyDescent="0.3">
      <c r="G16" s="5"/>
      <c r="H16" s="7" t="s">
        <v>36</v>
      </c>
      <c r="I16" s="34" t="s">
        <v>85</v>
      </c>
      <c r="J16" s="34"/>
      <c r="K16" s="34"/>
      <c r="L16" s="34"/>
      <c r="M16" s="1"/>
      <c r="N16" s="1"/>
      <c r="O16" s="1"/>
      <c r="P16" s="1"/>
      <c r="Q16" s="1"/>
      <c r="R16" s="1"/>
      <c r="S16" s="1"/>
    </row>
    <row r="17" spans="7:19" ht="14.4" customHeight="1" x14ac:dyDescent="0.3">
      <c r="G17" s="5"/>
      <c r="H17" s="7" t="s">
        <v>37</v>
      </c>
      <c r="I17" s="34" t="s">
        <v>86</v>
      </c>
      <c r="J17" s="34"/>
      <c r="K17" s="34"/>
      <c r="L17" s="34"/>
      <c r="M17" s="1"/>
      <c r="N17" s="1"/>
      <c r="O17" s="1"/>
      <c r="P17" s="1"/>
      <c r="Q17" s="1"/>
      <c r="R17" s="1"/>
      <c r="S17" s="1"/>
    </row>
    <row r="18" spans="7:19" x14ac:dyDescent="0.3">
      <c r="G18" s="5"/>
      <c r="H18" s="7" t="s">
        <v>39</v>
      </c>
      <c r="I18" s="34" t="s">
        <v>87</v>
      </c>
      <c r="J18" s="34"/>
      <c r="K18" s="34"/>
      <c r="L18" s="34"/>
      <c r="M18" s="1"/>
      <c r="N18" s="1"/>
      <c r="O18" s="1"/>
      <c r="P18" s="1"/>
      <c r="Q18" s="1"/>
      <c r="R18" s="1"/>
      <c r="S18" s="1"/>
    </row>
  </sheetData>
  <mergeCells count="5">
    <mergeCell ref="I14:L14"/>
    <mergeCell ref="I15:L15"/>
    <mergeCell ref="I16:L16"/>
    <mergeCell ref="I17:L17"/>
    <mergeCell ref="I18:L18"/>
  </mergeCells>
  <pageMargins left="0.25" right="0.25" top="0.75" bottom="0.75" header="0.3" footer="0.3"/>
  <pageSetup paperSize="9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8218-8295-41CC-8F49-14F57924E77B}">
  <dimension ref="A1:T18"/>
  <sheetViews>
    <sheetView zoomScale="130" zoomScaleNormal="130" workbookViewId="0">
      <selection activeCell="H1" sqref="H1:M18"/>
    </sheetView>
  </sheetViews>
  <sheetFormatPr defaultRowHeight="14.4" x14ac:dyDescent="0.3"/>
  <cols>
    <col min="1" max="1" width="9.77734375" customWidth="1"/>
    <col min="2" max="2" width="11.77734375" customWidth="1"/>
    <col min="3" max="3" width="13.88671875" customWidth="1"/>
    <col min="4" max="4" width="16.44140625" customWidth="1"/>
    <col min="5" max="5" width="8.109375" customWidth="1"/>
    <col min="6" max="6" width="13.21875" customWidth="1"/>
    <col min="7" max="7" width="6.77734375" customWidth="1"/>
    <col min="8" max="8" width="9.5546875" bestFit="1" customWidth="1"/>
    <col min="9" max="13" width="10.6640625" customWidth="1"/>
  </cols>
  <sheetData>
    <row r="1" spans="1:20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96</v>
      </c>
      <c r="I1" s="26" t="s">
        <v>34</v>
      </c>
      <c r="J1" s="26" t="s">
        <v>35</v>
      </c>
      <c r="K1" s="26" t="s">
        <v>36</v>
      </c>
      <c r="L1" s="26" t="s">
        <v>37</v>
      </c>
      <c r="M1" s="27" t="s">
        <v>39</v>
      </c>
    </row>
    <row r="2" spans="1:20" x14ac:dyDescent="0.3">
      <c r="A2" s="10" t="s">
        <v>7</v>
      </c>
      <c r="B2" s="3">
        <v>45662</v>
      </c>
      <c r="C2" s="3">
        <v>45666</v>
      </c>
      <c r="D2" s="4" t="s">
        <v>8</v>
      </c>
      <c r="E2" s="4" t="s">
        <v>9</v>
      </c>
      <c r="F2" s="4" t="s">
        <v>10</v>
      </c>
      <c r="G2" s="4">
        <v>25000</v>
      </c>
      <c r="H2" s="3">
        <v>45683</v>
      </c>
      <c r="I2" s="24">
        <f>NETWORKDAYS.INTL(B2,C2,1)</f>
        <v>4</v>
      </c>
      <c r="J2" s="24" t="str">
        <f>IF(NETWORKDAYS.INTL(B2,C2,1)&gt;5,A2,"-")</f>
        <v>-</v>
      </c>
      <c r="K2" s="24">
        <f>NETWORKDAYS.INTL(B2,C2,1,$H$2:$H$4)</f>
        <v>4</v>
      </c>
      <c r="L2" s="24">
        <f>NETWORKDAYS.INTL(B2,C2,11)</f>
        <v>4</v>
      </c>
      <c r="M2" s="33" t="str">
        <f>IF(NETWORKDAYS.INTL(B2,C2,1)&lt;=3,A2,"-")</f>
        <v>-</v>
      </c>
    </row>
    <row r="3" spans="1:20" x14ac:dyDescent="0.3">
      <c r="A3" s="10" t="s">
        <v>11</v>
      </c>
      <c r="B3" s="3">
        <v>45669</v>
      </c>
      <c r="C3" s="3">
        <v>45675</v>
      </c>
      <c r="D3" s="4" t="s">
        <v>12</v>
      </c>
      <c r="E3" s="4" t="s">
        <v>13</v>
      </c>
      <c r="F3" s="4" t="s">
        <v>10</v>
      </c>
      <c r="G3" s="4">
        <v>48000</v>
      </c>
      <c r="H3" s="3">
        <v>45730</v>
      </c>
      <c r="I3" s="24">
        <f t="shared" ref="I3:I11" si="0">NETWORKDAYS.INTL(B3,C3,1)</f>
        <v>5</v>
      </c>
      <c r="J3" s="24" t="str">
        <f t="shared" ref="J3:J11" si="1">IF(NETWORKDAYS.INTL(B3,C3,1)&gt;5,A3,"-")</f>
        <v>-</v>
      </c>
      <c r="K3" s="24">
        <f t="shared" ref="K3:K11" si="2">NETWORKDAYS.INTL(B3,C3,1,$H$2:$H$4)</f>
        <v>5</v>
      </c>
      <c r="L3" s="24">
        <f t="shared" ref="L3:L11" si="3">NETWORKDAYS.INTL(B3,C3,11)</f>
        <v>6</v>
      </c>
      <c r="M3" s="33" t="str">
        <f t="shared" ref="M3:M11" si="4">IF(NETWORKDAYS.INTL(B3,C3,1)&lt;=3,A3,"-")</f>
        <v>-</v>
      </c>
    </row>
    <row r="4" spans="1:20" x14ac:dyDescent="0.3">
      <c r="A4" s="10" t="s">
        <v>14</v>
      </c>
      <c r="B4" s="3">
        <v>45682</v>
      </c>
      <c r="C4" s="3">
        <v>45687</v>
      </c>
      <c r="D4" s="4" t="s">
        <v>15</v>
      </c>
      <c r="E4" s="4" t="s">
        <v>16</v>
      </c>
      <c r="F4" s="4" t="s">
        <v>17</v>
      </c>
      <c r="G4" s="4">
        <v>18500</v>
      </c>
      <c r="H4" s="3">
        <v>45765</v>
      </c>
      <c r="I4" s="24">
        <f t="shared" si="0"/>
        <v>4</v>
      </c>
      <c r="J4" s="24" t="str">
        <f t="shared" si="1"/>
        <v>-</v>
      </c>
      <c r="K4" s="24">
        <f t="shared" si="2"/>
        <v>4</v>
      </c>
      <c r="L4" s="24">
        <f t="shared" si="3"/>
        <v>5</v>
      </c>
      <c r="M4" s="33" t="str">
        <f t="shared" si="4"/>
        <v>-</v>
      </c>
    </row>
    <row r="5" spans="1:20" x14ac:dyDescent="0.3">
      <c r="A5" s="10" t="s">
        <v>18</v>
      </c>
      <c r="B5" s="3">
        <v>45690</v>
      </c>
      <c r="C5" s="3">
        <v>45693</v>
      </c>
      <c r="D5" s="4" t="s">
        <v>19</v>
      </c>
      <c r="E5" s="4" t="s">
        <v>20</v>
      </c>
      <c r="F5" s="4" t="s">
        <v>10</v>
      </c>
      <c r="G5" s="4">
        <v>72000</v>
      </c>
      <c r="H5" s="4"/>
      <c r="I5" s="24">
        <f t="shared" si="0"/>
        <v>3</v>
      </c>
      <c r="J5" s="24" t="str">
        <f t="shared" si="1"/>
        <v>-</v>
      </c>
      <c r="K5" s="24">
        <f>NETWORKDAYS.INTL(B5,C5,1,$H$2:$H$4)</f>
        <v>3</v>
      </c>
      <c r="L5" s="24">
        <f t="shared" si="3"/>
        <v>3</v>
      </c>
      <c r="M5" s="33" t="str">
        <f t="shared" si="4"/>
        <v>ORD004</v>
      </c>
    </row>
    <row r="6" spans="1:20" x14ac:dyDescent="0.3">
      <c r="A6" s="10" t="s">
        <v>21</v>
      </c>
      <c r="B6" s="3">
        <v>45702</v>
      </c>
      <c r="C6" s="3">
        <v>45710</v>
      </c>
      <c r="D6" s="4" t="s">
        <v>22</v>
      </c>
      <c r="E6" s="4" t="s">
        <v>9</v>
      </c>
      <c r="F6" s="4" t="s">
        <v>23</v>
      </c>
      <c r="G6" s="4">
        <v>15000</v>
      </c>
      <c r="H6" s="4"/>
      <c r="I6" s="24">
        <f t="shared" si="0"/>
        <v>6</v>
      </c>
      <c r="J6" s="24" t="str">
        <f t="shared" si="1"/>
        <v>ORD005</v>
      </c>
      <c r="K6" s="24">
        <f t="shared" si="2"/>
        <v>6</v>
      </c>
      <c r="L6" s="24">
        <f t="shared" si="3"/>
        <v>8</v>
      </c>
      <c r="M6" s="33" t="str">
        <f t="shared" si="4"/>
        <v>-</v>
      </c>
    </row>
    <row r="7" spans="1:20" x14ac:dyDescent="0.3">
      <c r="A7" s="10" t="s">
        <v>24</v>
      </c>
      <c r="B7" s="3">
        <v>45717</v>
      </c>
      <c r="C7" s="3">
        <v>45720</v>
      </c>
      <c r="D7" s="4" t="s">
        <v>25</v>
      </c>
      <c r="E7" s="4" t="s">
        <v>13</v>
      </c>
      <c r="F7" s="4" t="s">
        <v>10</v>
      </c>
      <c r="G7" s="4">
        <v>91000</v>
      </c>
      <c r="H7" s="4"/>
      <c r="I7" s="24">
        <f t="shared" si="0"/>
        <v>2</v>
      </c>
      <c r="J7" s="24" t="str">
        <f t="shared" si="1"/>
        <v>-</v>
      </c>
      <c r="K7" s="24">
        <f t="shared" si="2"/>
        <v>2</v>
      </c>
      <c r="L7" s="24">
        <f t="shared" si="3"/>
        <v>3</v>
      </c>
      <c r="M7" s="33" t="str">
        <f t="shared" si="4"/>
        <v>ORD006</v>
      </c>
    </row>
    <row r="8" spans="1:20" x14ac:dyDescent="0.3">
      <c r="A8" s="10" t="s">
        <v>26</v>
      </c>
      <c r="B8" s="3">
        <v>45734</v>
      </c>
      <c r="C8" s="3">
        <v>45741</v>
      </c>
      <c r="D8" s="4" t="s">
        <v>27</v>
      </c>
      <c r="E8" s="4" t="s">
        <v>16</v>
      </c>
      <c r="F8" s="4" t="s">
        <v>10</v>
      </c>
      <c r="G8" s="4">
        <v>36000</v>
      </c>
      <c r="H8" s="4"/>
      <c r="I8" s="24">
        <f t="shared" si="0"/>
        <v>6</v>
      </c>
      <c r="J8" s="24" t="str">
        <f t="shared" si="1"/>
        <v>ORD007</v>
      </c>
      <c r="K8" s="24">
        <f t="shared" si="2"/>
        <v>6</v>
      </c>
      <c r="L8" s="24">
        <f t="shared" si="3"/>
        <v>7</v>
      </c>
      <c r="M8" s="33" t="str">
        <f t="shared" si="4"/>
        <v>-</v>
      </c>
    </row>
    <row r="9" spans="1:20" x14ac:dyDescent="0.3">
      <c r="A9" s="10" t="s">
        <v>28</v>
      </c>
      <c r="B9" s="3">
        <v>45743</v>
      </c>
      <c r="C9" s="3">
        <v>45750</v>
      </c>
      <c r="D9" s="4" t="s">
        <v>29</v>
      </c>
      <c r="E9" s="4" t="s">
        <v>20</v>
      </c>
      <c r="F9" s="4" t="s">
        <v>17</v>
      </c>
      <c r="G9" s="4">
        <v>42000</v>
      </c>
      <c r="H9" s="4"/>
      <c r="I9" s="24">
        <f t="shared" si="0"/>
        <v>6</v>
      </c>
      <c r="J9" s="24" t="str">
        <f t="shared" si="1"/>
        <v>ORD008</v>
      </c>
      <c r="K9" s="24">
        <f t="shared" si="2"/>
        <v>6</v>
      </c>
      <c r="L9" s="24">
        <f t="shared" si="3"/>
        <v>7</v>
      </c>
      <c r="M9" s="33" t="str">
        <f t="shared" si="4"/>
        <v>-</v>
      </c>
    </row>
    <row r="10" spans="1:20" x14ac:dyDescent="0.3">
      <c r="A10" s="10" t="s">
        <v>30</v>
      </c>
      <c r="B10" s="3">
        <v>45755</v>
      </c>
      <c r="C10" s="3">
        <v>45757</v>
      </c>
      <c r="D10" s="4" t="s">
        <v>31</v>
      </c>
      <c r="E10" s="4" t="s">
        <v>9</v>
      </c>
      <c r="F10" s="4" t="s">
        <v>10</v>
      </c>
      <c r="G10" s="4">
        <v>56000</v>
      </c>
      <c r="H10" s="4"/>
      <c r="I10" s="24">
        <f t="shared" si="0"/>
        <v>3</v>
      </c>
      <c r="J10" s="24" t="str">
        <f t="shared" si="1"/>
        <v>-</v>
      </c>
      <c r="K10" s="24">
        <f t="shared" si="2"/>
        <v>3</v>
      </c>
      <c r="L10" s="24">
        <f t="shared" si="3"/>
        <v>3</v>
      </c>
      <c r="M10" s="33" t="str">
        <f t="shared" si="4"/>
        <v>ORD009</v>
      </c>
    </row>
    <row r="11" spans="1:20" x14ac:dyDescent="0.3">
      <c r="A11" s="17" t="s">
        <v>32</v>
      </c>
      <c r="B11" s="18">
        <v>45767</v>
      </c>
      <c r="C11" s="18">
        <v>45774</v>
      </c>
      <c r="D11" s="19" t="s">
        <v>33</v>
      </c>
      <c r="E11" s="19" t="s">
        <v>13</v>
      </c>
      <c r="F11" s="19" t="s">
        <v>10</v>
      </c>
      <c r="G11" s="19">
        <v>67000</v>
      </c>
      <c r="H11" s="19"/>
      <c r="I11" s="29">
        <f t="shared" si="0"/>
        <v>5</v>
      </c>
      <c r="J11" s="29" t="str">
        <f t="shared" si="1"/>
        <v>-</v>
      </c>
      <c r="K11" s="29">
        <f t="shared" si="2"/>
        <v>5</v>
      </c>
      <c r="L11" s="29">
        <f t="shared" si="3"/>
        <v>6</v>
      </c>
      <c r="M11" s="35" t="str">
        <f t="shared" si="4"/>
        <v>-</v>
      </c>
    </row>
    <row r="13" spans="1:20" x14ac:dyDescent="0.3">
      <c r="I13" s="7" t="s">
        <v>89</v>
      </c>
      <c r="J13" s="34" t="s">
        <v>90</v>
      </c>
      <c r="K13" s="34"/>
      <c r="L13" s="34"/>
      <c r="M13" s="34"/>
    </row>
    <row r="14" spans="1:20" x14ac:dyDescent="0.3">
      <c r="G14" s="5"/>
      <c r="H14" s="5"/>
      <c r="I14" s="7" t="s">
        <v>34</v>
      </c>
      <c r="J14" s="34" t="s">
        <v>91</v>
      </c>
      <c r="K14" s="34"/>
      <c r="L14" s="34"/>
      <c r="M14" s="34"/>
      <c r="N14" s="6"/>
      <c r="O14" s="6"/>
      <c r="P14" s="6"/>
      <c r="Q14" s="6"/>
      <c r="R14" s="6"/>
      <c r="S14" s="6"/>
      <c r="T14" s="6"/>
    </row>
    <row r="15" spans="1:20" ht="14.4" customHeight="1" x14ac:dyDescent="0.3">
      <c r="G15" s="5"/>
      <c r="H15" s="5"/>
      <c r="I15" s="7" t="s">
        <v>35</v>
      </c>
      <c r="J15" s="34" t="s">
        <v>92</v>
      </c>
      <c r="K15" s="34"/>
      <c r="L15" s="34"/>
      <c r="M15" s="34"/>
      <c r="N15" s="1"/>
      <c r="O15" s="1"/>
      <c r="P15" s="1"/>
      <c r="Q15" s="1"/>
      <c r="R15" s="1"/>
      <c r="S15" s="1"/>
      <c r="T15" s="1"/>
    </row>
    <row r="16" spans="1:20" ht="29.4" customHeight="1" x14ac:dyDescent="0.3">
      <c r="G16" s="5"/>
      <c r="H16" s="5"/>
      <c r="I16" s="7" t="s">
        <v>36</v>
      </c>
      <c r="J16" s="34" t="s">
        <v>93</v>
      </c>
      <c r="K16" s="34"/>
      <c r="L16" s="34"/>
      <c r="M16" s="34"/>
      <c r="N16" s="1"/>
      <c r="O16" s="1"/>
      <c r="P16" s="1"/>
      <c r="Q16" s="1"/>
      <c r="R16" s="1"/>
      <c r="S16" s="1"/>
      <c r="T16" s="1"/>
    </row>
    <row r="17" spans="7:20" ht="28.2" customHeight="1" x14ac:dyDescent="0.3">
      <c r="G17" s="5"/>
      <c r="H17" s="5"/>
      <c r="I17" s="7" t="s">
        <v>37</v>
      </c>
      <c r="J17" s="34" t="s">
        <v>94</v>
      </c>
      <c r="K17" s="34"/>
      <c r="L17" s="34"/>
      <c r="M17" s="34"/>
      <c r="N17" s="1"/>
      <c r="O17" s="1"/>
      <c r="P17" s="1"/>
      <c r="Q17" s="1"/>
      <c r="R17" s="1"/>
      <c r="S17" s="1"/>
      <c r="T17" s="1"/>
    </row>
    <row r="18" spans="7:20" x14ac:dyDescent="0.3">
      <c r="G18" s="5"/>
      <c r="H18" s="5"/>
      <c r="I18" s="7" t="s">
        <v>39</v>
      </c>
      <c r="J18" s="34" t="s">
        <v>95</v>
      </c>
      <c r="K18" s="34"/>
      <c r="L18" s="34"/>
      <c r="M18" s="34"/>
      <c r="N18" s="1"/>
      <c r="O18" s="1"/>
      <c r="P18" s="1"/>
      <c r="Q18" s="1"/>
      <c r="R18" s="1"/>
      <c r="S18" s="1"/>
      <c r="T18" s="1"/>
    </row>
  </sheetData>
  <mergeCells count="6">
    <mergeCell ref="J13:M13"/>
    <mergeCell ref="J14:M14"/>
    <mergeCell ref="J15:M15"/>
    <mergeCell ref="J16:M16"/>
    <mergeCell ref="J17:M17"/>
    <mergeCell ref="J18:M18"/>
  </mergeCells>
  <pageMargins left="0.25" right="0.25" top="0.75" bottom="0.75" header="0.3" footer="0.3"/>
  <pageSetup paperSize="9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FC2B5-1E8F-4953-B72B-932F28FA26D0}">
  <dimension ref="A1:S18"/>
  <sheetViews>
    <sheetView zoomScale="130" zoomScaleNormal="130" workbookViewId="0">
      <selection activeCell="J32" sqref="J32"/>
    </sheetView>
  </sheetViews>
  <sheetFormatPr defaultRowHeight="14.4" x14ac:dyDescent="0.3"/>
  <cols>
    <col min="1" max="1" width="9.77734375" customWidth="1"/>
    <col min="2" max="2" width="11.77734375" customWidth="1"/>
    <col min="3" max="3" width="13.88671875" customWidth="1"/>
    <col min="4" max="4" width="16.44140625" customWidth="1"/>
    <col min="5" max="5" width="8.109375" customWidth="1"/>
    <col min="6" max="6" width="13.21875" customWidth="1"/>
    <col min="7" max="7" width="6.77734375" customWidth="1"/>
    <col min="8" max="8" width="11.77734375" bestFit="1" customWidth="1"/>
    <col min="9" max="9" width="12.88671875" bestFit="1" customWidth="1"/>
    <col min="10" max="10" width="10.6640625" customWidth="1"/>
    <col min="11" max="11" width="16.109375" bestFit="1" customWidth="1"/>
    <col min="12" max="12" width="15.6640625" bestFit="1" customWidth="1"/>
  </cols>
  <sheetData>
    <row r="1" spans="1:19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26" t="s">
        <v>34</v>
      </c>
      <c r="I1" s="26" t="s">
        <v>35</v>
      </c>
      <c r="J1" s="26" t="s">
        <v>36</v>
      </c>
      <c r="K1" s="26" t="s">
        <v>37</v>
      </c>
      <c r="L1" s="27" t="s">
        <v>39</v>
      </c>
    </row>
    <row r="2" spans="1:19" x14ac:dyDescent="0.3">
      <c r="A2" s="10" t="s">
        <v>7</v>
      </c>
      <c r="B2" s="3">
        <v>45662</v>
      </c>
      <c r="C2" s="3">
        <v>45666</v>
      </c>
      <c r="D2" s="4" t="s">
        <v>8</v>
      </c>
      <c r="E2" s="4" t="s">
        <v>9</v>
      </c>
      <c r="F2" s="4" t="s">
        <v>10</v>
      </c>
      <c r="G2" s="4">
        <v>25000</v>
      </c>
      <c r="H2" s="24" t="str">
        <f>TEXT(B2,"DD-MMM-YYYY")</f>
        <v>05-Jan-2025</v>
      </c>
      <c r="I2" s="24" t="str">
        <f>TEXT(B2,"MMMM YYYY")</f>
        <v>January 2025</v>
      </c>
      <c r="J2" s="24" t="str">
        <f>TEXT(B2,"dddd")</f>
        <v>Sunday</v>
      </c>
      <c r="K2" s="24" t="str">
        <f>TEXT(B2,"dd mmmm, yyyy")</f>
        <v>05 January, 2025</v>
      </c>
      <c r="L2" s="33" t="str">
        <f>"Week "&amp;WEEKNUM(B2)&amp;" - "&amp;TEXT(B2,"mmmm")</f>
        <v>Week 2 - January</v>
      </c>
    </row>
    <row r="3" spans="1:19" x14ac:dyDescent="0.3">
      <c r="A3" s="10" t="s">
        <v>11</v>
      </c>
      <c r="B3" s="3">
        <v>45669</v>
      </c>
      <c r="C3" s="3">
        <v>45675</v>
      </c>
      <c r="D3" s="4" t="s">
        <v>12</v>
      </c>
      <c r="E3" s="4" t="s">
        <v>13</v>
      </c>
      <c r="F3" s="4" t="s">
        <v>10</v>
      </c>
      <c r="G3" s="4">
        <v>48000</v>
      </c>
      <c r="H3" s="24" t="str">
        <f t="shared" ref="H3:H11" si="0">TEXT(B3,"DD-MMM-YYYY")</f>
        <v>12-Jan-2025</v>
      </c>
      <c r="I3" s="24" t="str">
        <f t="shared" ref="I3:I11" si="1">TEXT(B3,"MMMM YYYY")</f>
        <v>January 2025</v>
      </c>
      <c r="J3" s="24" t="str">
        <f t="shared" ref="J3:J11" si="2">TEXT(B3,"dddd")</f>
        <v>Sunday</v>
      </c>
      <c r="K3" s="24" t="str">
        <f t="shared" ref="K3:K11" si="3">TEXT(B3,"dd mmmm, yyyy")</f>
        <v>12 January, 2025</v>
      </c>
      <c r="L3" s="33" t="str">
        <f t="shared" ref="L3:L11" si="4">"Week "&amp;WEEKNUM(B3)&amp;" - "&amp;TEXT(B3,"mmmm")</f>
        <v>Week 3 - January</v>
      </c>
    </row>
    <row r="4" spans="1:19" x14ac:dyDescent="0.3">
      <c r="A4" s="10" t="s">
        <v>14</v>
      </c>
      <c r="B4" s="3">
        <v>45682</v>
      </c>
      <c r="C4" s="3">
        <v>45687</v>
      </c>
      <c r="D4" s="4" t="s">
        <v>15</v>
      </c>
      <c r="E4" s="4" t="s">
        <v>16</v>
      </c>
      <c r="F4" s="4" t="s">
        <v>17</v>
      </c>
      <c r="G4" s="4">
        <v>18500</v>
      </c>
      <c r="H4" s="24" t="str">
        <f t="shared" si="0"/>
        <v>25-Jan-2025</v>
      </c>
      <c r="I4" s="24" t="str">
        <f t="shared" si="1"/>
        <v>January 2025</v>
      </c>
      <c r="J4" s="24" t="str">
        <f t="shared" si="2"/>
        <v>Saturday</v>
      </c>
      <c r="K4" s="24" t="str">
        <f t="shared" si="3"/>
        <v>25 January, 2025</v>
      </c>
      <c r="L4" s="33" t="str">
        <f t="shared" si="4"/>
        <v>Week 4 - January</v>
      </c>
    </row>
    <row r="5" spans="1:19" x14ac:dyDescent="0.3">
      <c r="A5" s="10" t="s">
        <v>18</v>
      </c>
      <c r="B5" s="3">
        <v>45690</v>
      </c>
      <c r="C5" s="3">
        <v>45693</v>
      </c>
      <c r="D5" s="4" t="s">
        <v>19</v>
      </c>
      <c r="E5" s="4" t="s">
        <v>20</v>
      </c>
      <c r="F5" s="4" t="s">
        <v>10</v>
      </c>
      <c r="G5" s="4">
        <v>72000</v>
      </c>
      <c r="H5" s="24" t="str">
        <f t="shared" si="0"/>
        <v>02-Feb-2025</v>
      </c>
      <c r="I5" s="24" t="str">
        <f t="shared" si="1"/>
        <v>February 2025</v>
      </c>
      <c r="J5" s="24" t="str">
        <f t="shared" si="2"/>
        <v>Sunday</v>
      </c>
      <c r="K5" s="24" t="str">
        <f t="shared" si="3"/>
        <v>02 February, 2025</v>
      </c>
      <c r="L5" s="33" t="str">
        <f t="shared" si="4"/>
        <v>Week 6 - February</v>
      </c>
    </row>
    <row r="6" spans="1:19" x14ac:dyDescent="0.3">
      <c r="A6" s="10" t="s">
        <v>21</v>
      </c>
      <c r="B6" s="3">
        <v>45702</v>
      </c>
      <c r="C6" s="3">
        <v>45710</v>
      </c>
      <c r="D6" s="4" t="s">
        <v>22</v>
      </c>
      <c r="E6" s="4" t="s">
        <v>9</v>
      </c>
      <c r="F6" s="4" t="s">
        <v>23</v>
      </c>
      <c r="G6" s="4">
        <v>15000</v>
      </c>
      <c r="H6" s="24" t="str">
        <f t="shared" si="0"/>
        <v>14-Feb-2025</v>
      </c>
      <c r="I6" s="24" t="str">
        <f t="shared" si="1"/>
        <v>February 2025</v>
      </c>
      <c r="J6" s="24" t="str">
        <f t="shared" si="2"/>
        <v>Friday</v>
      </c>
      <c r="K6" s="24" t="str">
        <f t="shared" si="3"/>
        <v>14 February, 2025</v>
      </c>
      <c r="L6" s="33" t="str">
        <f t="shared" si="4"/>
        <v>Week 7 - February</v>
      </c>
    </row>
    <row r="7" spans="1:19" x14ac:dyDescent="0.3">
      <c r="A7" s="10" t="s">
        <v>24</v>
      </c>
      <c r="B7" s="3">
        <v>45717</v>
      </c>
      <c r="C7" s="3">
        <v>45720</v>
      </c>
      <c r="D7" s="4" t="s">
        <v>25</v>
      </c>
      <c r="E7" s="4" t="s">
        <v>13</v>
      </c>
      <c r="F7" s="4" t="s">
        <v>10</v>
      </c>
      <c r="G7" s="4">
        <v>91000</v>
      </c>
      <c r="H7" s="24" t="str">
        <f t="shared" si="0"/>
        <v>01-Mar-2025</v>
      </c>
      <c r="I7" s="24" t="str">
        <f t="shared" si="1"/>
        <v>March 2025</v>
      </c>
      <c r="J7" s="24" t="str">
        <f t="shared" si="2"/>
        <v>Saturday</v>
      </c>
      <c r="K7" s="24" t="str">
        <f t="shared" si="3"/>
        <v>01 March, 2025</v>
      </c>
      <c r="L7" s="33" t="str">
        <f t="shared" si="4"/>
        <v>Week 9 - March</v>
      </c>
    </row>
    <row r="8" spans="1:19" x14ac:dyDescent="0.3">
      <c r="A8" s="10" t="s">
        <v>26</v>
      </c>
      <c r="B8" s="3">
        <v>45734</v>
      </c>
      <c r="C8" s="3">
        <v>45741</v>
      </c>
      <c r="D8" s="4" t="s">
        <v>27</v>
      </c>
      <c r="E8" s="4" t="s">
        <v>16</v>
      </c>
      <c r="F8" s="4" t="s">
        <v>10</v>
      </c>
      <c r="G8" s="4">
        <v>36000</v>
      </c>
      <c r="H8" s="24" t="str">
        <f t="shared" si="0"/>
        <v>18-Mar-2025</v>
      </c>
      <c r="I8" s="24" t="str">
        <f t="shared" si="1"/>
        <v>March 2025</v>
      </c>
      <c r="J8" s="24" t="str">
        <f t="shared" si="2"/>
        <v>Tuesday</v>
      </c>
      <c r="K8" s="24" t="str">
        <f t="shared" si="3"/>
        <v>18 March, 2025</v>
      </c>
      <c r="L8" s="33" t="str">
        <f t="shared" si="4"/>
        <v>Week 12 - March</v>
      </c>
    </row>
    <row r="9" spans="1:19" x14ac:dyDescent="0.3">
      <c r="A9" s="10" t="s">
        <v>28</v>
      </c>
      <c r="B9" s="3">
        <v>45743</v>
      </c>
      <c r="C9" s="3">
        <v>45750</v>
      </c>
      <c r="D9" s="4" t="s">
        <v>29</v>
      </c>
      <c r="E9" s="4" t="s">
        <v>20</v>
      </c>
      <c r="F9" s="4" t="s">
        <v>17</v>
      </c>
      <c r="G9" s="4">
        <v>42000</v>
      </c>
      <c r="H9" s="24" t="str">
        <f t="shared" si="0"/>
        <v>27-Mar-2025</v>
      </c>
      <c r="I9" s="24" t="str">
        <f t="shared" si="1"/>
        <v>March 2025</v>
      </c>
      <c r="J9" s="24" t="str">
        <f t="shared" si="2"/>
        <v>Thursday</v>
      </c>
      <c r="K9" s="24" t="str">
        <f t="shared" si="3"/>
        <v>27 March, 2025</v>
      </c>
      <c r="L9" s="33" t="str">
        <f t="shared" si="4"/>
        <v>Week 13 - March</v>
      </c>
    </row>
    <row r="10" spans="1:19" x14ac:dyDescent="0.3">
      <c r="A10" s="10" t="s">
        <v>30</v>
      </c>
      <c r="B10" s="3">
        <v>45755</v>
      </c>
      <c r="C10" s="3">
        <v>45757</v>
      </c>
      <c r="D10" s="4" t="s">
        <v>31</v>
      </c>
      <c r="E10" s="4" t="s">
        <v>9</v>
      </c>
      <c r="F10" s="4" t="s">
        <v>10</v>
      </c>
      <c r="G10" s="4">
        <v>56000</v>
      </c>
      <c r="H10" s="24" t="str">
        <f t="shared" si="0"/>
        <v>08-Apr-2025</v>
      </c>
      <c r="I10" s="24" t="str">
        <f t="shared" si="1"/>
        <v>April 2025</v>
      </c>
      <c r="J10" s="24" t="str">
        <f t="shared" si="2"/>
        <v>Tuesday</v>
      </c>
      <c r="K10" s="24" t="str">
        <f t="shared" si="3"/>
        <v>08 April, 2025</v>
      </c>
      <c r="L10" s="33" t="str">
        <f t="shared" si="4"/>
        <v>Week 15 - April</v>
      </c>
    </row>
    <row r="11" spans="1:19" x14ac:dyDescent="0.3">
      <c r="A11" s="17" t="s">
        <v>32</v>
      </c>
      <c r="B11" s="18">
        <v>45767</v>
      </c>
      <c r="C11" s="18">
        <v>45774</v>
      </c>
      <c r="D11" s="19" t="s">
        <v>33</v>
      </c>
      <c r="E11" s="19" t="s">
        <v>13</v>
      </c>
      <c r="F11" s="19" t="s">
        <v>10</v>
      </c>
      <c r="G11" s="19">
        <v>67000</v>
      </c>
      <c r="H11" s="29" t="str">
        <f t="shared" si="0"/>
        <v>20-Apr-2025</v>
      </c>
      <c r="I11" s="29" t="str">
        <f t="shared" si="1"/>
        <v>April 2025</v>
      </c>
      <c r="J11" s="29" t="str">
        <f t="shared" si="2"/>
        <v>Sunday</v>
      </c>
      <c r="K11" s="29" t="str">
        <f t="shared" si="3"/>
        <v>20 April, 2025</v>
      </c>
      <c r="L11" s="35" t="str">
        <f t="shared" si="4"/>
        <v>Week 17 - April</v>
      </c>
    </row>
    <row r="14" spans="1:19" x14ac:dyDescent="0.3">
      <c r="G14" s="5"/>
      <c r="H14" s="7" t="s">
        <v>34</v>
      </c>
      <c r="I14" s="34" t="s">
        <v>97</v>
      </c>
      <c r="J14" s="34"/>
      <c r="K14" s="34"/>
      <c r="L14" s="34"/>
      <c r="M14" s="6"/>
      <c r="N14" s="6"/>
      <c r="O14" s="6"/>
      <c r="P14" s="6"/>
      <c r="Q14" s="6"/>
      <c r="R14" s="6"/>
      <c r="S14" s="6"/>
    </row>
    <row r="15" spans="1:19" ht="14.4" customHeight="1" x14ac:dyDescent="0.3">
      <c r="G15" s="5"/>
      <c r="H15" s="7" t="s">
        <v>35</v>
      </c>
      <c r="I15" s="34" t="s">
        <v>98</v>
      </c>
      <c r="J15" s="34"/>
      <c r="K15" s="34"/>
      <c r="L15" s="34"/>
      <c r="M15" s="1"/>
      <c r="N15" s="1"/>
      <c r="O15" s="1"/>
      <c r="P15" s="1"/>
      <c r="Q15" s="1"/>
      <c r="R15" s="1"/>
      <c r="S15" s="1"/>
    </row>
    <row r="16" spans="1:19" x14ac:dyDescent="0.3">
      <c r="G16" s="5"/>
      <c r="H16" s="7" t="s">
        <v>36</v>
      </c>
      <c r="I16" s="34" t="s">
        <v>99</v>
      </c>
      <c r="J16" s="34"/>
      <c r="K16" s="34"/>
      <c r="L16" s="34"/>
      <c r="M16" s="1"/>
      <c r="N16" s="1"/>
      <c r="O16" s="1"/>
      <c r="P16" s="1"/>
      <c r="Q16" s="1"/>
      <c r="R16" s="1"/>
      <c r="S16" s="1"/>
    </row>
    <row r="17" spans="7:19" ht="14.4" customHeight="1" x14ac:dyDescent="0.3">
      <c r="G17" s="5"/>
      <c r="H17" s="7" t="s">
        <v>37</v>
      </c>
      <c r="I17" s="34" t="s">
        <v>100</v>
      </c>
      <c r="J17" s="34"/>
      <c r="K17" s="34"/>
      <c r="L17" s="34"/>
      <c r="M17" s="1"/>
      <c r="N17" s="1"/>
      <c r="O17" s="1"/>
      <c r="P17" s="1"/>
      <c r="Q17" s="1"/>
      <c r="R17" s="1"/>
      <c r="S17" s="1"/>
    </row>
    <row r="18" spans="7:19" x14ac:dyDescent="0.3">
      <c r="G18" s="5"/>
      <c r="H18" s="7" t="s">
        <v>39</v>
      </c>
      <c r="I18" s="34" t="s">
        <v>101</v>
      </c>
      <c r="J18" s="34"/>
      <c r="K18" s="34"/>
      <c r="L18" s="34"/>
      <c r="M18" s="1"/>
      <c r="N18" s="1"/>
      <c r="O18" s="1"/>
      <c r="P18" s="1"/>
      <c r="Q18" s="1"/>
      <c r="R18" s="1"/>
      <c r="S18" s="1"/>
    </row>
  </sheetData>
  <mergeCells count="5">
    <mergeCell ref="I14:L14"/>
    <mergeCell ref="I15:L15"/>
    <mergeCell ref="I16:L16"/>
    <mergeCell ref="I17:L17"/>
    <mergeCell ref="I18:L18"/>
  </mergeCells>
  <pageMargins left="0.25" right="0.25" top="0.75" bottom="0.75" header="0.3" footer="0.3"/>
  <pageSetup paperSize="9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470F-BCC3-4A90-94EA-04F44B8238D7}">
  <dimension ref="A1:T18"/>
  <sheetViews>
    <sheetView zoomScale="130" zoomScaleNormal="130" workbookViewId="0">
      <selection activeCell="F14" sqref="F14"/>
    </sheetView>
  </sheetViews>
  <sheetFormatPr defaultRowHeight="14.4" x14ac:dyDescent="0.3"/>
  <cols>
    <col min="1" max="1" width="9.77734375" customWidth="1"/>
    <col min="2" max="2" width="11.77734375" customWidth="1"/>
    <col min="3" max="3" width="13.88671875" customWidth="1"/>
    <col min="4" max="4" width="16.44140625" customWidth="1"/>
    <col min="5" max="5" width="8.109375" customWidth="1"/>
    <col min="6" max="6" width="13.21875" customWidth="1"/>
    <col min="7" max="7" width="6.77734375" customWidth="1"/>
    <col min="8" max="8" width="10" customWidth="1"/>
    <col min="9" max="9" width="10.77734375" customWidth="1"/>
    <col min="10" max="10" width="13.5546875" bestFit="1" customWidth="1"/>
    <col min="11" max="11" width="16.5546875" bestFit="1" customWidth="1"/>
    <col min="12" max="12" width="13" bestFit="1" customWidth="1"/>
    <col min="13" max="13" width="12.33203125" bestFit="1" customWidth="1"/>
    <col min="14" max="14" width="10" bestFit="1" customWidth="1"/>
    <col min="15" max="15" width="9.88671875" bestFit="1" customWidth="1"/>
    <col min="16" max="16" width="11" bestFit="1" customWidth="1"/>
  </cols>
  <sheetData>
    <row r="1" spans="1:20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88</v>
      </c>
      <c r="I1" s="26" t="s">
        <v>112</v>
      </c>
      <c r="J1" s="26" t="s">
        <v>113</v>
      </c>
      <c r="K1" s="26" t="s">
        <v>114</v>
      </c>
      <c r="L1" s="26" t="s">
        <v>115</v>
      </c>
      <c r="M1" s="26" t="s">
        <v>116</v>
      </c>
      <c r="N1" s="26" t="s">
        <v>117</v>
      </c>
      <c r="O1" s="26" t="s">
        <v>118</v>
      </c>
      <c r="P1" s="27" t="s">
        <v>119</v>
      </c>
    </row>
    <row r="2" spans="1:20" x14ac:dyDescent="0.3">
      <c r="A2" s="10" t="s">
        <v>7</v>
      </c>
      <c r="B2" s="3">
        <v>45662</v>
      </c>
      <c r="C2" s="3">
        <v>45666</v>
      </c>
      <c r="D2" s="4" t="s">
        <v>8</v>
      </c>
      <c r="E2" s="4" t="s">
        <v>9</v>
      </c>
      <c r="F2" s="4" t="s">
        <v>10</v>
      </c>
      <c r="G2" s="4">
        <v>25000</v>
      </c>
      <c r="H2" s="24" t="str">
        <f>IF(WEEKDAY(B2,2)&gt;=6,"Weekend","Weekday")</f>
        <v>Weekend</v>
      </c>
      <c r="I2" s="24" t="str" cm="1">
        <f t="array" ref="I2">_xlfn.IFS(NETWORKDAYS(B2,C2)&lt;=3,"On Time",AND(NETWORKDAYS(B2,C2)&gt;=4,NETWORKDAYS(B2,C2)&lt;=6),"Slight Delay",NETWORKDAYS(B2,C2)&gt;6,"Late")</f>
        <v>Slight Delay</v>
      </c>
      <c r="J2" s="24" t="str">
        <f>TEXT(B2,"mmm-yyyy")</f>
        <v>Jan-2025</v>
      </c>
      <c r="K2" s="24">
        <f>SUMIF(H2:H11,"Weekend",G2:G11)</f>
        <v>321500</v>
      </c>
      <c r="L2" s="24">
        <f>C2-B2+1</f>
        <v>5</v>
      </c>
      <c r="M2" s="24">
        <f>NETWORKDAYS(B2,C2)</f>
        <v>4</v>
      </c>
      <c r="N2" s="24">
        <f>L2-M2</f>
        <v>1</v>
      </c>
      <c r="O2" s="36">
        <f>EOMONTH(B2,0)</f>
        <v>45688</v>
      </c>
      <c r="P2" s="33" t="str">
        <f>IF(DAY(B2)&lt;=15,"First Half","Second Half")</f>
        <v>First Half</v>
      </c>
    </row>
    <row r="3" spans="1:20" x14ac:dyDescent="0.3">
      <c r="A3" s="10" t="s">
        <v>11</v>
      </c>
      <c r="B3" s="3">
        <v>45669</v>
      </c>
      <c r="C3" s="3">
        <v>45675</v>
      </c>
      <c r="D3" s="4" t="s">
        <v>12</v>
      </c>
      <c r="E3" s="4" t="s">
        <v>13</v>
      </c>
      <c r="F3" s="4" t="s">
        <v>10</v>
      </c>
      <c r="G3" s="4">
        <v>48000</v>
      </c>
      <c r="H3" s="24" t="str">
        <f>IF(WEEKDAY(B3,2)&gt;=6,"Weekend","Weekday")</f>
        <v>Weekend</v>
      </c>
      <c r="I3" s="24" t="str" cm="1">
        <f t="array" ref="I3">_xlfn.IFS(NETWORKDAYS(B3,C3)&lt;=3,"On Time",AND(NETWORKDAYS(B3,C3)&gt;=4,NETWORKDAYS(B3,C3)&lt;=6),"Slight Delay",NETWORKDAYS(B3,C3)&gt;6,"Late")</f>
        <v>Slight Delay</v>
      </c>
      <c r="J3" s="24" t="str">
        <f t="shared" ref="J3:J11" si="0">TEXT(B3,"mmm-yyyy")</f>
        <v>Jan-2025</v>
      </c>
      <c r="K3" s="24"/>
      <c r="L3" s="24">
        <f t="shared" ref="L3:L11" si="1">C3-B3+1</f>
        <v>7</v>
      </c>
      <c r="M3" s="24">
        <f t="shared" ref="M3:M11" si="2">NETWORKDAYS(B3,C3)</f>
        <v>5</v>
      </c>
      <c r="N3" s="24">
        <f t="shared" ref="N3:N11" si="3">L3-M3</f>
        <v>2</v>
      </c>
      <c r="O3" s="36">
        <f t="shared" ref="O3:O11" si="4">EOMONTH(B3,0)</f>
        <v>45688</v>
      </c>
      <c r="P3" s="33" t="str">
        <f t="shared" ref="P3:P11" si="5">IF(DAY(B3)&lt;=15,"First Half","Second Half")</f>
        <v>First Half</v>
      </c>
    </row>
    <row r="4" spans="1:20" x14ac:dyDescent="0.3">
      <c r="A4" s="10" t="s">
        <v>14</v>
      </c>
      <c r="B4" s="3">
        <v>45682</v>
      </c>
      <c r="C4" s="3">
        <v>45687</v>
      </c>
      <c r="D4" s="4" t="s">
        <v>15</v>
      </c>
      <c r="E4" s="4" t="s">
        <v>16</v>
      </c>
      <c r="F4" s="4" t="s">
        <v>17</v>
      </c>
      <c r="G4" s="4">
        <v>18500</v>
      </c>
      <c r="H4" s="24" t="str">
        <f>IF(WEEKDAY(B4,2)&gt;=6,"Weekend","Weekday")</f>
        <v>Weekend</v>
      </c>
      <c r="I4" s="24" t="str" cm="1">
        <f t="array" ref="I4">_xlfn.IFS(NETWORKDAYS(B4,C4)&lt;=3,"On Time",AND(NETWORKDAYS(B4,C4)&gt;=4,NETWORKDAYS(B4,C4)&lt;=6),"Slight Delay",NETWORKDAYS(B4,C4)&gt;6,"Late")</f>
        <v>Slight Delay</v>
      </c>
      <c r="J4" s="24" t="str">
        <f t="shared" si="0"/>
        <v>Jan-2025</v>
      </c>
      <c r="K4" s="24"/>
      <c r="L4" s="24">
        <f t="shared" si="1"/>
        <v>6</v>
      </c>
      <c r="M4" s="24">
        <f t="shared" si="2"/>
        <v>4</v>
      </c>
      <c r="N4" s="24">
        <f t="shared" si="3"/>
        <v>2</v>
      </c>
      <c r="O4" s="36">
        <f t="shared" si="4"/>
        <v>45688</v>
      </c>
      <c r="P4" s="33" t="str">
        <f t="shared" si="5"/>
        <v>Second Half</v>
      </c>
    </row>
    <row r="5" spans="1:20" x14ac:dyDescent="0.3">
      <c r="A5" s="10" t="s">
        <v>18</v>
      </c>
      <c r="B5" s="3">
        <v>45690</v>
      </c>
      <c r="C5" s="3">
        <v>45693</v>
      </c>
      <c r="D5" s="4" t="s">
        <v>19</v>
      </c>
      <c r="E5" s="4" t="s">
        <v>20</v>
      </c>
      <c r="F5" s="4" t="s">
        <v>10</v>
      </c>
      <c r="G5" s="4">
        <v>72000</v>
      </c>
      <c r="H5" s="24" t="str">
        <f>IF(WEEKDAY(B5,2)&gt;=6,"Weekend","Weekday")</f>
        <v>Weekend</v>
      </c>
      <c r="I5" s="24" t="str" cm="1">
        <f t="array" ref="I5">_xlfn.IFS(NETWORKDAYS(B5,C5)&lt;=3,"On Time",AND(NETWORKDAYS(B5,C5)&gt;=4,NETWORKDAYS(B5,C5)&lt;=6),"Slight Delay",NETWORKDAYS(B5,C5)&gt;6,"Late")</f>
        <v>On Time</v>
      </c>
      <c r="J5" s="24" t="str">
        <f t="shared" si="0"/>
        <v>Feb-2025</v>
      </c>
      <c r="K5" s="24"/>
      <c r="L5" s="24">
        <f t="shared" si="1"/>
        <v>4</v>
      </c>
      <c r="M5" s="24">
        <f t="shared" si="2"/>
        <v>3</v>
      </c>
      <c r="N5" s="24">
        <f t="shared" si="3"/>
        <v>1</v>
      </c>
      <c r="O5" s="36">
        <f t="shared" si="4"/>
        <v>45716</v>
      </c>
      <c r="P5" s="33" t="str">
        <f t="shared" si="5"/>
        <v>First Half</v>
      </c>
    </row>
    <row r="6" spans="1:20" x14ac:dyDescent="0.3">
      <c r="A6" s="10" t="s">
        <v>21</v>
      </c>
      <c r="B6" s="3">
        <v>45702</v>
      </c>
      <c r="C6" s="3">
        <v>45710</v>
      </c>
      <c r="D6" s="4" t="s">
        <v>22</v>
      </c>
      <c r="E6" s="4" t="s">
        <v>9</v>
      </c>
      <c r="F6" s="4" t="s">
        <v>23</v>
      </c>
      <c r="G6" s="4">
        <v>15000</v>
      </c>
      <c r="H6" s="24" t="str">
        <f>IF(WEEKDAY(B6,2)&gt;=6,"Weekend","Weekday")</f>
        <v>Weekday</v>
      </c>
      <c r="I6" s="24" t="str" cm="1">
        <f t="array" ref="I6">_xlfn.IFS(NETWORKDAYS(B6,C6)&lt;=3,"On Time",AND(NETWORKDAYS(B6,C6)&gt;=4,NETWORKDAYS(B6,C6)&lt;=6),"Slight Delay",NETWORKDAYS(B6,C6)&gt;6,"Late")</f>
        <v>Slight Delay</v>
      </c>
      <c r="J6" s="24" t="str">
        <f t="shared" si="0"/>
        <v>Feb-2025</v>
      </c>
      <c r="K6" s="24"/>
      <c r="L6" s="24">
        <f t="shared" si="1"/>
        <v>9</v>
      </c>
      <c r="M6" s="24">
        <f t="shared" si="2"/>
        <v>6</v>
      </c>
      <c r="N6" s="24">
        <f t="shared" si="3"/>
        <v>3</v>
      </c>
      <c r="O6" s="36">
        <f t="shared" si="4"/>
        <v>45716</v>
      </c>
      <c r="P6" s="33" t="str">
        <f t="shared" si="5"/>
        <v>First Half</v>
      </c>
    </row>
    <row r="7" spans="1:20" x14ac:dyDescent="0.3">
      <c r="A7" s="10" t="s">
        <v>24</v>
      </c>
      <c r="B7" s="3">
        <v>45717</v>
      </c>
      <c r="C7" s="3">
        <v>45720</v>
      </c>
      <c r="D7" s="4" t="s">
        <v>25</v>
      </c>
      <c r="E7" s="4" t="s">
        <v>13</v>
      </c>
      <c r="F7" s="4" t="s">
        <v>10</v>
      </c>
      <c r="G7" s="4">
        <v>91000</v>
      </c>
      <c r="H7" s="24" t="str">
        <f>IF(WEEKDAY(B7,2)&gt;=6,"Weekend","Weekday")</f>
        <v>Weekend</v>
      </c>
      <c r="I7" s="24" t="str" cm="1">
        <f t="array" ref="I7">_xlfn.IFS(NETWORKDAYS(B7,C7)&lt;=3,"On Time",AND(NETWORKDAYS(B7,C7)&gt;=4,NETWORKDAYS(B7,C7)&lt;=6),"Slight Delay",NETWORKDAYS(B7,C7)&gt;6,"Late")</f>
        <v>On Time</v>
      </c>
      <c r="J7" s="24" t="str">
        <f t="shared" si="0"/>
        <v>Mar-2025</v>
      </c>
      <c r="K7" s="24"/>
      <c r="L7" s="24">
        <f t="shared" si="1"/>
        <v>4</v>
      </c>
      <c r="M7" s="24">
        <f t="shared" si="2"/>
        <v>2</v>
      </c>
      <c r="N7" s="24">
        <f t="shared" si="3"/>
        <v>2</v>
      </c>
      <c r="O7" s="36">
        <f t="shared" si="4"/>
        <v>45747</v>
      </c>
      <c r="P7" s="33" t="str">
        <f t="shared" si="5"/>
        <v>First Half</v>
      </c>
    </row>
    <row r="8" spans="1:20" x14ac:dyDescent="0.3">
      <c r="A8" s="10" t="s">
        <v>26</v>
      </c>
      <c r="B8" s="3">
        <v>45734</v>
      </c>
      <c r="C8" s="3">
        <v>45741</v>
      </c>
      <c r="D8" s="4" t="s">
        <v>27</v>
      </c>
      <c r="E8" s="4" t="s">
        <v>16</v>
      </c>
      <c r="F8" s="4" t="s">
        <v>10</v>
      </c>
      <c r="G8" s="4">
        <v>36000</v>
      </c>
      <c r="H8" s="24" t="str">
        <f>IF(WEEKDAY(B8,2)&gt;=6,"Weekend","Weekday")</f>
        <v>Weekday</v>
      </c>
      <c r="I8" s="24" t="str" cm="1">
        <f t="array" ref="I8">_xlfn.IFS(NETWORKDAYS(B8,C8)&lt;=3,"On Time",AND(NETWORKDAYS(B8,C8)&gt;=4,NETWORKDAYS(B8,C8)&lt;=6),"Slight Delay",NETWORKDAYS(B8,C8)&gt;6,"Late")</f>
        <v>Slight Delay</v>
      </c>
      <c r="J8" s="24" t="str">
        <f t="shared" si="0"/>
        <v>Mar-2025</v>
      </c>
      <c r="K8" s="24"/>
      <c r="L8" s="24">
        <f t="shared" si="1"/>
        <v>8</v>
      </c>
      <c r="M8" s="24">
        <f t="shared" si="2"/>
        <v>6</v>
      </c>
      <c r="N8" s="24">
        <f t="shared" si="3"/>
        <v>2</v>
      </c>
      <c r="O8" s="36">
        <f t="shared" si="4"/>
        <v>45747</v>
      </c>
      <c r="P8" s="33" t="str">
        <f t="shared" si="5"/>
        <v>Second Half</v>
      </c>
    </row>
    <row r="9" spans="1:20" x14ac:dyDescent="0.3">
      <c r="A9" s="10" t="s">
        <v>28</v>
      </c>
      <c r="B9" s="3">
        <v>45743</v>
      </c>
      <c r="C9" s="3">
        <v>45750</v>
      </c>
      <c r="D9" s="4" t="s">
        <v>29</v>
      </c>
      <c r="E9" s="4" t="s">
        <v>20</v>
      </c>
      <c r="F9" s="4" t="s">
        <v>17</v>
      </c>
      <c r="G9" s="4">
        <v>42000</v>
      </c>
      <c r="H9" s="24" t="str">
        <f>IF(WEEKDAY(B9,2)&gt;=6,"Weekend","Weekday")</f>
        <v>Weekday</v>
      </c>
      <c r="I9" s="24" t="str" cm="1">
        <f t="array" ref="I9">_xlfn.IFS(NETWORKDAYS(B9,C9)&lt;=3,"On Time",AND(NETWORKDAYS(B9,C9)&gt;=4,NETWORKDAYS(B9,C9)&lt;=6),"Slight Delay",NETWORKDAYS(B9,C9)&gt;6,"Late")</f>
        <v>Slight Delay</v>
      </c>
      <c r="J9" s="24" t="str">
        <f t="shared" si="0"/>
        <v>Mar-2025</v>
      </c>
      <c r="K9" s="24"/>
      <c r="L9" s="24">
        <f t="shared" si="1"/>
        <v>8</v>
      </c>
      <c r="M9" s="24">
        <f t="shared" si="2"/>
        <v>6</v>
      </c>
      <c r="N9" s="24">
        <f t="shared" si="3"/>
        <v>2</v>
      </c>
      <c r="O9" s="36">
        <f t="shared" si="4"/>
        <v>45747</v>
      </c>
      <c r="P9" s="33" t="str">
        <f t="shared" si="5"/>
        <v>Second Half</v>
      </c>
    </row>
    <row r="10" spans="1:20" x14ac:dyDescent="0.3">
      <c r="A10" s="10" t="s">
        <v>30</v>
      </c>
      <c r="B10" s="3">
        <v>45755</v>
      </c>
      <c r="C10" s="3">
        <v>45757</v>
      </c>
      <c r="D10" s="4" t="s">
        <v>31</v>
      </c>
      <c r="E10" s="4" t="s">
        <v>9</v>
      </c>
      <c r="F10" s="4" t="s">
        <v>10</v>
      </c>
      <c r="G10" s="4">
        <v>56000</v>
      </c>
      <c r="H10" s="24" t="str">
        <f>IF(WEEKDAY(B10,2)&gt;=6,"Weekend","Weekday")</f>
        <v>Weekday</v>
      </c>
      <c r="I10" s="24" t="str" cm="1">
        <f t="array" ref="I10">_xlfn.IFS(NETWORKDAYS(B10,C10)&lt;=3,"On Time",AND(NETWORKDAYS(B10,C10)&gt;=4,NETWORKDAYS(B10,C10)&lt;=6),"Slight Delay",NETWORKDAYS(B10,C10)&gt;6,"Late")</f>
        <v>On Time</v>
      </c>
      <c r="J10" s="24" t="str">
        <f t="shared" si="0"/>
        <v>Apr-2025</v>
      </c>
      <c r="K10" s="24"/>
      <c r="L10" s="24">
        <f t="shared" si="1"/>
        <v>3</v>
      </c>
      <c r="M10" s="24">
        <f t="shared" si="2"/>
        <v>3</v>
      </c>
      <c r="N10" s="24">
        <f t="shared" si="3"/>
        <v>0</v>
      </c>
      <c r="O10" s="36">
        <f t="shared" si="4"/>
        <v>45777</v>
      </c>
      <c r="P10" s="33" t="str">
        <f t="shared" si="5"/>
        <v>First Half</v>
      </c>
    </row>
    <row r="11" spans="1:20" x14ac:dyDescent="0.3">
      <c r="A11" s="17" t="s">
        <v>32</v>
      </c>
      <c r="B11" s="18">
        <v>45767</v>
      </c>
      <c r="C11" s="18">
        <v>45774</v>
      </c>
      <c r="D11" s="19" t="s">
        <v>33</v>
      </c>
      <c r="E11" s="19" t="s">
        <v>13</v>
      </c>
      <c r="F11" s="19" t="s">
        <v>10</v>
      </c>
      <c r="G11" s="19">
        <v>67000</v>
      </c>
      <c r="H11" s="29" t="str">
        <f>IF(WEEKDAY(B11,2)&gt;=6,"Weekend","Weekday")</f>
        <v>Weekend</v>
      </c>
      <c r="I11" s="29" t="str" cm="1">
        <f t="array" ref="I11">_xlfn.IFS(NETWORKDAYS(B11,C11)&lt;=3,"On Time",AND(NETWORKDAYS(B11,C11)&gt;=4,NETWORKDAYS(B11,C11)&lt;=6),"Slight Delay",NETWORKDAYS(B11,C11)&gt;6,"Late")</f>
        <v>Slight Delay</v>
      </c>
      <c r="J11" s="29" t="str">
        <f t="shared" si="0"/>
        <v>Apr-2025</v>
      </c>
      <c r="K11" s="29"/>
      <c r="L11" s="29">
        <f t="shared" si="1"/>
        <v>8</v>
      </c>
      <c r="M11" s="29">
        <f t="shared" si="2"/>
        <v>5</v>
      </c>
      <c r="N11" s="29">
        <f t="shared" si="3"/>
        <v>3</v>
      </c>
      <c r="O11" s="38">
        <f t="shared" si="4"/>
        <v>45777</v>
      </c>
      <c r="P11" s="35" t="str">
        <f t="shared" si="5"/>
        <v>Second Half</v>
      </c>
    </row>
    <row r="14" spans="1:20" ht="57.6" customHeight="1" x14ac:dyDescent="0.3">
      <c r="G14" s="5"/>
      <c r="H14" s="5"/>
      <c r="I14" s="40" t="s">
        <v>102</v>
      </c>
      <c r="J14" s="40"/>
      <c r="K14" s="41" t="s">
        <v>104</v>
      </c>
      <c r="L14" s="41"/>
      <c r="M14" s="41"/>
      <c r="N14" s="41"/>
      <c r="O14" s="41"/>
      <c r="P14" s="41"/>
      <c r="Q14" s="6"/>
      <c r="R14" s="6"/>
      <c r="S14" s="6"/>
      <c r="T14" s="6"/>
    </row>
    <row r="15" spans="1:20" ht="58.8" customHeight="1" x14ac:dyDescent="0.3">
      <c r="G15" s="5"/>
      <c r="H15" s="5"/>
      <c r="I15" s="40" t="s">
        <v>103</v>
      </c>
      <c r="J15" s="40"/>
      <c r="K15" s="41" t="s">
        <v>105</v>
      </c>
      <c r="L15" s="41"/>
      <c r="M15" s="41"/>
      <c r="N15" s="41"/>
      <c r="O15" s="41"/>
      <c r="P15" s="41"/>
      <c r="Q15" s="1"/>
      <c r="R15" s="1"/>
      <c r="S15" s="1"/>
      <c r="T15" s="1"/>
    </row>
    <row r="16" spans="1:20" ht="43.2" customHeight="1" x14ac:dyDescent="0.3">
      <c r="G16" s="5"/>
      <c r="H16" s="5"/>
      <c r="I16" s="40" t="s">
        <v>106</v>
      </c>
      <c r="J16" s="40"/>
      <c r="K16" s="41" t="s">
        <v>107</v>
      </c>
      <c r="L16" s="41"/>
      <c r="M16" s="41"/>
      <c r="N16" s="41"/>
      <c r="O16" s="41"/>
      <c r="P16" s="41"/>
      <c r="Q16" s="1"/>
      <c r="R16" s="1"/>
      <c r="S16" s="1"/>
      <c r="T16" s="1"/>
    </row>
    <row r="17" spans="7:20" ht="40.200000000000003" customHeight="1" x14ac:dyDescent="0.3">
      <c r="G17" s="5"/>
      <c r="H17" s="5"/>
      <c r="I17" s="40" t="s">
        <v>108</v>
      </c>
      <c r="J17" s="40"/>
      <c r="K17" s="41" t="s">
        <v>111</v>
      </c>
      <c r="L17" s="41"/>
      <c r="M17" s="41"/>
      <c r="N17" s="41"/>
      <c r="O17" s="41"/>
      <c r="P17" s="41"/>
      <c r="Q17" s="1"/>
      <c r="R17" s="1"/>
      <c r="S17" s="1"/>
      <c r="T17" s="1"/>
    </row>
    <row r="18" spans="7:20" ht="46.2" customHeight="1" x14ac:dyDescent="0.3">
      <c r="G18" s="5"/>
      <c r="H18" s="5"/>
      <c r="I18" s="40" t="s">
        <v>109</v>
      </c>
      <c r="J18" s="40"/>
      <c r="K18" s="41" t="s">
        <v>110</v>
      </c>
      <c r="L18" s="41"/>
      <c r="M18" s="41"/>
      <c r="N18" s="41"/>
      <c r="O18" s="41"/>
      <c r="P18" s="41"/>
      <c r="Q18" s="1"/>
      <c r="R18" s="1"/>
      <c r="S18" s="1"/>
      <c r="T18" s="1"/>
    </row>
  </sheetData>
  <mergeCells count="10">
    <mergeCell ref="I14:J14"/>
    <mergeCell ref="K14:P14"/>
    <mergeCell ref="I15:J15"/>
    <mergeCell ref="K15:P15"/>
    <mergeCell ref="I16:J16"/>
    <mergeCell ref="K16:P16"/>
    <mergeCell ref="I17:J17"/>
    <mergeCell ref="K17:P17"/>
    <mergeCell ref="I18:J18"/>
    <mergeCell ref="K18:P18"/>
  </mergeCells>
  <pageMargins left="0.25" right="0.25" top="0.75" bottom="0.75" header="0.3" footer="0.3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RAW-DATA</vt:lpstr>
      <vt:lpstr>DATE</vt:lpstr>
      <vt:lpstr>TODAY-NOW</vt:lpstr>
      <vt:lpstr>YEAR-MONTH-DAY</vt:lpstr>
      <vt:lpstr>WEEKDAY-WEEKNUM</vt:lpstr>
      <vt:lpstr>DATEDIF</vt:lpstr>
      <vt:lpstr>EDATE-EOMONTH</vt:lpstr>
      <vt:lpstr>NETWORKDAYS-NETWORKDAYS.INT</vt:lpstr>
      <vt:lpstr>TEXT</vt:lpstr>
      <vt:lpstr>Challenge-Problems</vt:lpstr>
      <vt:lpstr>'Challenge-Problems'!Print_Area</vt:lpstr>
      <vt:lpstr>DATE!Print_Area</vt:lpstr>
      <vt:lpstr>DATEDIF!Print_Area</vt:lpstr>
      <vt:lpstr>'EDATE-EOMONTH'!Print_Area</vt:lpstr>
      <vt:lpstr>'NETWORKDAYS-NETWORKDAYS.INT'!Print_Area</vt:lpstr>
      <vt:lpstr>TEXT!Print_Area</vt:lpstr>
      <vt:lpstr>'TODAY-NOW'!Print_Area</vt:lpstr>
      <vt:lpstr>'WEEKDAY-WEEKNUM'!Print_Area</vt:lpstr>
      <vt:lpstr>'YEAR-MONTH-DAY'!Print_Area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Souptik Bej</dc:creator>
  <cp:lastModifiedBy>Souptik Bej</cp:lastModifiedBy>
  <cp:lastPrinted>2026-07-21T07:20:52Z</cp:lastPrinted>
  <dcterms:created xsi:type="dcterms:W3CDTF">2026-07-19T17:23:38Z</dcterms:created>
  <dcterms:modified xsi:type="dcterms:W3CDTF">2026-07-21T07:21:30Z</dcterms:modified>
</cp:coreProperties>
</file>