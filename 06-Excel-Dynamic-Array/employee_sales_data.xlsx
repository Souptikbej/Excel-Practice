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F8EB84D2-2F80-4ECF-8287-7D9EF8F6455A}" xr6:coauthVersionLast="47" xr6:coauthVersionMax="47" xr10:uidLastSave="{00000000-0000-0000-0000-000000000000}"/>
  <bookViews>
    <workbookView xWindow="28680" yWindow="-120" windowWidth="29040" windowHeight="16440" activeTab="4" xr2:uid="{F657679A-7830-4175-8111-E3FD03711107}"/>
  </bookViews>
  <sheets>
    <sheet name="RAW-DATA" sheetId="1" r:id="rId1"/>
    <sheet name="FILTER" sheetId="2" r:id="rId2"/>
    <sheet name="SORT" sheetId="3" r:id="rId3"/>
    <sheet name="UNIQUE" sheetId="4" r:id="rId4"/>
    <sheet name="RANDARRAY" sheetId="5" r:id="rId5"/>
  </sheets>
  <definedNames>
    <definedName name="_xlnm.Print_Area" localSheetId="1">FILTER!$A$1:$G$58</definedName>
    <definedName name="_xlnm.Print_Area" localSheetId="4">RANDARRAY!$A$1:$O$17</definedName>
    <definedName name="_xlnm.Print_Area" localSheetId="2">SORT!$A$1:$O$52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7" i="5" l="1" a="1"/>
  <c r="A17" i="5" s="1"/>
  <c r="A12" i="5" a="1"/>
  <c r="A12" i="5" s="1"/>
  <c r="A10" i="5" a="1"/>
  <c r="A10" i="5" s="1"/>
  <c r="A4" i="5" a="1"/>
  <c r="A4" i="5" s="1"/>
  <c r="A2" i="5" a="1"/>
  <c r="A2" i="5" s="1"/>
  <c r="L2" i="4"/>
  <c r="K2" i="4"/>
  <c r="J2" i="4" a="1"/>
  <c r="J2" i="4" s="1"/>
  <c r="I2" i="4" a="1"/>
  <c r="I2" i="4" s="1"/>
  <c r="H2" i="4" a="1"/>
  <c r="H2" i="4" s="1"/>
  <c r="I38" i="3" a="1"/>
  <c r="I38" i="3" s="1"/>
  <c r="I20" i="3" a="1"/>
  <c r="I20" i="3" s="1"/>
  <c r="A38" i="3" a="1"/>
  <c r="A38" i="3" s="1"/>
  <c r="A20" i="3" a="1"/>
  <c r="A20" i="3" s="1"/>
  <c r="A55" i="2" a="1"/>
  <c r="A55" i="2" s="1"/>
  <c r="A45" i="2" a="1"/>
  <c r="A45" i="2" s="1"/>
  <c r="A38" i="2" a="1"/>
  <c r="A38" i="2" s="1"/>
  <c r="A29" i="2" a="1"/>
  <c r="A29" i="2" s="1"/>
  <c r="A20" i="2" a="1"/>
  <c r="A2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<sst xmlns="http://schemas.openxmlformats.org/spreadsheetml/2006/main" count="357" uniqueCount="73">
  <si>
    <t>Department</t>
  </si>
  <si>
    <t>HR</t>
  </si>
  <si>
    <t>Delhi</t>
  </si>
  <si>
    <t>IT</t>
  </si>
  <si>
    <t>Mumbai</t>
  </si>
  <si>
    <t>Finance</t>
  </si>
  <si>
    <t>Bangalore</t>
  </si>
  <si>
    <t>Karan</t>
  </si>
  <si>
    <t>Pune</t>
  </si>
  <si>
    <t>Employee ID</t>
  </si>
  <si>
    <t>Employee Name</t>
  </si>
  <si>
    <t>City</t>
  </si>
  <si>
    <t>Sales</t>
  </si>
  <si>
    <t>Target</t>
  </si>
  <si>
    <t>Rating</t>
  </si>
  <si>
    <t>E101</t>
  </si>
  <si>
    <t>Amit</t>
  </si>
  <si>
    <t>A</t>
  </si>
  <si>
    <t>E102</t>
  </si>
  <si>
    <t>Priya</t>
  </si>
  <si>
    <t>B</t>
  </si>
  <si>
    <t>E103</t>
  </si>
  <si>
    <t>Rahul</t>
  </si>
  <si>
    <t>Kolkata</t>
  </si>
  <si>
    <t>E104</t>
  </si>
  <si>
    <t>Neha</t>
  </si>
  <si>
    <t>C</t>
  </si>
  <si>
    <t>E105</t>
  </si>
  <si>
    <t>Arjun</t>
  </si>
  <si>
    <t>E106</t>
  </si>
  <si>
    <t>Sneha</t>
  </si>
  <si>
    <t>E107</t>
  </si>
  <si>
    <t>Vikram</t>
  </si>
  <si>
    <t>Chennai</t>
  </si>
  <si>
    <t>E108</t>
  </si>
  <si>
    <t>Pooja</t>
  </si>
  <si>
    <t>E109</t>
  </si>
  <si>
    <t>E110</t>
  </si>
  <si>
    <t>Riya</t>
  </si>
  <si>
    <t>E111</t>
  </si>
  <si>
    <t>Mohit</t>
  </si>
  <si>
    <t>E112</t>
  </si>
  <si>
    <t>Anjali</t>
  </si>
  <si>
    <t>E113</t>
  </si>
  <si>
    <t>Deepak</t>
  </si>
  <si>
    <t>E114</t>
  </si>
  <si>
    <t>Nisha</t>
  </si>
  <si>
    <t>E115</t>
  </si>
  <si>
    <t>Ravi</t>
  </si>
  <si>
    <t>Problem 1
Display all employees whose Sales &gt; 60.</t>
  </si>
  <si>
    <t>Problem 2
Show all employees from the Sales department.</t>
  </si>
  <si>
    <t>Problem 3
Display employees whose City is Delhi.</t>
  </si>
  <si>
    <t>Problem 4
Show employees whose Rating = A.</t>
  </si>
  <si>
    <t>Problem 5
Display employees whose Department = Sales andSales &gt; 60</t>
  </si>
  <si>
    <t>Problem 1
Sort the dataset by Sales (Lowest to Highest).</t>
  </si>
  <si>
    <t>Problem 3
Sort the dataset alphabetically by Employee Name.</t>
  </si>
  <si>
    <t>Problem 4
Sort employees according to Department (A-Z).</t>
  </si>
  <si>
    <t>Problem 5
Sort employees by City, then by Sales (Highest First).</t>
  </si>
  <si>
    <t>Problem1</t>
  </si>
  <si>
    <t>Problem2</t>
  </si>
  <si>
    <t>Problem3</t>
  </si>
  <si>
    <t>Problem4</t>
  </si>
  <si>
    <t>Problem5</t>
  </si>
  <si>
    <t>Count how many unique Departments exist.</t>
  </si>
  <si>
    <t>Extract all unique Departments.</t>
  </si>
  <si>
    <t>Extract all unique Cities.</t>
  </si>
  <si>
    <t>Extract unique Ratings.</t>
  </si>
  <si>
    <t>Count how many unique Cities exist.</t>
  </si>
  <si>
    <t>Problem 1 :- Generate 10 random numbers.</t>
  </si>
  <si>
    <t>Problem 2 :- Generate a 5 × 3 random array.</t>
  </si>
  <si>
    <t>Problem 3 :- Generate 10 random integers between 50 and 100.</t>
  </si>
  <si>
    <t>Problem 4 :- Generate a 4 × 4 random integer matrix between 1 and 20.</t>
  </si>
  <si>
    <t>Problem 5 :- Generate 15 random decimal numbers between 0 and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</si>
</sst>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u/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5" fillId="2" borderId="1" xfId="1" applyFont="1" applyBorder="1"/>
    <xf numFmtId="0" fontId="1" fillId="2" borderId="1" xfId="1" applyBorder="1"/>
    <xf numFmtId="0" fontId="6" fillId="2" borderId="1" xfId="1" applyFont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3" borderId="1" xfId="2" applyFont="1" applyBorder="1" applyAlignment="1">
      <alignment horizontal="center" vertical="center" wrapText="1"/>
    </xf>
    <xf numFmtId="0" fontId="4" fillId="3" borderId="1" xfId="2" applyFont="1" applyBorder="1" applyAlignment="1">
      <alignment horizontal="center" vertical="center"/>
    </xf>
    <xf numFmtId="0" fontId="4" fillId="3" borderId="1" xfId="2" applyFont="1" applyBorder="1" applyAlignment="1">
      <alignment horizontal="center" wrapText="1"/>
    </xf>
    <xf numFmtId="0" fontId="4" fillId="3" borderId="1" xfId="2" applyFont="1" applyBorder="1" applyAlignment="1">
      <alignment horizontal="center"/>
    </xf>
    <xf numFmtId="0" fontId="4" fillId="3" borderId="0" xfId="2" applyFont="1" applyAlignment="1">
      <alignment horizontal="center" vertical="center" wrapText="1"/>
    </xf>
    <xf numFmtId="0" fontId="4" fillId="3" borderId="2" xfId="2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0" xfId="0" applyAlignment="1"/>
    <xf numFmtId="0" fontId="4" fillId="3" borderId="1" xfId="2" applyFont="1" applyBorder="1"/>
    <xf numFmtId="0" fontId="4" fillId="3" borderId="1" xfId="2" applyFont="1" applyBorder="1" applyAlignment="1">
      <alignment horizontal="left" vertical="center"/>
    </xf>
    <xf numFmtId="0" fontId="5" fillId="2" borderId="3" xfId="1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  <xf numFmtId="0" fontId="5" fillId="2" borderId="6" xfId="1" applyFont="1" applyBorder="1"/>
    <xf numFmtId="0" fontId="5" fillId="2" borderId="7" xfId="1" applyFont="1" applyBorder="1"/>
    <xf numFmtId="0" fontId="5" fillId="2" borderId="8" xfId="1" applyFont="1" applyBorder="1"/>
    <xf numFmtId="0" fontId="5" fillId="2" borderId="9" xfId="1" applyFont="1" applyBorder="1"/>
    <xf numFmtId="0" fontId="5" fillId="2" borderId="10" xfId="1" applyFont="1" applyBorder="1"/>
    <xf numFmtId="0" fontId="5" fillId="2" borderId="13" xfId="1" applyFont="1" applyBorder="1"/>
    <xf numFmtId="0" fontId="4" fillId="3" borderId="1" xfId="2" applyFont="1" applyBorder="1"/>
    <xf numFmtId="0" fontId="5" fillId="2" borderId="14" xfId="1" applyFont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AB52-48A2-4A2D-87AA-E9E9EAD94185}">
  <dimension ref="A1:G16"/>
  <sheetViews>
    <sheetView zoomScale="160" zoomScaleNormal="160" workbookViewId="0">
      <selection activeCell="C7" sqref="A1:G16"/>
    </sheetView>
  </sheetViews>
  <sheetFormatPr defaultRowHeight="14.4" x14ac:dyDescent="0.3"/>
  <cols>
    <col min="1" max="2" width="9.21875" bestFit="1" customWidth="1"/>
    <col min="3" max="3" width="11" bestFit="1" customWidth="1"/>
    <col min="4" max="4" width="9.109375" bestFit="1" customWidth="1"/>
    <col min="5" max="5" width="5.5546875" bestFit="1" customWidth="1"/>
    <col min="6" max="6" width="6.109375" bestFit="1" customWidth="1"/>
    <col min="7" max="7" width="6.21875" bestFit="1" customWidth="1"/>
  </cols>
  <sheetData>
    <row r="1" spans="1:7" ht="28.8" x14ac:dyDescent="0.3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 s="2" t="s">
        <v>15</v>
      </c>
      <c r="B2" s="2" t="s">
        <v>16</v>
      </c>
      <c r="C2" s="2" t="s">
        <v>12</v>
      </c>
      <c r="D2" s="2" t="s">
        <v>2</v>
      </c>
      <c r="E2" s="2">
        <v>55</v>
      </c>
      <c r="F2" s="2">
        <v>50</v>
      </c>
      <c r="G2" s="2" t="s">
        <v>17</v>
      </c>
    </row>
    <row r="3" spans="1:7" x14ac:dyDescent="0.3">
      <c r="A3" s="2" t="s">
        <v>18</v>
      </c>
      <c r="B3" s="2" t="s">
        <v>19</v>
      </c>
      <c r="C3" s="2" t="s">
        <v>1</v>
      </c>
      <c r="D3" s="2" t="s">
        <v>4</v>
      </c>
      <c r="E3" s="2">
        <v>42</v>
      </c>
      <c r="F3" s="2">
        <v>45</v>
      </c>
      <c r="G3" s="2" t="s">
        <v>20</v>
      </c>
    </row>
    <row r="4" spans="1:7" x14ac:dyDescent="0.3">
      <c r="A4" s="2" t="s">
        <v>21</v>
      </c>
      <c r="B4" s="2" t="s">
        <v>22</v>
      </c>
      <c r="C4" s="2" t="s">
        <v>12</v>
      </c>
      <c r="D4" s="2" t="s">
        <v>23</v>
      </c>
      <c r="E4" s="2">
        <v>67</v>
      </c>
      <c r="F4" s="2">
        <v>60</v>
      </c>
      <c r="G4" s="2" t="s">
        <v>17</v>
      </c>
    </row>
    <row r="5" spans="1:7" x14ac:dyDescent="0.3">
      <c r="A5" s="2" t="s">
        <v>24</v>
      </c>
      <c r="B5" s="2" t="s">
        <v>25</v>
      </c>
      <c r="C5" s="2" t="s">
        <v>5</v>
      </c>
      <c r="D5" s="2" t="s">
        <v>8</v>
      </c>
      <c r="E5" s="2">
        <v>38</v>
      </c>
      <c r="F5" s="2">
        <v>40</v>
      </c>
      <c r="G5" s="2" t="s">
        <v>26</v>
      </c>
    </row>
    <row r="6" spans="1:7" x14ac:dyDescent="0.3">
      <c r="A6" s="2" t="s">
        <v>27</v>
      </c>
      <c r="B6" s="2" t="s">
        <v>28</v>
      </c>
      <c r="C6" s="2" t="s">
        <v>12</v>
      </c>
      <c r="D6" s="2" t="s">
        <v>2</v>
      </c>
      <c r="E6" s="2">
        <v>75</v>
      </c>
      <c r="F6" s="2">
        <v>70</v>
      </c>
      <c r="G6" s="2" t="s">
        <v>17</v>
      </c>
    </row>
    <row r="7" spans="1:7" x14ac:dyDescent="0.3">
      <c r="A7" s="2" t="s">
        <v>29</v>
      </c>
      <c r="B7" s="2" t="s">
        <v>30</v>
      </c>
      <c r="C7" s="2" t="s">
        <v>3</v>
      </c>
      <c r="D7" s="2" t="s">
        <v>6</v>
      </c>
      <c r="E7" s="2">
        <v>49</v>
      </c>
      <c r="F7" s="2">
        <v>55</v>
      </c>
      <c r="G7" s="2" t="s">
        <v>20</v>
      </c>
    </row>
    <row r="8" spans="1:7" x14ac:dyDescent="0.3">
      <c r="A8" s="2" t="s">
        <v>31</v>
      </c>
      <c r="B8" s="2" t="s">
        <v>32</v>
      </c>
      <c r="C8" s="2" t="s">
        <v>1</v>
      </c>
      <c r="D8" s="2" t="s">
        <v>33</v>
      </c>
      <c r="E8" s="2">
        <v>63</v>
      </c>
      <c r="F8" s="2">
        <v>60</v>
      </c>
      <c r="G8" s="2" t="s">
        <v>17</v>
      </c>
    </row>
    <row r="9" spans="1:7" x14ac:dyDescent="0.3">
      <c r="A9" s="2" t="s">
        <v>34</v>
      </c>
      <c r="B9" s="2" t="s">
        <v>35</v>
      </c>
      <c r="C9" s="2" t="s">
        <v>5</v>
      </c>
      <c r="D9" s="2" t="s">
        <v>23</v>
      </c>
      <c r="E9" s="2">
        <v>52</v>
      </c>
      <c r="F9" s="2">
        <v>50</v>
      </c>
      <c r="G9" s="2" t="s">
        <v>20</v>
      </c>
    </row>
    <row r="10" spans="1:7" x14ac:dyDescent="0.3">
      <c r="A10" s="2" t="s">
        <v>36</v>
      </c>
      <c r="B10" s="2" t="s">
        <v>7</v>
      </c>
      <c r="C10" s="2" t="s">
        <v>12</v>
      </c>
      <c r="D10" s="2" t="s">
        <v>4</v>
      </c>
      <c r="E10" s="2">
        <v>81</v>
      </c>
      <c r="F10" s="2">
        <v>75</v>
      </c>
      <c r="G10" s="2" t="s">
        <v>17</v>
      </c>
    </row>
    <row r="11" spans="1:7" x14ac:dyDescent="0.3">
      <c r="A11" s="2" t="s">
        <v>37</v>
      </c>
      <c r="B11" s="2" t="s">
        <v>38</v>
      </c>
      <c r="C11" s="2" t="s">
        <v>3</v>
      </c>
      <c r="D11" s="2" t="s">
        <v>8</v>
      </c>
      <c r="E11" s="2">
        <v>44</v>
      </c>
      <c r="F11" s="2">
        <v>50</v>
      </c>
      <c r="G11" s="2" t="s">
        <v>26</v>
      </c>
    </row>
    <row r="12" spans="1:7" x14ac:dyDescent="0.3">
      <c r="A12" s="2" t="s">
        <v>39</v>
      </c>
      <c r="B12" s="2" t="s">
        <v>40</v>
      </c>
      <c r="C12" s="2" t="s">
        <v>12</v>
      </c>
      <c r="D12" s="2" t="s">
        <v>2</v>
      </c>
      <c r="E12" s="2">
        <v>58</v>
      </c>
      <c r="F12" s="2">
        <v>55</v>
      </c>
      <c r="G12" s="2" t="s">
        <v>20</v>
      </c>
    </row>
    <row r="13" spans="1:7" x14ac:dyDescent="0.3">
      <c r="A13" s="2" t="s">
        <v>41</v>
      </c>
      <c r="B13" s="2" t="s">
        <v>42</v>
      </c>
      <c r="C13" s="2" t="s">
        <v>5</v>
      </c>
      <c r="D13" s="2" t="s">
        <v>6</v>
      </c>
      <c r="E13" s="2">
        <v>39</v>
      </c>
      <c r="F13" s="2">
        <v>45</v>
      </c>
      <c r="G13" s="2" t="s">
        <v>26</v>
      </c>
    </row>
    <row r="14" spans="1:7" x14ac:dyDescent="0.3">
      <c r="A14" s="2" t="s">
        <v>43</v>
      </c>
      <c r="B14" s="2" t="s">
        <v>44</v>
      </c>
      <c r="C14" s="2" t="s">
        <v>12</v>
      </c>
      <c r="D14" s="2" t="s">
        <v>33</v>
      </c>
      <c r="E14" s="2">
        <v>70</v>
      </c>
      <c r="F14" s="2">
        <v>65</v>
      </c>
      <c r="G14" s="2" t="s">
        <v>17</v>
      </c>
    </row>
    <row r="15" spans="1:7" x14ac:dyDescent="0.3">
      <c r="A15" s="2" t="s">
        <v>45</v>
      </c>
      <c r="B15" s="2" t="s">
        <v>46</v>
      </c>
      <c r="C15" s="2" t="s">
        <v>1</v>
      </c>
      <c r="D15" s="2" t="s">
        <v>2</v>
      </c>
      <c r="E15" s="2">
        <v>46</v>
      </c>
      <c r="F15" s="2">
        <v>50</v>
      </c>
      <c r="G15" s="2" t="s">
        <v>20</v>
      </c>
    </row>
    <row r="16" spans="1:7" x14ac:dyDescent="0.3">
      <c r="A16" s="2" t="s">
        <v>47</v>
      </c>
      <c r="B16" s="2" t="s">
        <v>48</v>
      </c>
      <c r="C16" s="2" t="s">
        <v>3</v>
      </c>
      <c r="D16" s="2" t="s">
        <v>4</v>
      </c>
      <c r="E16" s="2">
        <v>61</v>
      </c>
      <c r="F16" s="2">
        <v>60</v>
      </c>
      <c r="G16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FA8D-F3FB-42A2-A1FE-D19D98DF9859}">
  <sheetPr>
    <pageSetUpPr fitToPage="1"/>
  </sheetPr>
  <dimension ref="A1:G58"/>
  <sheetViews>
    <sheetView topLeftCell="A46" zoomScale="160" zoomScaleNormal="160" workbookViewId="0">
      <selection activeCell="E67" sqref="E67"/>
    </sheetView>
  </sheetViews>
  <sheetFormatPr defaultRowHeight="14.4" x14ac:dyDescent="0.3"/>
  <cols>
    <col min="1" max="2" width="8.77734375" bestFit="1" customWidth="1"/>
    <col min="3" max="3" width="8.5546875" bestFit="1" customWidth="1"/>
    <col min="4" max="4" width="9.33203125" bestFit="1" customWidth="1"/>
    <col min="5" max="5" width="5.77734375" bestFit="1" customWidth="1"/>
    <col min="6" max="6" width="6.33203125" bestFit="1" customWidth="1"/>
    <col min="7" max="8" width="6.33203125" customWidth="1"/>
  </cols>
  <sheetData>
    <row r="1" spans="1:7" ht="28.8" x14ac:dyDescent="0.3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 s="3" t="s">
        <v>15</v>
      </c>
      <c r="B2" s="3" t="s">
        <v>16</v>
      </c>
      <c r="C2" s="3" t="s">
        <v>12</v>
      </c>
      <c r="D2" s="3" t="s">
        <v>2</v>
      </c>
      <c r="E2" s="3">
        <v>55</v>
      </c>
      <c r="F2" s="3">
        <v>50</v>
      </c>
      <c r="G2" s="3" t="s">
        <v>17</v>
      </c>
    </row>
    <row r="3" spans="1:7" x14ac:dyDescent="0.3">
      <c r="A3" s="3" t="s">
        <v>18</v>
      </c>
      <c r="B3" s="3" t="s">
        <v>19</v>
      </c>
      <c r="C3" s="3" t="s">
        <v>1</v>
      </c>
      <c r="D3" s="3" t="s">
        <v>4</v>
      </c>
      <c r="E3" s="3">
        <v>42</v>
      </c>
      <c r="F3" s="3">
        <v>45</v>
      </c>
      <c r="G3" s="3" t="s">
        <v>20</v>
      </c>
    </row>
    <row r="4" spans="1:7" x14ac:dyDescent="0.3">
      <c r="A4" s="3" t="s">
        <v>21</v>
      </c>
      <c r="B4" s="3" t="s">
        <v>22</v>
      </c>
      <c r="C4" s="3" t="s">
        <v>12</v>
      </c>
      <c r="D4" s="3" t="s">
        <v>23</v>
      </c>
      <c r="E4" s="3">
        <v>67</v>
      </c>
      <c r="F4" s="3">
        <v>60</v>
      </c>
      <c r="G4" s="3" t="s">
        <v>17</v>
      </c>
    </row>
    <row r="5" spans="1:7" x14ac:dyDescent="0.3">
      <c r="A5" s="3" t="s">
        <v>24</v>
      </c>
      <c r="B5" s="3" t="s">
        <v>25</v>
      </c>
      <c r="C5" s="3" t="s">
        <v>5</v>
      </c>
      <c r="D5" s="3" t="s">
        <v>8</v>
      </c>
      <c r="E5" s="3">
        <v>38</v>
      </c>
      <c r="F5" s="3">
        <v>40</v>
      </c>
      <c r="G5" s="3" t="s">
        <v>26</v>
      </c>
    </row>
    <row r="6" spans="1:7" x14ac:dyDescent="0.3">
      <c r="A6" s="3" t="s">
        <v>27</v>
      </c>
      <c r="B6" s="3" t="s">
        <v>28</v>
      </c>
      <c r="C6" s="3" t="s">
        <v>12</v>
      </c>
      <c r="D6" s="3" t="s">
        <v>2</v>
      </c>
      <c r="E6" s="3">
        <v>75</v>
      </c>
      <c r="F6" s="3">
        <v>70</v>
      </c>
      <c r="G6" s="3" t="s">
        <v>17</v>
      </c>
    </row>
    <row r="7" spans="1:7" x14ac:dyDescent="0.3">
      <c r="A7" s="3" t="s">
        <v>29</v>
      </c>
      <c r="B7" s="3" t="s">
        <v>30</v>
      </c>
      <c r="C7" s="3" t="s">
        <v>3</v>
      </c>
      <c r="D7" s="3" t="s">
        <v>6</v>
      </c>
      <c r="E7" s="3">
        <v>49</v>
      </c>
      <c r="F7" s="3">
        <v>55</v>
      </c>
      <c r="G7" s="3" t="s">
        <v>20</v>
      </c>
    </row>
    <row r="8" spans="1:7" x14ac:dyDescent="0.3">
      <c r="A8" s="3" t="s">
        <v>31</v>
      </c>
      <c r="B8" s="3" t="s">
        <v>32</v>
      </c>
      <c r="C8" s="3" t="s">
        <v>1</v>
      </c>
      <c r="D8" s="3" t="s">
        <v>33</v>
      </c>
      <c r="E8" s="3">
        <v>63</v>
      </c>
      <c r="F8" s="3">
        <v>60</v>
      </c>
      <c r="G8" s="3" t="s">
        <v>17</v>
      </c>
    </row>
    <row r="9" spans="1:7" x14ac:dyDescent="0.3">
      <c r="A9" s="3" t="s">
        <v>34</v>
      </c>
      <c r="B9" s="3" t="s">
        <v>35</v>
      </c>
      <c r="C9" s="3" t="s">
        <v>5</v>
      </c>
      <c r="D9" s="3" t="s">
        <v>23</v>
      </c>
      <c r="E9" s="3">
        <v>52</v>
      </c>
      <c r="F9" s="3">
        <v>50</v>
      </c>
      <c r="G9" s="3" t="s">
        <v>20</v>
      </c>
    </row>
    <row r="10" spans="1:7" x14ac:dyDescent="0.3">
      <c r="A10" s="3" t="s">
        <v>36</v>
      </c>
      <c r="B10" s="3" t="s">
        <v>7</v>
      </c>
      <c r="C10" s="3" t="s">
        <v>12</v>
      </c>
      <c r="D10" s="3" t="s">
        <v>4</v>
      </c>
      <c r="E10" s="3">
        <v>81</v>
      </c>
      <c r="F10" s="3">
        <v>75</v>
      </c>
      <c r="G10" s="3" t="s">
        <v>17</v>
      </c>
    </row>
    <row r="11" spans="1:7" x14ac:dyDescent="0.3">
      <c r="A11" s="3" t="s">
        <v>37</v>
      </c>
      <c r="B11" s="3" t="s">
        <v>38</v>
      </c>
      <c r="C11" s="3" t="s">
        <v>3</v>
      </c>
      <c r="D11" s="3" t="s">
        <v>8</v>
      </c>
      <c r="E11" s="3">
        <v>44</v>
      </c>
      <c r="F11" s="3">
        <v>50</v>
      </c>
      <c r="G11" s="3" t="s">
        <v>26</v>
      </c>
    </row>
    <row r="12" spans="1:7" x14ac:dyDescent="0.3">
      <c r="A12" s="3" t="s">
        <v>39</v>
      </c>
      <c r="B12" s="3" t="s">
        <v>40</v>
      </c>
      <c r="C12" s="3" t="s">
        <v>12</v>
      </c>
      <c r="D12" s="3" t="s">
        <v>2</v>
      </c>
      <c r="E12" s="3">
        <v>58</v>
      </c>
      <c r="F12" s="3">
        <v>55</v>
      </c>
      <c r="G12" s="3" t="s">
        <v>20</v>
      </c>
    </row>
    <row r="13" spans="1:7" x14ac:dyDescent="0.3">
      <c r="A13" s="3" t="s">
        <v>41</v>
      </c>
      <c r="B13" s="3" t="s">
        <v>42</v>
      </c>
      <c r="C13" s="3" t="s">
        <v>5</v>
      </c>
      <c r="D13" s="3" t="s">
        <v>6</v>
      </c>
      <c r="E13" s="3">
        <v>39</v>
      </c>
      <c r="F13" s="3">
        <v>45</v>
      </c>
      <c r="G13" s="3" t="s">
        <v>26</v>
      </c>
    </row>
    <row r="14" spans="1:7" x14ac:dyDescent="0.3">
      <c r="A14" s="3" t="s">
        <v>43</v>
      </c>
      <c r="B14" s="3" t="s">
        <v>44</v>
      </c>
      <c r="C14" s="3" t="s">
        <v>12</v>
      </c>
      <c r="D14" s="3" t="s">
        <v>33</v>
      </c>
      <c r="E14" s="3">
        <v>70</v>
      </c>
      <c r="F14" s="3">
        <v>65</v>
      </c>
      <c r="G14" s="3" t="s">
        <v>17</v>
      </c>
    </row>
    <row r="15" spans="1:7" x14ac:dyDescent="0.3">
      <c r="A15" s="3" t="s">
        <v>45</v>
      </c>
      <c r="B15" s="3" t="s">
        <v>46</v>
      </c>
      <c r="C15" s="3" t="s">
        <v>1</v>
      </c>
      <c r="D15" s="3" t="s">
        <v>2</v>
      </c>
      <c r="E15" s="3">
        <v>46</v>
      </c>
      <c r="F15" s="3">
        <v>50</v>
      </c>
      <c r="G15" s="3" t="s">
        <v>20</v>
      </c>
    </row>
    <row r="16" spans="1:7" x14ac:dyDescent="0.3">
      <c r="A16" s="3" t="s">
        <v>47</v>
      </c>
      <c r="B16" s="3" t="s">
        <v>48</v>
      </c>
      <c r="C16" s="3" t="s">
        <v>3</v>
      </c>
      <c r="D16" s="3" t="s">
        <v>4</v>
      </c>
      <c r="E16" s="3">
        <v>61</v>
      </c>
      <c r="F16" s="3">
        <v>60</v>
      </c>
      <c r="G16" s="3" t="s">
        <v>17</v>
      </c>
    </row>
    <row r="17" spans="1:7" x14ac:dyDescent="0.3">
      <c r="A17" s="3"/>
      <c r="B17" s="3"/>
      <c r="C17" s="3"/>
      <c r="D17" s="3"/>
      <c r="E17" s="3"/>
      <c r="F17" s="3"/>
      <c r="G17" s="3"/>
    </row>
    <row r="18" spans="1:7" x14ac:dyDescent="0.3">
      <c r="A18" s="9" t="s">
        <v>49</v>
      </c>
      <c r="B18" s="9"/>
      <c r="C18" s="9"/>
      <c r="D18" s="9"/>
      <c r="E18" s="9"/>
      <c r="F18" s="9"/>
      <c r="G18" s="9"/>
    </row>
    <row r="19" spans="1:7" x14ac:dyDescent="0.3">
      <c r="A19" s="9"/>
      <c r="B19" s="9"/>
      <c r="C19" s="9"/>
      <c r="D19" s="9"/>
      <c r="E19" s="9"/>
      <c r="F19" s="9"/>
      <c r="G19" s="9"/>
    </row>
    <row r="20" spans="1:7" x14ac:dyDescent="0.3">
      <c r="A20" s="4" t="str" cm="1">
        <f t="array" ref="A20:G25">_xlfn._xlws.FILTER(A2:G16,E2:E16&gt;60,0)</f>
        <v>E103</v>
      </c>
      <c r="B20" s="4" t="str">
        <v>Rahul</v>
      </c>
      <c r="C20" s="4" t="str">
        <v>Sales</v>
      </c>
      <c r="D20" s="4" t="str">
        <v>Kolkata</v>
      </c>
      <c r="E20" s="4">
        <v>67</v>
      </c>
      <c r="F20" s="4">
        <v>60</v>
      </c>
      <c r="G20" s="4" t="str">
        <v>A</v>
      </c>
    </row>
    <row r="21" spans="1:7" x14ac:dyDescent="0.3">
      <c r="A21" s="4" t="str">
        <v>E105</v>
      </c>
      <c r="B21" s="4" t="str">
        <v>Arjun</v>
      </c>
      <c r="C21" s="4" t="str">
        <v>Sales</v>
      </c>
      <c r="D21" s="4" t="str">
        <v>Delhi</v>
      </c>
      <c r="E21" s="4">
        <v>75</v>
      </c>
      <c r="F21" s="4">
        <v>70</v>
      </c>
      <c r="G21" s="4" t="str">
        <v>A</v>
      </c>
    </row>
    <row r="22" spans="1:7" x14ac:dyDescent="0.3">
      <c r="A22" s="4" t="str">
        <v>E107</v>
      </c>
      <c r="B22" s="4" t="str">
        <v>Vikram</v>
      </c>
      <c r="C22" s="4" t="str">
        <v>HR</v>
      </c>
      <c r="D22" s="4" t="str">
        <v>Chennai</v>
      </c>
      <c r="E22" s="4">
        <v>63</v>
      </c>
      <c r="F22" s="4">
        <v>60</v>
      </c>
      <c r="G22" s="4" t="str">
        <v>A</v>
      </c>
    </row>
    <row r="23" spans="1:7" x14ac:dyDescent="0.3">
      <c r="A23" s="4" t="str">
        <v>E109</v>
      </c>
      <c r="B23" s="4" t="str">
        <v>Karan</v>
      </c>
      <c r="C23" s="4" t="str">
        <v>Sales</v>
      </c>
      <c r="D23" s="4" t="str">
        <v>Mumbai</v>
      </c>
      <c r="E23" s="4">
        <v>81</v>
      </c>
      <c r="F23" s="4">
        <v>75</v>
      </c>
      <c r="G23" s="4" t="str">
        <v>A</v>
      </c>
    </row>
    <row r="24" spans="1:7" x14ac:dyDescent="0.3">
      <c r="A24" s="4" t="str">
        <v>E113</v>
      </c>
      <c r="B24" s="4" t="str">
        <v>Deepak</v>
      </c>
      <c r="C24" s="4" t="str">
        <v>Sales</v>
      </c>
      <c r="D24" s="4" t="str">
        <v>Chennai</v>
      </c>
      <c r="E24" s="4">
        <v>70</v>
      </c>
      <c r="F24" s="4">
        <v>65</v>
      </c>
      <c r="G24" s="4" t="str">
        <v>A</v>
      </c>
    </row>
    <row r="25" spans="1:7" x14ac:dyDescent="0.3">
      <c r="A25" s="4" t="str">
        <v>E115</v>
      </c>
      <c r="B25" s="4" t="str">
        <v>Ravi</v>
      </c>
      <c r="C25" s="4" t="str">
        <v>IT</v>
      </c>
      <c r="D25" s="4" t="str">
        <v>Mumbai</v>
      </c>
      <c r="E25" s="4">
        <v>61</v>
      </c>
      <c r="F25" s="4">
        <v>60</v>
      </c>
      <c r="G25" s="4" t="str">
        <v>A</v>
      </c>
    </row>
    <row r="27" spans="1:7" x14ac:dyDescent="0.3">
      <c r="A27" s="9" t="s">
        <v>50</v>
      </c>
      <c r="B27" s="9"/>
      <c r="C27" s="9"/>
      <c r="D27" s="9"/>
      <c r="E27" s="9"/>
      <c r="F27" s="9"/>
      <c r="G27" s="9"/>
    </row>
    <row r="28" spans="1:7" x14ac:dyDescent="0.3">
      <c r="A28" s="9"/>
      <c r="B28" s="9"/>
      <c r="C28" s="9"/>
      <c r="D28" s="9"/>
      <c r="E28" s="9"/>
      <c r="F28" s="9"/>
      <c r="G28" s="9"/>
    </row>
    <row r="29" spans="1:7" x14ac:dyDescent="0.3">
      <c r="A29" s="4" t="str" cm="1">
        <f t="array" ref="A29:G34">_xlfn._xlws.FILTER(A2:G16,C2:C16="Sales","No Dept.")</f>
        <v>E101</v>
      </c>
      <c r="B29" s="4" t="str">
        <v>Amit</v>
      </c>
      <c r="C29" s="4" t="str">
        <v>Sales</v>
      </c>
      <c r="D29" s="4" t="str">
        <v>Delhi</v>
      </c>
      <c r="E29" s="4">
        <v>55</v>
      </c>
      <c r="F29" s="4">
        <v>50</v>
      </c>
      <c r="G29" s="4" t="str">
        <v>A</v>
      </c>
    </row>
    <row r="30" spans="1:7" x14ac:dyDescent="0.3">
      <c r="A30" s="4" t="str">
        <v>E103</v>
      </c>
      <c r="B30" s="4" t="str">
        <v>Rahul</v>
      </c>
      <c r="C30" s="4" t="str">
        <v>Sales</v>
      </c>
      <c r="D30" s="4" t="str">
        <v>Kolkata</v>
      </c>
      <c r="E30" s="4">
        <v>67</v>
      </c>
      <c r="F30" s="4">
        <v>60</v>
      </c>
      <c r="G30" s="4" t="str">
        <v>A</v>
      </c>
    </row>
    <row r="31" spans="1:7" x14ac:dyDescent="0.3">
      <c r="A31" s="4" t="str">
        <v>E105</v>
      </c>
      <c r="B31" s="4" t="str">
        <v>Arjun</v>
      </c>
      <c r="C31" s="4" t="str">
        <v>Sales</v>
      </c>
      <c r="D31" s="4" t="str">
        <v>Delhi</v>
      </c>
      <c r="E31" s="4">
        <v>75</v>
      </c>
      <c r="F31" s="4">
        <v>70</v>
      </c>
      <c r="G31" s="4" t="str">
        <v>A</v>
      </c>
    </row>
    <row r="32" spans="1:7" x14ac:dyDescent="0.3">
      <c r="A32" s="4" t="str">
        <v>E109</v>
      </c>
      <c r="B32" s="4" t="str">
        <v>Karan</v>
      </c>
      <c r="C32" s="4" t="str">
        <v>Sales</v>
      </c>
      <c r="D32" s="4" t="str">
        <v>Mumbai</v>
      </c>
      <c r="E32" s="4">
        <v>81</v>
      </c>
      <c r="F32" s="4">
        <v>75</v>
      </c>
      <c r="G32" s="4" t="str">
        <v>A</v>
      </c>
    </row>
    <row r="33" spans="1:7" x14ac:dyDescent="0.3">
      <c r="A33" s="4" t="str">
        <v>E111</v>
      </c>
      <c r="B33" s="4" t="str">
        <v>Mohit</v>
      </c>
      <c r="C33" s="4" t="str">
        <v>Sales</v>
      </c>
      <c r="D33" s="4" t="str">
        <v>Delhi</v>
      </c>
      <c r="E33" s="4">
        <v>58</v>
      </c>
      <c r="F33" s="4">
        <v>55</v>
      </c>
      <c r="G33" s="4" t="str">
        <v>B</v>
      </c>
    </row>
    <row r="34" spans="1:7" x14ac:dyDescent="0.3">
      <c r="A34" s="4" t="str">
        <v>E113</v>
      </c>
      <c r="B34" s="4" t="str">
        <v>Deepak</v>
      </c>
      <c r="C34" s="4" t="str">
        <v>Sales</v>
      </c>
      <c r="D34" s="4" t="str">
        <v>Chennai</v>
      </c>
      <c r="E34" s="4">
        <v>70</v>
      </c>
      <c r="F34" s="4">
        <v>65</v>
      </c>
      <c r="G34" s="4" t="str">
        <v>A</v>
      </c>
    </row>
    <row r="36" spans="1:7" x14ac:dyDescent="0.3">
      <c r="A36" s="9" t="s">
        <v>51</v>
      </c>
      <c r="B36" s="10"/>
      <c r="C36" s="10"/>
      <c r="D36" s="10"/>
      <c r="E36" s="10"/>
      <c r="F36" s="10"/>
      <c r="G36" s="10"/>
    </row>
    <row r="37" spans="1:7" x14ac:dyDescent="0.3">
      <c r="A37" s="10"/>
      <c r="B37" s="10"/>
      <c r="C37" s="10"/>
      <c r="D37" s="10"/>
      <c r="E37" s="10"/>
      <c r="F37" s="10"/>
      <c r="G37" s="10"/>
    </row>
    <row r="38" spans="1:7" x14ac:dyDescent="0.3">
      <c r="A38" s="4" t="str" cm="1">
        <f t="array" ref="A38:G41">_xlfn._xlws.FILTER(A2:G16,D2:D16="Delhi",NONE)</f>
        <v>E101</v>
      </c>
      <c r="B38" s="4" t="str">
        <v>Amit</v>
      </c>
      <c r="C38" s="4" t="str">
        <v>Sales</v>
      </c>
      <c r="D38" s="4" t="str">
        <v>Delhi</v>
      </c>
      <c r="E38" s="4">
        <v>55</v>
      </c>
      <c r="F38" s="4">
        <v>50</v>
      </c>
      <c r="G38" s="4" t="str">
        <v>A</v>
      </c>
    </row>
    <row r="39" spans="1:7" x14ac:dyDescent="0.3">
      <c r="A39" s="4" t="str">
        <v>E105</v>
      </c>
      <c r="B39" s="4" t="str">
        <v>Arjun</v>
      </c>
      <c r="C39" s="4" t="str">
        <v>Sales</v>
      </c>
      <c r="D39" s="4" t="str">
        <v>Delhi</v>
      </c>
      <c r="E39" s="4">
        <v>75</v>
      </c>
      <c r="F39" s="4">
        <v>70</v>
      </c>
      <c r="G39" s="4" t="str">
        <v>A</v>
      </c>
    </row>
    <row r="40" spans="1:7" x14ac:dyDescent="0.3">
      <c r="A40" s="4" t="str">
        <v>E111</v>
      </c>
      <c r="B40" s="4" t="str">
        <v>Mohit</v>
      </c>
      <c r="C40" s="4" t="str">
        <v>Sales</v>
      </c>
      <c r="D40" s="4" t="str">
        <v>Delhi</v>
      </c>
      <c r="E40" s="4">
        <v>58</v>
      </c>
      <c r="F40" s="4">
        <v>55</v>
      </c>
      <c r="G40" s="4" t="str">
        <v>B</v>
      </c>
    </row>
    <row r="41" spans="1:7" x14ac:dyDescent="0.3">
      <c r="A41" s="4" t="str">
        <v>E114</v>
      </c>
      <c r="B41" s="4" t="str">
        <v>Nisha</v>
      </c>
      <c r="C41" s="4" t="str">
        <v>HR</v>
      </c>
      <c r="D41" s="4" t="str">
        <v>Delhi</v>
      </c>
      <c r="E41" s="4">
        <v>46</v>
      </c>
      <c r="F41" s="4">
        <v>50</v>
      </c>
      <c r="G41" s="4" t="str">
        <v>B</v>
      </c>
    </row>
    <row r="43" spans="1:7" x14ac:dyDescent="0.3">
      <c r="A43" s="11" t="s">
        <v>52</v>
      </c>
      <c r="B43" s="12"/>
      <c r="C43" s="12"/>
      <c r="D43" s="12"/>
      <c r="E43" s="12"/>
      <c r="F43" s="12"/>
      <c r="G43" s="12"/>
    </row>
    <row r="44" spans="1:7" x14ac:dyDescent="0.3">
      <c r="A44" s="12"/>
      <c r="B44" s="12"/>
      <c r="C44" s="12"/>
      <c r="D44" s="12"/>
      <c r="E44" s="12"/>
      <c r="F44" s="12"/>
      <c r="G44" s="12"/>
    </row>
    <row r="45" spans="1:7" x14ac:dyDescent="0.3">
      <c r="A45" s="4" t="str" cm="1">
        <f t="array" ref="A45:G51">_xlfn._xlws.FILTER(A2:G16,G2:G16="A",0)</f>
        <v>E101</v>
      </c>
      <c r="B45" s="4" t="str">
        <v>Amit</v>
      </c>
      <c r="C45" s="4" t="str">
        <v>Sales</v>
      </c>
      <c r="D45" s="4" t="str">
        <v>Delhi</v>
      </c>
      <c r="E45" s="4">
        <v>55</v>
      </c>
      <c r="F45" s="4">
        <v>50</v>
      </c>
      <c r="G45" s="4" t="str">
        <v>A</v>
      </c>
    </row>
    <row r="46" spans="1:7" x14ac:dyDescent="0.3">
      <c r="A46" s="4" t="str">
        <v>E103</v>
      </c>
      <c r="B46" s="4" t="str">
        <v>Rahul</v>
      </c>
      <c r="C46" s="4" t="str">
        <v>Sales</v>
      </c>
      <c r="D46" s="4" t="str">
        <v>Kolkata</v>
      </c>
      <c r="E46" s="4">
        <v>67</v>
      </c>
      <c r="F46" s="4">
        <v>60</v>
      </c>
      <c r="G46" s="4" t="str">
        <v>A</v>
      </c>
    </row>
    <row r="47" spans="1:7" x14ac:dyDescent="0.3">
      <c r="A47" s="4" t="str">
        <v>E105</v>
      </c>
      <c r="B47" s="4" t="str">
        <v>Arjun</v>
      </c>
      <c r="C47" s="4" t="str">
        <v>Sales</v>
      </c>
      <c r="D47" s="4" t="str">
        <v>Delhi</v>
      </c>
      <c r="E47" s="4">
        <v>75</v>
      </c>
      <c r="F47" s="4">
        <v>70</v>
      </c>
      <c r="G47" s="4" t="str">
        <v>A</v>
      </c>
    </row>
    <row r="48" spans="1:7" x14ac:dyDescent="0.3">
      <c r="A48" s="4" t="str">
        <v>E107</v>
      </c>
      <c r="B48" s="4" t="str">
        <v>Vikram</v>
      </c>
      <c r="C48" s="4" t="str">
        <v>HR</v>
      </c>
      <c r="D48" s="4" t="str">
        <v>Chennai</v>
      </c>
      <c r="E48" s="4">
        <v>63</v>
      </c>
      <c r="F48" s="4">
        <v>60</v>
      </c>
      <c r="G48" s="4" t="str">
        <v>A</v>
      </c>
    </row>
    <row r="49" spans="1:7" x14ac:dyDescent="0.3">
      <c r="A49" s="4" t="str">
        <v>E109</v>
      </c>
      <c r="B49" s="4" t="str">
        <v>Karan</v>
      </c>
      <c r="C49" s="4" t="str">
        <v>Sales</v>
      </c>
      <c r="D49" s="4" t="str">
        <v>Mumbai</v>
      </c>
      <c r="E49" s="4">
        <v>81</v>
      </c>
      <c r="F49" s="4">
        <v>75</v>
      </c>
      <c r="G49" s="4" t="str">
        <v>A</v>
      </c>
    </row>
    <row r="50" spans="1:7" x14ac:dyDescent="0.3">
      <c r="A50" s="4" t="str">
        <v>E113</v>
      </c>
      <c r="B50" s="4" t="str">
        <v>Deepak</v>
      </c>
      <c r="C50" s="4" t="str">
        <v>Sales</v>
      </c>
      <c r="D50" s="4" t="str">
        <v>Chennai</v>
      </c>
      <c r="E50" s="4">
        <v>70</v>
      </c>
      <c r="F50" s="4">
        <v>65</v>
      </c>
      <c r="G50" s="4" t="str">
        <v>A</v>
      </c>
    </row>
    <row r="51" spans="1:7" x14ac:dyDescent="0.3">
      <c r="A51" s="4" t="str">
        <v>E115</v>
      </c>
      <c r="B51" s="4" t="str">
        <v>Ravi</v>
      </c>
      <c r="C51" s="4" t="str">
        <v>IT</v>
      </c>
      <c r="D51" s="4" t="str">
        <v>Mumbai</v>
      </c>
      <c r="E51" s="4">
        <v>61</v>
      </c>
      <c r="F51" s="4">
        <v>60</v>
      </c>
      <c r="G51" s="4" t="str">
        <v>A</v>
      </c>
    </row>
    <row r="53" spans="1:7" x14ac:dyDescent="0.3">
      <c r="A53" s="13" t="s">
        <v>53</v>
      </c>
      <c r="B53" s="13"/>
      <c r="C53" s="13"/>
      <c r="D53" s="13"/>
      <c r="E53" s="13"/>
      <c r="F53" s="13"/>
      <c r="G53" s="13"/>
    </row>
    <row r="54" spans="1:7" ht="14.4" customHeight="1" x14ac:dyDescent="0.3">
      <c r="A54" s="14"/>
      <c r="B54" s="14"/>
      <c r="C54" s="14"/>
      <c r="D54" s="14"/>
      <c r="E54" s="14"/>
      <c r="F54" s="14"/>
      <c r="G54" s="14"/>
    </row>
    <row r="55" spans="1:7" x14ac:dyDescent="0.3">
      <c r="A55" s="4" t="str" cm="1">
        <f t="array" ref="A55:G58">_xlfn._xlws.FILTER(A2:G16,(C2:C16="Sales")*(E2:E16&gt;60))</f>
        <v>E103</v>
      </c>
      <c r="B55" s="4" t="str">
        <v>Rahul</v>
      </c>
      <c r="C55" s="4" t="str">
        <v>Sales</v>
      </c>
      <c r="D55" s="4" t="str">
        <v>Kolkata</v>
      </c>
      <c r="E55" s="4">
        <v>67</v>
      </c>
      <c r="F55" s="4">
        <v>60</v>
      </c>
      <c r="G55" s="4" t="str">
        <v>A</v>
      </c>
    </row>
    <row r="56" spans="1:7" x14ac:dyDescent="0.3">
      <c r="A56" s="4" t="str">
        <v>E105</v>
      </c>
      <c r="B56" s="4" t="str">
        <v>Arjun</v>
      </c>
      <c r="C56" s="4" t="str">
        <v>Sales</v>
      </c>
      <c r="D56" s="4" t="str">
        <v>Delhi</v>
      </c>
      <c r="E56" s="4">
        <v>75</v>
      </c>
      <c r="F56" s="4">
        <v>70</v>
      </c>
      <c r="G56" s="4" t="str">
        <v>A</v>
      </c>
    </row>
    <row r="57" spans="1:7" x14ac:dyDescent="0.3">
      <c r="A57" s="4" t="str">
        <v>E109</v>
      </c>
      <c r="B57" s="4" t="str">
        <v>Karan</v>
      </c>
      <c r="C57" s="4" t="str">
        <v>Sales</v>
      </c>
      <c r="D57" s="4" t="str">
        <v>Mumbai</v>
      </c>
      <c r="E57" s="4">
        <v>81</v>
      </c>
      <c r="F57" s="4">
        <v>75</v>
      </c>
      <c r="G57" s="4" t="str">
        <v>A</v>
      </c>
    </row>
    <row r="58" spans="1:7" x14ac:dyDescent="0.3">
      <c r="A58" s="4" t="str">
        <v>E113</v>
      </c>
      <c r="B58" s="4" t="str">
        <v>Deepak</v>
      </c>
      <c r="C58" s="4" t="str">
        <v>Sales</v>
      </c>
      <c r="D58" s="4" t="str">
        <v>Chennai</v>
      </c>
      <c r="E58" s="4">
        <v>70</v>
      </c>
      <c r="F58" s="4">
        <v>65</v>
      </c>
      <c r="G58" s="4" t="str">
        <v>A</v>
      </c>
    </row>
  </sheetData>
  <mergeCells count="5">
    <mergeCell ref="A27:G28"/>
    <mergeCell ref="A36:G37"/>
    <mergeCell ref="A18:G19"/>
    <mergeCell ref="A43:G44"/>
    <mergeCell ref="A53:G54"/>
  </mergeCells>
  <pageMargins left="0.25" right="0.25" top="0.75" bottom="0.75" header="0.3" footer="0.3"/>
  <pageSetup paperSize="9" scale="81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C1CB-F087-4F14-B840-3D9F5BC921ED}">
  <sheetPr>
    <pageSetUpPr fitToPage="1"/>
  </sheetPr>
  <dimension ref="A1:O52"/>
  <sheetViews>
    <sheetView workbookViewId="0">
      <selection activeCell="J8" sqref="J8"/>
    </sheetView>
  </sheetViews>
  <sheetFormatPr defaultRowHeight="14.4" x14ac:dyDescent="0.3"/>
  <cols>
    <col min="1" max="3" width="8.5546875" bestFit="1" customWidth="1"/>
    <col min="4" max="4" width="9.6640625" bestFit="1" customWidth="1"/>
    <col min="5" max="5" width="5.6640625" bestFit="1" customWidth="1"/>
    <col min="6" max="6" width="6.33203125" bestFit="1" customWidth="1"/>
    <col min="7" max="7" width="6.5546875" bestFit="1" customWidth="1"/>
    <col min="9" max="9" width="5" bestFit="1" customWidth="1"/>
    <col min="10" max="10" width="7.33203125" bestFit="1" customWidth="1"/>
    <col min="11" max="11" width="7.77734375" bestFit="1" customWidth="1"/>
    <col min="12" max="12" width="9.6640625" bestFit="1" customWidth="1"/>
    <col min="13" max="14" width="3" bestFit="1" customWidth="1"/>
    <col min="15" max="15" width="2.21875" bestFit="1" customWidth="1"/>
  </cols>
  <sheetData>
    <row r="1" spans="1:7" ht="28.8" x14ac:dyDescent="0.3">
      <c r="A1" s="7" t="s">
        <v>9</v>
      </c>
      <c r="B1" s="7" t="s">
        <v>10</v>
      </c>
      <c r="C1" s="7" t="s">
        <v>0</v>
      </c>
      <c r="D1" s="7" t="s">
        <v>11</v>
      </c>
      <c r="E1" s="7" t="s">
        <v>12</v>
      </c>
      <c r="F1" s="7" t="s">
        <v>13</v>
      </c>
      <c r="G1" s="7" t="s">
        <v>14</v>
      </c>
    </row>
    <row r="2" spans="1:7" x14ac:dyDescent="0.3">
      <c r="A2" s="8" t="s">
        <v>15</v>
      </c>
      <c r="B2" s="8" t="s">
        <v>16</v>
      </c>
      <c r="C2" s="8" t="s">
        <v>12</v>
      </c>
      <c r="D2" s="8" t="s">
        <v>2</v>
      </c>
      <c r="E2" s="8">
        <v>55</v>
      </c>
      <c r="F2" s="8">
        <v>50</v>
      </c>
      <c r="G2" s="8" t="s">
        <v>17</v>
      </c>
    </row>
    <row r="3" spans="1:7" x14ac:dyDescent="0.3">
      <c r="A3" s="8" t="s">
        <v>18</v>
      </c>
      <c r="B3" s="8" t="s">
        <v>19</v>
      </c>
      <c r="C3" s="8" t="s">
        <v>1</v>
      </c>
      <c r="D3" s="8" t="s">
        <v>4</v>
      </c>
      <c r="E3" s="8">
        <v>42</v>
      </c>
      <c r="F3" s="8">
        <v>45</v>
      </c>
      <c r="G3" s="8" t="s">
        <v>20</v>
      </c>
    </row>
    <row r="4" spans="1:7" x14ac:dyDescent="0.3">
      <c r="A4" s="8" t="s">
        <v>21</v>
      </c>
      <c r="B4" s="8" t="s">
        <v>22</v>
      </c>
      <c r="C4" s="8" t="s">
        <v>12</v>
      </c>
      <c r="D4" s="8" t="s">
        <v>23</v>
      </c>
      <c r="E4" s="8">
        <v>67</v>
      </c>
      <c r="F4" s="8">
        <v>60</v>
      </c>
      <c r="G4" s="8" t="s">
        <v>17</v>
      </c>
    </row>
    <row r="5" spans="1:7" x14ac:dyDescent="0.3">
      <c r="A5" s="8" t="s">
        <v>24</v>
      </c>
      <c r="B5" s="8" t="s">
        <v>25</v>
      </c>
      <c r="C5" s="8" t="s">
        <v>5</v>
      </c>
      <c r="D5" s="8" t="s">
        <v>8</v>
      </c>
      <c r="E5" s="8">
        <v>38</v>
      </c>
      <c r="F5" s="8">
        <v>40</v>
      </c>
      <c r="G5" s="8" t="s">
        <v>26</v>
      </c>
    </row>
    <row r="6" spans="1:7" x14ac:dyDescent="0.3">
      <c r="A6" s="8" t="s">
        <v>27</v>
      </c>
      <c r="B6" s="8" t="s">
        <v>28</v>
      </c>
      <c r="C6" s="8" t="s">
        <v>12</v>
      </c>
      <c r="D6" s="8" t="s">
        <v>2</v>
      </c>
      <c r="E6" s="8">
        <v>75</v>
      </c>
      <c r="F6" s="8">
        <v>70</v>
      </c>
      <c r="G6" s="8" t="s">
        <v>17</v>
      </c>
    </row>
    <row r="7" spans="1:7" x14ac:dyDescent="0.3">
      <c r="A7" s="8" t="s">
        <v>29</v>
      </c>
      <c r="B7" s="8" t="s">
        <v>30</v>
      </c>
      <c r="C7" s="8" t="s">
        <v>3</v>
      </c>
      <c r="D7" s="8" t="s">
        <v>6</v>
      </c>
      <c r="E7" s="8">
        <v>49</v>
      </c>
      <c r="F7" s="8">
        <v>55</v>
      </c>
      <c r="G7" s="8" t="s">
        <v>20</v>
      </c>
    </row>
    <row r="8" spans="1:7" x14ac:dyDescent="0.3">
      <c r="A8" s="8" t="s">
        <v>31</v>
      </c>
      <c r="B8" s="8" t="s">
        <v>32</v>
      </c>
      <c r="C8" s="8" t="s">
        <v>1</v>
      </c>
      <c r="D8" s="8" t="s">
        <v>33</v>
      </c>
      <c r="E8" s="8">
        <v>63</v>
      </c>
      <c r="F8" s="8">
        <v>60</v>
      </c>
      <c r="G8" s="8" t="s">
        <v>17</v>
      </c>
    </row>
    <row r="9" spans="1:7" x14ac:dyDescent="0.3">
      <c r="A9" s="8" t="s">
        <v>34</v>
      </c>
      <c r="B9" s="8" t="s">
        <v>35</v>
      </c>
      <c r="C9" s="8" t="s">
        <v>5</v>
      </c>
      <c r="D9" s="8" t="s">
        <v>23</v>
      </c>
      <c r="E9" s="8">
        <v>52</v>
      </c>
      <c r="F9" s="8">
        <v>50</v>
      </c>
      <c r="G9" s="8" t="s">
        <v>20</v>
      </c>
    </row>
    <row r="10" spans="1:7" x14ac:dyDescent="0.3">
      <c r="A10" s="8" t="s">
        <v>36</v>
      </c>
      <c r="B10" s="8" t="s">
        <v>7</v>
      </c>
      <c r="C10" s="8" t="s">
        <v>12</v>
      </c>
      <c r="D10" s="8" t="s">
        <v>4</v>
      </c>
      <c r="E10" s="8">
        <v>81</v>
      </c>
      <c r="F10" s="8">
        <v>75</v>
      </c>
      <c r="G10" s="8" t="s">
        <v>17</v>
      </c>
    </row>
    <row r="11" spans="1:7" x14ac:dyDescent="0.3">
      <c r="A11" s="8" t="s">
        <v>37</v>
      </c>
      <c r="B11" s="8" t="s">
        <v>38</v>
      </c>
      <c r="C11" s="8" t="s">
        <v>3</v>
      </c>
      <c r="D11" s="8" t="s">
        <v>8</v>
      </c>
      <c r="E11" s="8">
        <v>44</v>
      </c>
      <c r="F11" s="8">
        <v>50</v>
      </c>
      <c r="G11" s="8" t="s">
        <v>26</v>
      </c>
    </row>
    <row r="12" spans="1:7" x14ac:dyDescent="0.3">
      <c r="A12" s="8" t="s">
        <v>39</v>
      </c>
      <c r="B12" s="8" t="s">
        <v>40</v>
      </c>
      <c r="C12" s="8" t="s">
        <v>12</v>
      </c>
      <c r="D12" s="8" t="s">
        <v>2</v>
      </c>
      <c r="E12" s="8">
        <v>58</v>
      </c>
      <c r="F12" s="8">
        <v>55</v>
      </c>
      <c r="G12" s="8" t="s">
        <v>20</v>
      </c>
    </row>
    <row r="13" spans="1:7" x14ac:dyDescent="0.3">
      <c r="A13" s="8" t="s">
        <v>41</v>
      </c>
      <c r="B13" s="8" t="s">
        <v>42</v>
      </c>
      <c r="C13" s="8" t="s">
        <v>5</v>
      </c>
      <c r="D13" s="8" t="s">
        <v>6</v>
      </c>
      <c r="E13" s="8">
        <v>39</v>
      </c>
      <c r="F13" s="8">
        <v>45</v>
      </c>
      <c r="G13" s="8" t="s">
        <v>26</v>
      </c>
    </row>
    <row r="14" spans="1:7" x14ac:dyDescent="0.3">
      <c r="A14" s="8" t="s">
        <v>43</v>
      </c>
      <c r="B14" s="8" t="s">
        <v>44</v>
      </c>
      <c r="C14" s="8" t="s">
        <v>12</v>
      </c>
      <c r="D14" s="8" t="s">
        <v>33</v>
      </c>
      <c r="E14" s="8">
        <v>70</v>
      </c>
      <c r="F14" s="8">
        <v>65</v>
      </c>
      <c r="G14" s="8" t="s">
        <v>17</v>
      </c>
    </row>
    <row r="15" spans="1:7" x14ac:dyDescent="0.3">
      <c r="A15" s="8" t="s">
        <v>45</v>
      </c>
      <c r="B15" s="8" t="s">
        <v>46</v>
      </c>
      <c r="C15" s="8" t="s">
        <v>1</v>
      </c>
      <c r="D15" s="8" t="s">
        <v>2</v>
      </c>
      <c r="E15" s="8">
        <v>46</v>
      </c>
      <c r="F15" s="8">
        <v>50</v>
      </c>
      <c r="G15" s="8" t="s">
        <v>20</v>
      </c>
    </row>
    <row r="16" spans="1:7" x14ac:dyDescent="0.3">
      <c r="A16" s="8" t="s">
        <v>47</v>
      </c>
      <c r="B16" s="8" t="s">
        <v>48</v>
      </c>
      <c r="C16" s="8" t="s">
        <v>3</v>
      </c>
      <c r="D16" s="8" t="s">
        <v>4</v>
      </c>
      <c r="E16" s="8">
        <v>61</v>
      </c>
      <c r="F16" s="8">
        <v>60</v>
      </c>
      <c r="G16" s="8" t="s">
        <v>17</v>
      </c>
    </row>
    <row r="18" spans="1:15" x14ac:dyDescent="0.3">
      <c r="A18" s="9" t="s">
        <v>54</v>
      </c>
      <c r="B18" s="10"/>
      <c r="C18" s="10"/>
      <c r="D18" s="10"/>
      <c r="E18" s="10"/>
      <c r="F18" s="10"/>
      <c r="G18" s="10"/>
      <c r="I18" s="9" t="s">
        <v>56</v>
      </c>
      <c r="J18" s="10"/>
      <c r="K18" s="10"/>
      <c r="L18" s="10"/>
      <c r="M18" s="10"/>
      <c r="N18" s="10"/>
      <c r="O18" s="10"/>
    </row>
    <row r="19" spans="1:15" ht="28.2" customHeight="1" x14ac:dyDescent="0.3">
      <c r="A19" s="10"/>
      <c r="B19" s="10"/>
      <c r="C19" s="10"/>
      <c r="D19" s="10"/>
      <c r="E19" s="10"/>
      <c r="F19" s="10"/>
      <c r="G19" s="10"/>
      <c r="I19" s="10"/>
      <c r="J19" s="10"/>
      <c r="K19" s="10"/>
      <c r="L19" s="10"/>
      <c r="M19" s="10"/>
      <c r="N19" s="10"/>
      <c r="O19" s="10"/>
    </row>
    <row r="20" spans="1:15" x14ac:dyDescent="0.3">
      <c r="A20" s="5" t="str" cm="1">
        <f t="array" ref="A20:G34">_xlfn._xlws.SORT(A2:G16,5,1)</f>
        <v>E104</v>
      </c>
      <c r="B20" s="5" t="str">
        <v>Neha</v>
      </c>
      <c r="C20" s="5" t="str">
        <v>Finance</v>
      </c>
      <c r="D20" s="5" t="str">
        <v>Pune</v>
      </c>
      <c r="E20" s="6">
        <v>38</v>
      </c>
      <c r="F20" s="5">
        <v>40</v>
      </c>
      <c r="G20" s="5" t="str">
        <v>C</v>
      </c>
      <c r="I20" s="5" t="str" cm="1">
        <f t="array" ref="I20:O34">_xlfn._xlws.SORT(A2:G16,3,1)</f>
        <v>E104</v>
      </c>
      <c r="J20" s="5" t="str">
        <v>Neha</v>
      </c>
      <c r="K20" s="6" t="str">
        <v>Finance</v>
      </c>
      <c r="L20" s="5" t="str">
        <v>Pune</v>
      </c>
      <c r="M20" s="5">
        <v>38</v>
      </c>
      <c r="N20" s="5">
        <v>40</v>
      </c>
      <c r="O20" s="5" t="str">
        <v>C</v>
      </c>
    </row>
    <row r="21" spans="1:15" x14ac:dyDescent="0.3">
      <c r="A21" s="5" t="str">
        <v>E112</v>
      </c>
      <c r="B21" s="5" t="str">
        <v>Anjali</v>
      </c>
      <c r="C21" s="5" t="str">
        <v>Finance</v>
      </c>
      <c r="D21" s="5" t="str">
        <v>Bangalore</v>
      </c>
      <c r="E21" s="6">
        <v>39</v>
      </c>
      <c r="F21" s="5">
        <v>45</v>
      </c>
      <c r="G21" s="5" t="str">
        <v>C</v>
      </c>
      <c r="I21" s="5" t="str">
        <v>E108</v>
      </c>
      <c r="J21" s="5" t="str">
        <v>Pooja</v>
      </c>
      <c r="K21" s="6" t="str">
        <v>Finance</v>
      </c>
      <c r="L21" s="5" t="str">
        <v>Kolkata</v>
      </c>
      <c r="M21" s="5">
        <v>52</v>
      </c>
      <c r="N21" s="5">
        <v>50</v>
      </c>
      <c r="O21" s="5" t="str">
        <v>B</v>
      </c>
    </row>
    <row r="22" spans="1:15" x14ac:dyDescent="0.3">
      <c r="A22" s="5" t="str">
        <v>E102</v>
      </c>
      <c r="B22" s="5" t="str">
        <v>Priya</v>
      </c>
      <c r="C22" s="5" t="str">
        <v>HR</v>
      </c>
      <c r="D22" s="5" t="str">
        <v>Mumbai</v>
      </c>
      <c r="E22" s="6">
        <v>42</v>
      </c>
      <c r="F22" s="5">
        <v>45</v>
      </c>
      <c r="G22" s="5" t="str">
        <v>B</v>
      </c>
      <c r="I22" s="5" t="str">
        <v>E112</v>
      </c>
      <c r="J22" s="5" t="str">
        <v>Anjali</v>
      </c>
      <c r="K22" s="6" t="str">
        <v>Finance</v>
      </c>
      <c r="L22" s="5" t="str">
        <v>Bangalore</v>
      </c>
      <c r="M22" s="5">
        <v>39</v>
      </c>
      <c r="N22" s="5">
        <v>45</v>
      </c>
      <c r="O22" s="5" t="str">
        <v>C</v>
      </c>
    </row>
    <row r="23" spans="1:15" x14ac:dyDescent="0.3">
      <c r="A23" s="5" t="str">
        <v>E110</v>
      </c>
      <c r="B23" s="5" t="str">
        <v>Riya</v>
      </c>
      <c r="C23" s="5" t="str">
        <v>IT</v>
      </c>
      <c r="D23" s="5" t="str">
        <v>Pune</v>
      </c>
      <c r="E23" s="6">
        <v>44</v>
      </c>
      <c r="F23" s="5">
        <v>50</v>
      </c>
      <c r="G23" s="5" t="str">
        <v>C</v>
      </c>
      <c r="I23" s="5" t="str">
        <v>E102</v>
      </c>
      <c r="J23" s="5" t="str">
        <v>Priya</v>
      </c>
      <c r="K23" s="6" t="str">
        <v>HR</v>
      </c>
      <c r="L23" s="5" t="str">
        <v>Mumbai</v>
      </c>
      <c r="M23" s="5">
        <v>42</v>
      </c>
      <c r="N23" s="5">
        <v>45</v>
      </c>
      <c r="O23" s="5" t="str">
        <v>B</v>
      </c>
    </row>
    <row r="24" spans="1:15" x14ac:dyDescent="0.3">
      <c r="A24" s="5" t="str">
        <v>E114</v>
      </c>
      <c r="B24" s="5" t="str">
        <v>Nisha</v>
      </c>
      <c r="C24" s="5" t="str">
        <v>HR</v>
      </c>
      <c r="D24" s="5" t="str">
        <v>Delhi</v>
      </c>
      <c r="E24" s="6">
        <v>46</v>
      </c>
      <c r="F24" s="5">
        <v>50</v>
      </c>
      <c r="G24" s="5" t="str">
        <v>B</v>
      </c>
      <c r="I24" s="5" t="str">
        <v>E107</v>
      </c>
      <c r="J24" s="5" t="str">
        <v>Vikram</v>
      </c>
      <c r="K24" s="6" t="str">
        <v>HR</v>
      </c>
      <c r="L24" s="5" t="str">
        <v>Chennai</v>
      </c>
      <c r="M24" s="5">
        <v>63</v>
      </c>
      <c r="N24" s="5">
        <v>60</v>
      </c>
      <c r="O24" s="5" t="str">
        <v>A</v>
      </c>
    </row>
    <row r="25" spans="1:15" x14ac:dyDescent="0.3">
      <c r="A25" s="5" t="str">
        <v>E106</v>
      </c>
      <c r="B25" s="5" t="str">
        <v>Sneha</v>
      </c>
      <c r="C25" s="5" t="str">
        <v>IT</v>
      </c>
      <c r="D25" s="5" t="str">
        <v>Bangalore</v>
      </c>
      <c r="E25" s="6">
        <v>49</v>
      </c>
      <c r="F25" s="5">
        <v>55</v>
      </c>
      <c r="G25" s="5" t="str">
        <v>B</v>
      </c>
      <c r="I25" s="5" t="str">
        <v>E114</v>
      </c>
      <c r="J25" s="5" t="str">
        <v>Nisha</v>
      </c>
      <c r="K25" s="6" t="str">
        <v>HR</v>
      </c>
      <c r="L25" s="5" t="str">
        <v>Delhi</v>
      </c>
      <c r="M25" s="5">
        <v>46</v>
      </c>
      <c r="N25" s="5">
        <v>50</v>
      </c>
      <c r="O25" s="5" t="str">
        <v>B</v>
      </c>
    </row>
    <row r="26" spans="1:15" x14ac:dyDescent="0.3">
      <c r="A26" s="5" t="str">
        <v>E108</v>
      </c>
      <c r="B26" s="5" t="str">
        <v>Pooja</v>
      </c>
      <c r="C26" s="5" t="str">
        <v>Finance</v>
      </c>
      <c r="D26" s="5" t="str">
        <v>Kolkata</v>
      </c>
      <c r="E26" s="6">
        <v>52</v>
      </c>
      <c r="F26" s="5">
        <v>50</v>
      </c>
      <c r="G26" s="5" t="str">
        <v>B</v>
      </c>
      <c r="I26" s="5" t="str">
        <v>E106</v>
      </c>
      <c r="J26" s="5" t="str">
        <v>Sneha</v>
      </c>
      <c r="K26" s="6" t="str">
        <v>IT</v>
      </c>
      <c r="L26" s="5" t="str">
        <v>Bangalore</v>
      </c>
      <c r="M26" s="5">
        <v>49</v>
      </c>
      <c r="N26" s="5">
        <v>55</v>
      </c>
      <c r="O26" s="5" t="str">
        <v>B</v>
      </c>
    </row>
    <row r="27" spans="1:15" x14ac:dyDescent="0.3">
      <c r="A27" s="5" t="str">
        <v>E101</v>
      </c>
      <c r="B27" s="5" t="str">
        <v>Amit</v>
      </c>
      <c r="C27" s="5" t="str">
        <v>Sales</v>
      </c>
      <c r="D27" s="5" t="str">
        <v>Delhi</v>
      </c>
      <c r="E27" s="6">
        <v>55</v>
      </c>
      <c r="F27" s="5">
        <v>50</v>
      </c>
      <c r="G27" s="5" t="str">
        <v>A</v>
      </c>
      <c r="I27" s="5" t="str">
        <v>E110</v>
      </c>
      <c r="J27" s="5" t="str">
        <v>Riya</v>
      </c>
      <c r="K27" s="6" t="str">
        <v>IT</v>
      </c>
      <c r="L27" s="5" t="str">
        <v>Pune</v>
      </c>
      <c r="M27" s="5">
        <v>44</v>
      </c>
      <c r="N27" s="5">
        <v>50</v>
      </c>
      <c r="O27" s="5" t="str">
        <v>C</v>
      </c>
    </row>
    <row r="28" spans="1:15" x14ac:dyDescent="0.3">
      <c r="A28" s="5" t="str">
        <v>E111</v>
      </c>
      <c r="B28" s="5" t="str">
        <v>Mohit</v>
      </c>
      <c r="C28" s="5" t="str">
        <v>Sales</v>
      </c>
      <c r="D28" s="5" t="str">
        <v>Delhi</v>
      </c>
      <c r="E28" s="6">
        <v>58</v>
      </c>
      <c r="F28" s="5">
        <v>55</v>
      </c>
      <c r="G28" s="5" t="str">
        <v>B</v>
      </c>
      <c r="I28" s="5" t="str">
        <v>E115</v>
      </c>
      <c r="J28" s="5" t="str">
        <v>Ravi</v>
      </c>
      <c r="K28" s="6" t="str">
        <v>IT</v>
      </c>
      <c r="L28" s="5" t="str">
        <v>Mumbai</v>
      </c>
      <c r="M28" s="5">
        <v>61</v>
      </c>
      <c r="N28" s="5">
        <v>60</v>
      </c>
      <c r="O28" s="5" t="str">
        <v>A</v>
      </c>
    </row>
    <row r="29" spans="1:15" x14ac:dyDescent="0.3">
      <c r="A29" s="5" t="str">
        <v>E115</v>
      </c>
      <c r="B29" s="5" t="str">
        <v>Ravi</v>
      </c>
      <c r="C29" s="5" t="str">
        <v>IT</v>
      </c>
      <c r="D29" s="5" t="str">
        <v>Mumbai</v>
      </c>
      <c r="E29" s="6">
        <v>61</v>
      </c>
      <c r="F29" s="5">
        <v>60</v>
      </c>
      <c r="G29" s="5" t="str">
        <v>A</v>
      </c>
      <c r="I29" s="5" t="str">
        <v>E101</v>
      </c>
      <c r="J29" s="5" t="str">
        <v>Amit</v>
      </c>
      <c r="K29" s="6" t="str">
        <v>Sales</v>
      </c>
      <c r="L29" s="5" t="str">
        <v>Delhi</v>
      </c>
      <c r="M29" s="5">
        <v>55</v>
      </c>
      <c r="N29" s="5">
        <v>50</v>
      </c>
      <c r="O29" s="5" t="str">
        <v>A</v>
      </c>
    </row>
    <row r="30" spans="1:15" x14ac:dyDescent="0.3">
      <c r="A30" s="5" t="str">
        <v>E107</v>
      </c>
      <c r="B30" s="5" t="str">
        <v>Vikram</v>
      </c>
      <c r="C30" s="5" t="str">
        <v>HR</v>
      </c>
      <c r="D30" s="5" t="str">
        <v>Chennai</v>
      </c>
      <c r="E30" s="6">
        <v>63</v>
      </c>
      <c r="F30" s="5">
        <v>60</v>
      </c>
      <c r="G30" s="5" t="str">
        <v>A</v>
      </c>
      <c r="I30" s="5" t="str">
        <v>E103</v>
      </c>
      <c r="J30" s="5" t="str">
        <v>Rahul</v>
      </c>
      <c r="K30" s="6" t="str">
        <v>Sales</v>
      </c>
      <c r="L30" s="5" t="str">
        <v>Kolkata</v>
      </c>
      <c r="M30" s="5">
        <v>67</v>
      </c>
      <c r="N30" s="5">
        <v>60</v>
      </c>
      <c r="O30" s="5" t="str">
        <v>A</v>
      </c>
    </row>
    <row r="31" spans="1:15" x14ac:dyDescent="0.3">
      <c r="A31" s="5" t="str">
        <v>E103</v>
      </c>
      <c r="B31" s="5" t="str">
        <v>Rahul</v>
      </c>
      <c r="C31" s="5" t="str">
        <v>Sales</v>
      </c>
      <c r="D31" s="5" t="str">
        <v>Kolkata</v>
      </c>
      <c r="E31" s="6">
        <v>67</v>
      </c>
      <c r="F31" s="5">
        <v>60</v>
      </c>
      <c r="G31" s="5" t="str">
        <v>A</v>
      </c>
      <c r="I31" s="5" t="str">
        <v>E105</v>
      </c>
      <c r="J31" s="5" t="str">
        <v>Arjun</v>
      </c>
      <c r="K31" s="6" t="str">
        <v>Sales</v>
      </c>
      <c r="L31" s="5" t="str">
        <v>Delhi</v>
      </c>
      <c r="M31" s="5">
        <v>75</v>
      </c>
      <c r="N31" s="5">
        <v>70</v>
      </c>
      <c r="O31" s="5" t="str">
        <v>A</v>
      </c>
    </row>
    <row r="32" spans="1:15" x14ac:dyDescent="0.3">
      <c r="A32" s="5" t="str">
        <v>E113</v>
      </c>
      <c r="B32" s="5" t="str">
        <v>Deepak</v>
      </c>
      <c r="C32" s="5" t="str">
        <v>Sales</v>
      </c>
      <c r="D32" s="5" t="str">
        <v>Chennai</v>
      </c>
      <c r="E32" s="6">
        <v>70</v>
      </c>
      <c r="F32" s="5">
        <v>65</v>
      </c>
      <c r="G32" s="5" t="str">
        <v>A</v>
      </c>
      <c r="I32" s="5" t="str">
        <v>E109</v>
      </c>
      <c r="J32" s="5" t="str">
        <v>Karan</v>
      </c>
      <c r="K32" s="6" t="str">
        <v>Sales</v>
      </c>
      <c r="L32" s="5" t="str">
        <v>Mumbai</v>
      </c>
      <c r="M32" s="5">
        <v>81</v>
      </c>
      <c r="N32" s="5">
        <v>75</v>
      </c>
      <c r="O32" s="5" t="str">
        <v>A</v>
      </c>
    </row>
    <row r="33" spans="1:15" x14ac:dyDescent="0.3">
      <c r="A33" s="5" t="str">
        <v>E105</v>
      </c>
      <c r="B33" s="5" t="str">
        <v>Arjun</v>
      </c>
      <c r="C33" s="5" t="str">
        <v>Sales</v>
      </c>
      <c r="D33" s="5" t="str">
        <v>Delhi</v>
      </c>
      <c r="E33" s="6">
        <v>75</v>
      </c>
      <c r="F33" s="5">
        <v>70</v>
      </c>
      <c r="G33" s="5" t="str">
        <v>A</v>
      </c>
      <c r="I33" s="5" t="str">
        <v>E111</v>
      </c>
      <c r="J33" s="5" t="str">
        <v>Mohit</v>
      </c>
      <c r="K33" s="6" t="str">
        <v>Sales</v>
      </c>
      <c r="L33" s="5" t="str">
        <v>Delhi</v>
      </c>
      <c r="M33" s="5">
        <v>58</v>
      </c>
      <c r="N33" s="5">
        <v>55</v>
      </c>
      <c r="O33" s="5" t="str">
        <v>B</v>
      </c>
    </row>
    <row r="34" spans="1:15" x14ac:dyDescent="0.3">
      <c r="A34" s="5" t="str">
        <v>E109</v>
      </c>
      <c r="B34" s="5" t="str">
        <v>Karan</v>
      </c>
      <c r="C34" s="5" t="str">
        <v>Sales</v>
      </c>
      <c r="D34" s="5" t="str">
        <v>Mumbai</v>
      </c>
      <c r="E34" s="6">
        <v>81</v>
      </c>
      <c r="F34" s="5">
        <v>75</v>
      </c>
      <c r="G34" s="5" t="str">
        <v>A</v>
      </c>
      <c r="I34" s="5" t="str">
        <v>E113</v>
      </c>
      <c r="J34" s="5" t="str">
        <v>Deepak</v>
      </c>
      <c r="K34" s="6" t="str">
        <v>Sales</v>
      </c>
      <c r="L34" s="5" t="str">
        <v>Chennai</v>
      </c>
      <c r="M34" s="5">
        <v>70</v>
      </c>
      <c r="N34" s="5">
        <v>65</v>
      </c>
      <c r="O34" s="5" t="str">
        <v>A</v>
      </c>
    </row>
    <row r="36" spans="1:15" x14ac:dyDescent="0.3">
      <c r="A36" s="9" t="s">
        <v>55</v>
      </c>
      <c r="B36" s="10"/>
      <c r="C36" s="10"/>
      <c r="D36" s="10"/>
      <c r="E36" s="10"/>
      <c r="F36" s="10"/>
      <c r="G36" s="10"/>
      <c r="I36" s="9" t="s">
        <v>57</v>
      </c>
      <c r="J36" s="10"/>
      <c r="K36" s="10"/>
      <c r="L36" s="10"/>
      <c r="M36" s="10"/>
      <c r="N36" s="10"/>
      <c r="O36" s="10"/>
    </row>
    <row r="37" spans="1:15" ht="33" customHeight="1" x14ac:dyDescent="0.3">
      <c r="A37" s="10"/>
      <c r="B37" s="10"/>
      <c r="C37" s="10"/>
      <c r="D37" s="10"/>
      <c r="E37" s="10"/>
      <c r="F37" s="10"/>
      <c r="G37" s="10"/>
      <c r="I37" s="10"/>
      <c r="J37" s="10"/>
      <c r="K37" s="10"/>
      <c r="L37" s="10"/>
      <c r="M37" s="10"/>
      <c r="N37" s="10"/>
      <c r="O37" s="10"/>
    </row>
    <row r="38" spans="1:15" x14ac:dyDescent="0.3">
      <c r="A38" s="5" t="str" cm="1">
        <f t="array" ref="A38:G52">_xlfn._xlws.SORT(A2:G16,2,1)</f>
        <v>E101</v>
      </c>
      <c r="B38" s="6" t="str">
        <v>Amit</v>
      </c>
      <c r="C38" s="5" t="str">
        <v>Sales</v>
      </c>
      <c r="D38" s="5" t="str">
        <v>Delhi</v>
      </c>
      <c r="E38" s="5">
        <v>55</v>
      </c>
      <c r="F38" s="5">
        <v>50</v>
      </c>
      <c r="G38" s="5" t="str">
        <v>A</v>
      </c>
      <c r="I38" s="5" t="str" cm="1">
        <f t="array" ref="I38:O52">_xlfn.SORTBY(A2:G16,D2:D16,1,E2:E16,-1)</f>
        <v>E106</v>
      </c>
      <c r="J38" s="5" t="str">
        <v>Sneha</v>
      </c>
      <c r="K38" s="5" t="str">
        <v>IT</v>
      </c>
      <c r="L38" s="6" t="str">
        <v>Bangalore</v>
      </c>
      <c r="M38" s="6">
        <v>49</v>
      </c>
      <c r="N38" s="5">
        <v>55</v>
      </c>
      <c r="O38" s="5" t="str">
        <v>B</v>
      </c>
    </row>
    <row r="39" spans="1:15" x14ac:dyDescent="0.3">
      <c r="A39" s="5" t="str">
        <v>E112</v>
      </c>
      <c r="B39" s="6" t="str">
        <v>Anjali</v>
      </c>
      <c r="C39" s="5" t="str">
        <v>Finance</v>
      </c>
      <c r="D39" s="5" t="str">
        <v>Bangalore</v>
      </c>
      <c r="E39" s="5">
        <v>39</v>
      </c>
      <c r="F39" s="5">
        <v>45</v>
      </c>
      <c r="G39" s="5" t="str">
        <v>C</v>
      </c>
      <c r="I39" s="5" t="str">
        <v>E112</v>
      </c>
      <c r="J39" s="5" t="str">
        <v>Anjali</v>
      </c>
      <c r="K39" s="5" t="str">
        <v>Finance</v>
      </c>
      <c r="L39" s="6" t="str">
        <v>Bangalore</v>
      </c>
      <c r="M39" s="6">
        <v>39</v>
      </c>
      <c r="N39" s="5">
        <v>45</v>
      </c>
      <c r="O39" s="5" t="str">
        <v>C</v>
      </c>
    </row>
    <row r="40" spans="1:15" x14ac:dyDescent="0.3">
      <c r="A40" s="5" t="str">
        <v>E105</v>
      </c>
      <c r="B40" s="6" t="str">
        <v>Arjun</v>
      </c>
      <c r="C40" s="5" t="str">
        <v>Sales</v>
      </c>
      <c r="D40" s="5" t="str">
        <v>Delhi</v>
      </c>
      <c r="E40" s="5">
        <v>75</v>
      </c>
      <c r="F40" s="5">
        <v>70</v>
      </c>
      <c r="G40" s="5" t="str">
        <v>A</v>
      </c>
      <c r="I40" s="5" t="str">
        <v>E113</v>
      </c>
      <c r="J40" s="5" t="str">
        <v>Deepak</v>
      </c>
      <c r="K40" s="5" t="str">
        <v>Sales</v>
      </c>
      <c r="L40" s="6" t="str">
        <v>Chennai</v>
      </c>
      <c r="M40" s="6">
        <v>70</v>
      </c>
      <c r="N40" s="5">
        <v>65</v>
      </c>
      <c r="O40" s="5" t="str">
        <v>A</v>
      </c>
    </row>
    <row r="41" spans="1:15" x14ac:dyDescent="0.3">
      <c r="A41" s="5" t="str">
        <v>E113</v>
      </c>
      <c r="B41" s="6" t="str">
        <v>Deepak</v>
      </c>
      <c r="C41" s="5" t="str">
        <v>Sales</v>
      </c>
      <c r="D41" s="5" t="str">
        <v>Chennai</v>
      </c>
      <c r="E41" s="5">
        <v>70</v>
      </c>
      <c r="F41" s="5">
        <v>65</v>
      </c>
      <c r="G41" s="5" t="str">
        <v>A</v>
      </c>
      <c r="I41" s="5" t="str">
        <v>E107</v>
      </c>
      <c r="J41" s="5" t="str">
        <v>Vikram</v>
      </c>
      <c r="K41" s="5" t="str">
        <v>HR</v>
      </c>
      <c r="L41" s="6" t="str">
        <v>Chennai</v>
      </c>
      <c r="M41" s="6">
        <v>63</v>
      </c>
      <c r="N41" s="5">
        <v>60</v>
      </c>
      <c r="O41" s="5" t="str">
        <v>A</v>
      </c>
    </row>
    <row r="42" spans="1:15" x14ac:dyDescent="0.3">
      <c r="A42" s="5" t="str">
        <v>E109</v>
      </c>
      <c r="B42" s="6" t="str">
        <v>Karan</v>
      </c>
      <c r="C42" s="5" t="str">
        <v>Sales</v>
      </c>
      <c r="D42" s="5" t="str">
        <v>Mumbai</v>
      </c>
      <c r="E42" s="5">
        <v>81</v>
      </c>
      <c r="F42" s="5">
        <v>75</v>
      </c>
      <c r="G42" s="5" t="str">
        <v>A</v>
      </c>
      <c r="I42" s="5" t="str">
        <v>E105</v>
      </c>
      <c r="J42" s="5" t="str">
        <v>Arjun</v>
      </c>
      <c r="K42" s="5" t="str">
        <v>Sales</v>
      </c>
      <c r="L42" s="6" t="str">
        <v>Delhi</v>
      </c>
      <c r="M42" s="6">
        <v>75</v>
      </c>
      <c r="N42" s="5">
        <v>70</v>
      </c>
      <c r="O42" s="5" t="str">
        <v>A</v>
      </c>
    </row>
    <row r="43" spans="1:15" x14ac:dyDescent="0.3">
      <c r="A43" s="5" t="str">
        <v>E111</v>
      </c>
      <c r="B43" s="6" t="str">
        <v>Mohit</v>
      </c>
      <c r="C43" s="5" t="str">
        <v>Sales</v>
      </c>
      <c r="D43" s="5" t="str">
        <v>Delhi</v>
      </c>
      <c r="E43" s="5">
        <v>58</v>
      </c>
      <c r="F43" s="5">
        <v>55</v>
      </c>
      <c r="G43" s="5" t="str">
        <v>B</v>
      </c>
      <c r="I43" s="5" t="str">
        <v>E111</v>
      </c>
      <c r="J43" s="5" t="str">
        <v>Mohit</v>
      </c>
      <c r="K43" s="5" t="str">
        <v>Sales</v>
      </c>
      <c r="L43" s="6" t="str">
        <v>Delhi</v>
      </c>
      <c r="M43" s="6">
        <v>58</v>
      </c>
      <c r="N43" s="5">
        <v>55</v>
      </c>
      <c r="O43" s="5" t="str">
        <v>B</v>
      </c>
    </row>
    <row r="44" spans="1:15" x14ac:dyDescent="0.3">
      <c r="A44" s="5" t="str">
        <v>E104</v>
      </c>
      <c r="B44" s="6" t="str">
        <v>Neha</v>
      </c>
      <c r="C44" s="5" t="str">
        <v>Finance</v>
      </c>
      <c r="D44" s="5" t="str">
        <v>Pune</v>
      </c>
      <c r="E44" s="5">
        <v>38</v>
      </c>
      <c r="F44" s="5">
        <v>40</v>
      </c>
      <c r="G44" s="5" t="str">
        <v>C</v>
      </c>
      <c r="I44" s="5" t="str">
        <v>E101</v>
      </c>
      <c r="J44" s="5" t="str">
        <v>Amit</v>
      </c>
      <c r="K44" s="5" t="str">
        <v>Sales</v>
      </c>
      <c r="L44" s="6" t="str">
        <v>Delhi</v>
      </c>
      <c r="M44" s="6">
        <v>55</v>
      </c>
      <c r="N44" s="5">
        <v>50</v>
      </c>
      <c r="O44" s="5" t="str">
        <v>A</v>
      </c>
    </row>
    <row r="45" spans="1:15" x14ac:dyDescent="0.3">
      <c r="A45" s="5" t="str">
        <v>E114</v>
      </c>
      <c r="B45" s="6" t="str">
        <v>Nisha</v>
      </c>
      <c r="C45" s="5" t="str">
        <v>HR</v>
      </c>
      <c r="D45" s="5" t="str">
        <v>Delhi</v>
      </c>
      <c r="E45" s="5">
        <v>46</v>
      </c>
      <c r="F45" s="5">
        <v>50</v>
      </c>
      <c r="G45" s="5" t="str">
        <v>B</v>
      </c>
      <c r="I45" s="5" t="str">
        <v>E114</v>
      </c>
      <c r="J45" s="5" t="str">
        <v>Nisha</v>
      </c>
      <c r="K45" s="5" t="str">
        <v>HR</v>
      </c>
      <c r="L45" s="6" t="str">
        <v>Delhi</v>
      </c>
      <c r="M45" s="6">
        <v>46</v>
      </c>
      <c r="N45" s="5">
        <v>50</v>
      </c>
      <c r="O45" s="5" t="str">
        <v>B</v>
      </c>
    </row>
    <row r="46" spans="1:15" x14ac:dyDescent="0.3">
      <c r="A46" s="5" t="str">
        <v>E108</v>
      </c>
      <c r="B46" s="6" t="str">
        <v>Pooja</v>
      </c>
      <c r="C46" s="5" t="str">
        <v>Finance</v>
      </c>
      <c r="D46" s="5" t="str">
        <v>Kolkata</v>
      </c>
      <c r="E46" s="5">
        <v>52</v>
      </c>
      <c r="F46" s="5">
        <v>50</v>
      </c>
      <c r="G46" s="5" t="str">
        <v>B</v>
      </c>
      <c r="I46" s="5" t="str">
        <v>E103</v>
      </c>
      <c r="J46" s="5" t="str">
        <v>Rahul</v>
      </c>
      <c r="K46" s="5" t="str">
        <v>Sales</v>
      </c>
      <c r="L46" s="6" t="str">
        <v>Kolkata</v>
      </c>
      <c r="M46" s="6">
        <v>67</v>
      </c>
      <c r="N46" s="5">
        <v>60</v>
      </c>
      <c r="O46" s="5" t="str">
        <v>A</v>
      </c>
    </row>
    <row r="47" spans="1:15" x14ac:dyDescent="0.3">
      <c r="A47" s="5" t="str">
        <v>E102</v>
      </c>
      <c r="B47" s="6" t="str">
        <v>Priya</v>
      </c>
      <c r="C47" s="5" t="str">
        <v>HR</v>
      </c>
      <c r="D47" s="5" t="str">
        <v>Mumbai</v>
      </c>
      <c r="E47" s="5">
        <v>42</v>
      </c>
      <c r="F47" s="5">
        <v>45</v>
      </c>
      <c r="G47" s="5" t="str">
        <v>B</v>
      </c>
      <c r="I47" s="5" t="str">
        <v>E108</v>
      </c>
      <c r="J47" s="5" t="str">
        <v>Pooja</v>
      </c>
      <c r="K47" s="5" t="str">
        <v>Finance</v>
      </c>
      <c r="L47" s="6" t="str">
        <v>Kolkata</v>
      </c>
      <c r="M47" s="6">
        <v>52</v>
      </c>
      <c r="N47" s="5">
        <v>50</v>
      </c>
      <c r="O47" s="5" t="str">
        <v>B</v>
      </c>
    </row>
    <row r="48" spans="1:15" x14ac:dyDescent="0.3">
      <c r="A48" s="5" t="str">
        <v>E103</v>
      </c>
      <c r="B48" s="6" t="str">
        <v>Rahul</v>
      </c>
      <c r="C48" s="5" t="str">
        <v>Sales</v>
      </c>
      <c r="D48" s="5" t="str">
        <v>Kolkata</v>
      </c>
      <c r="E48" s="5">
        <v>67</v>
      </c>
      <c r="F48" s="5">
        <v>60</v>
      </c>
      <c r="G48" s="5" t="str">
        <v>A</v>
      </c>
      <c r="I48" s="5" t="str">
        <v>E109</v>
      </c>
      <c r="J48" s="5" t="str">
        <v>Karan</v>
      </c>
      <c r="K48" s="5" t="str">
        <v>Sales</v>
      </c>
      <c r="L48" s="6" t="str">
        <v>Mumbai</v>
      </c>
      <c r="M48" s="6">
        <v>81</v>
      </c>
      <c r="N48" s="5">
        <v>75</v>
      </c>
      <c r="O48" s="5" t="str">
        <v>A</v>
      </c>
    </row>
    <row r="49" spans="1:15" x14ac:dyDescent="0.3">
      <c r="A49" s="5" t="str">
        <v>E115</v>
      </c>
      <c r="B49" s="6" t="str">
        <v>Ravi</v>
      </c>
      <c r="C49" s="5" t="str">
        <v>IT</v>
      </c>
      <c r="D49" s="5" t="str">
        <v>Mumbai</v>
      </c>
      <c r="E49" s="5">
        <v>61</v>
      </c>
      <c r="F49" s="5">
        <v>60</v>
      </c>
      <c r="G49" s="5" t="str">
        <v>A</v>
      </c>
      <c r="I49" s="5" t="str">
        <v>E115</v>
      </c>
      <c r="J49" s="5" t="str">
        <v>Ravi</v>
      </c>
      <c r="K49" s="5" t="str">
        <v>IT</v>
      </c>
      <c r="L49" s="6" t="str">
        <v>Mumbai</v>
      </c>
      <c r="M49" s="6">
        <v>61</v>
      </c>
      <c r="N49" s="5">
        <v>60</v>
      </c>
      <c r="O49" s="5" t="str">
        <v>A</v>
      </c>
    </row>
    <row r="50" spans="1:15" x14ac:dyDescent="0.3">
      <c r="A50" s="5" t="str">
        <v>E110</v>
      </c>
      <c r="B50" s="6" t="str">
        <v>Riya</v>
      </c>
      <c r="C50" s="5" t="str">
        <v>IT</v>
      </c>
      <c r="D50" s="5" t="str">
        <v>Pune</v>
      </c>
      <c r="E50" s="5">
        <v>44</v>
      </c>
      <c r="F50" s="5">
        <v>50</v>
      </c>
      <c r="G50" s="5" t="str">
        <v>C</v>
      </c>
      <c r="I50" s="5" t="str">
        <v>E102</v>
      </c>
      <c r="J50" s="5" t="str">
        <v>Priya</v>
      </c>
      <c r="K50" s="5" t="str">
        <v>HR</v>
      </c>
      <c r="L50" s="6" t="str">
        <v>Mumbai</v>
      </c>
      <c r="M50" s="6">
        <v>42</v>
      </c>
      <c r="N50" s="5">
        <v>45</v>
      </c>
      <c r="O50" s="5" t="str">
        <v>B</v>
      </c>
    </row>
    <row r="51" spans="1:15" x14ac:dyDescent="0.3">
      <c r="A51" s="5" t="str">
        <v>E106</v>
      </c>
      <c r="B51" s="6" t="str">
        <v>Sneha</v>
      </c>
      <c r="C51" s="5" t="str">
        <v>IT</v>
      </c>
      <c r="D51" s="5" t="str">
        <v>Bangalore</v>
      </c>
      <c r="E51" s="5">
        <v>49</v>
      </c>
      <c r="F51" s="5">
        <v>55</v>
      </c>
      <c r="G51" s="5" t="str">
        <v>B</v>
      </c>
      <c r="I51" s="5" t="str">
        <v>E110</v>
      </c>
      <c r="J51" s="5" t="str">
        <v>Riya</v>
      </c>
      <c r="K51" s="5" t="str">
        <v>IT</v>
      </c>
      <c r="L51" s="6" t="str">
        <v>Pune</v>
      </c>
      <c r="M51" s="6">
        <v>44</v>
      </c>
      <c r="N51" s="5">
        <v>50</v>
      </c>
      <c r="O51" s="5" t="str">
        <v>C</v>
      </c>
    </row>
    <row r="52" spans="1:15" x14ac:dyDescent="0.3">
      <c r="A52" s="5" t="str">
        <v>E107</v>
      </c>
      <c r="B52" s="6" t="str">
        <v>Vikram</v>
      </c>
      <c r="C52" s="5" t="str">
        <v>HR</v>
      </c>
      <c r="D52" s="5" t="str">
        <v>Chennai</v>
      </c>
      <c r="E52" s="5">
        <v>63</v>
      </c>
      <c r="F52" s="5">
        <v>60</v>
      </c>
      <c r="G52" s="5" t="str">
        <v>A</v>
      </c>
      <c r="I52" s="5" t="str">
        <v>E104</v>
      </c>
      <c r="J52" s="5" t="str">
        <v>Neha</v>
      </c>
      <c r="K52" s="5" t="str">
        <v>Finance</v>
      </c>
      <c r="L52" s="6" t="str">
        <v>Pune</v>
      </c>
      <c r="M52" s="6">
        <v>38</v>
      </c>
      <c r="N52" s="5">
        <v>40</v>
      </c>
      <c r="O52" s="5" t="str">
        <v>C</v>
      </c>
    </row>
  </sheetData>
  <mergeCells count="4">
    <mergeCell ref="A18:G19"/>
    <mergeCell ref="A36:G37"/>
    <mergeCell ref="I18:O19"/>
    <mergeCell ref="I36:O37"/>
  </mergeCells>
  <pageMargins left="0.25" right="0.25" top="0.75" bottom="0.75" header="0.3" footer="0.3"/>
  <pageSetup paperSize="9" scale="8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AE83-BA22-4963-AE56-E028C8348154}">
  <dimension ref="A1:L24"/>
  <sheetViews>
    <sheetView zoomScale="130" zoomScaleNormal="130" workbookViewId="0">
      <selection activeCell="K10" sqref="K10"/>
    </sheetView>
  </sheetViews>
  <sheetFormatPr defaultRowHeight="14.4" x14ac:dyDescent="0.3"/>
  <cols>
    <col min="1" max="1" width="11.5546875" bestFit="1" customWidth="1"/>
    <col min="2" max="2" width="14.6640625" bestFit="1" customWidth="1"/>
    <col min="3" max="3" width="11" bestFit="1" customWidth="1"/>
    <col min="4" max="4" width="9.33203125" bestFit="1" customWidth="1"/>
    <col min="5" max="5" width="5.5546875" bestFit="1" customWidth="1"/>
    <col min="6" max="6" width="6.21875" bestFit="1" customWidth="1"/>
    <col min="7" max="7" width="6.33203125" bestFit="1" customWidth="1"/>
  </cols>
  <sheetData>
    <row r="1" spans="1:12" x14ac:dyDescent="0.3">
      <c r="A1" s="16" t="s">
        <v>9</v>
      </c>
      <c r="B1" s="17" t="s">
        <v>10</v>
      </c>
      <c r="C1" s="17" t="s">
        <v>0</v>
      </c>
      <c r="D1" s="17" t="s">
        <v>11</v>
      </c>
      <c r="E1" s="17" t="s">
        <v>12</v>
      </c>
      <c r="F1" s="17" t="s">
        <v>13</v>
      </c>
      <c r="G1" s="23" t="s">
        <v>14</v>
      </c>
      <c r="H1" s="28" t="s">
        <v>58</v>
      </c>
      <c r="I1" s="29" t="s">
        <v>59</v>
      </c>
      <c r="J1" s="29" t="s">
        <v>60</v>
      </c>
      <c r="K1" s="29" t="s">
        <v>61</v>
      </c>
      <c r="L1" s="30" t="s">
        <v>62</v>
      </c>
    </row>
    <row r="2" spans="1:12" x14ac:dyDescent="0.3">
      <c r="A2" s="18" t="s">
        <v>15</v>
      </c>
      <c r="B2" s="15" t="s">
        <v>16</v>
      </c>
      <c r="C2" s="15" t="s">
        <v>12</v>
      </c>
      <c r="D2" s="15" t="s">
        <v>2</v>
      </c>
      <c r="E2" s="15">
        <v>55</v>
      </c>
      <c r="F2" s="15">
        <v>50</v>
      </c>
      <c r="G2" s="24" t="s">
        <v>17</v>
      </c>
      <c r="H2" s="31" t="str" cm="1">
        <f t="array" ref="H2:H5">_xlfn.UNIQUE(C2:C16)</f>
        <v>Sales</v>
      </c>
      <c r="I2" s="4" t="str" cm="1">
        <f t="array" ref="I2:I7">_xlfn.UNIQUE(D2:D16)</f>
        <v>Delhi</v>
      </c>
      <c r="J2" s="4" t="str" cm="1">
        <f t="array" ref="J2:J4">_xlfn.UNIQUE(G2:G16)</f>
        <v>A</v>
      </c>
      <c r="K2" s="4">
        <f>ROWS(_xlfn.UNIQUE(C2:C16))</f>
        <v>4</v>
      </c>
      <c r="L2" s="32">
        <f>ROWS(_xlfn.UNIQUE(D2:D16))</f>
        <v>6</v>
      </c>
    </row>
    <row r="3" spans="1:12" x14ac:dyDescent="0.3">
      <c r="A3" s="18" t="s">
        <v>18</v>
      </c>
      <c r="B3" s="15" t="s">
        <v>19</v>
      </c>
      <c r="C3" s="15" t="s">
        <v>1</v>
      </c>
      <c r="D3" s="15" t="s">
        <v>4</v>
      </c>
      <c r="E3" s="15">
        <v>42</v>
      </c>
      <c r="F3" s="15">
        <v>45</v>
      </c>
      <c r="G3" s="24" t="s">
        <v>20</v>
      </c>
      <c r="H3" s="31" t="str">
        <v>HR</v>
      </c>
      <c r="I3" s="4" t="str">
        <v>Mumbai</v>
      </c>
      <c r="J3" s="4" t="str">
        <v>B</v>
      </c>
      <c r="K3" s="4"/>
      <c r="L3" s="32"/>
    </row>
    <row r="4" spans="1:12" x14ac:dyDescent="0.3">
      <c r="A4" s="18" t="s">
        <v>21</v>
      </c>
      <c r="B4" s="15" t="s">
        <v>22</v>
      </c>
      <c r="C4" s="15" t="s">
        <v>12</v>
      </c>
      <c r="D4" s="15" t="s">
        <v>23</v>
      </c>
      <c r="E4" s="15">
        <v>67</v>
      </c>
      <c r="F4" s="15">
        <v>60</v>
      </c>
      <c r="G4" s="24" t="s">
        <v>17</v>
      </c>
      <c r="H4" s="31" t="str">
        <v>Finance</v>
      </c>
      <c r="I4" s="4" t="str">
        <v>Kolkata</v>
      </c>
      <c r="J4" s="4" t="str">
        <v>C</v>
      </c>
      <c r="K4" s="4"/>
      <c r="L4" s="32"/>
    </row>
    <row r="5" spans="1:12" x14ac:dyDescent="0.3">
      <c r="A5" s="18" t="s">
        <v>24</v>
      </c>
      <c r="B5" s="15" t="s">
        <v>25</v>
      </c>
      <c r="C5" s="15" t="s">
        <v>5</v>
      </c>
      <c r="D5" s="15" t="s">
        <v>8</v>
      </c>
      <c r="E5" s="15">
        <v>38</v>
      </c>
      <c r="F5" s="15">
        <v>40</v>
      </c>
      <c r="G5" s="24" t="s">
        <v>26</v>
      </c>
      <c r="H5" s="31" t="str">
        <v>IT</v>
      </c>
      <c r="I5" s="4" t="str">
        <v>Pune</v>
      </c>
      <c r="J5" s="4"/>
      <c r="K5" s="4"/>
      <c r="L5" s="32"/>
    </row>
    <row r="6" spans="1:12" x14ac:dyDescent="0.3">
      <c r="A6" s="18" t="s">
        <v>27</v>
      </c>
      <c r="B6" s="15" t="s">
        <v>28</v>
      </c>
      <c r="C6" s="15" t="s">
        <v>12</v>
      </c>
      <c r="D6" s="15" t="s">
        <v>2</v>
      </c>
      <c r="E6" s="15">
        <v>75</v>
      </c>
      <c r="F6" s="15">
        <v>70</v>
      </c>
      <c r="G6" s="24" t="s">
        <v>17</v>
      </c>
      <c r="H6" s="31"/>
      <c r="I6" s="4" t="str">
        <v>Bangalore</v>
      </c>
      <c r="J6" s="4"/>
      <c r="K6" s="4"/>
      <c r="L6" s="32"/>
    </row>
    <row r="7" spans="1:12" ht="15" thickBot="1" x14ac:dyDescent="0.35">
      <c r="A7" s="18" t="s">
        <v>29</v>
      </c>
      <c r="B7" s="15" t="s">
        <v>30</v>
      </c>
      <c r="C7" s="15" t="s">
        <v>3</v>
      </c>
      <c r="D7" s="15" t="s">
        <v>6</v>
      </c>
      <c r="E7" s="15">
        <v>49</v>
      </c>
      <c r="F7" s="15">
        <v>55</v>
      </c>
      <c r="G7" s="24" t="s">
        <v>20</v>
      </c>
      <c r="H7" s="33"/>
      <c r="I7" s="34" t="str">
        <v>Chennai</v>
      </c>
      <c r="J7" s="34"/>
      <c r="K7" s="34"/>
      <c r="L7" s="35"/>
    </row>
    <row r="8" spans="1:12" x14ac:dyDescent="0.3">
      <c r="A8" s="18" t="s">
        <v>31</v>
      </c>
      <c r="B8" s="15" t="s">
        <v>32</v>
      </c>
      <c r="C8" s="15" t="s">
        <v>1</v>
      </c>
      <c r="D8" s="15" t="s">
        <v>33</v>
      </c>
      <c r="E8" s="15">
        <v>63</v>
      </c>
      <c r="F8" s="15">
        <v>60</v>
      </c>
      <c r="G8" s="19" t="s">
        <v>17</v>
      </c>
    </row>
    <row r="9" spans="1:12" x14ac:dyDescent="0.3">
      <c r="A9" s="18" t="s">
        <v>34</v>
      </c>
      <c r="B9" s="15" t="s">
        <v>35</v>
      </c>
      <c r="C9" s="15" t="s">
        <v>5</v>
      </c>
      <c r="D9" s="15" t="s">
        <v>23</v>
      </c>
      <c r="E9" s="15">
        <v>52</v>
      </c>
      <c r="F9" s="15">
        <v>50</v>
      </c>
      <c r="G9" s="19" t="s">
        <v>20</v>
      </c>
    </row>
    <row r="10" spans="1:12" x14ac:dyDescent="0.3">
      <c r="A10" s="18" t="s">
        <v>36</v>
      </c>
      <c r="B10" s="15" t="s">
        <v>7</v>
      </c>
      <c r="C10" s="15" t="s">
        <v>12</v>
      </c>
      <c r="D10" s="15" t="s">
        <v>4</v>
      </c>
      <c r="E10" s="15">
        <v>81</v>
      </c>
      <c r="F10" s="15">
        <v>75</v>
      </c>
      <c r="G10" s="19" t="s">
        <v>17</v>
      </c>
    </row>
    <row r="11" spans="1:12" x14ac:dyDescent="0.3">
      <c r="A11" s="18" t="s">
        <v>37</v>
      </c>
      <c r="B11" s="15" t="s">
        <v>38</v>
      </c>
      <c r="C11" s="15" t="s">
        <v>3</v>
      </c>
      <c r="D11" s="15" t="s">
        <v>8</v>
      </c>
      <c r="E11" s="15">
        <v>44</v>
      </c>
      <c r="F11" s="15">
        <v>50</v>
      </c>
      <c r="G11" s="19" t="s">
        <v>26</v>
      </c>
    </row>
    <row r="12" spans="1:12" x14ac:dyDescent="0.3">
      <c r="A12" s="18" t="s">
        <v>39</v>
      </c>
      <c r="B12" s="15" t="s">
        <v>40</v>
      </c>
      <c r="C12" s="15" t="s">
        <v>12</v>
      </c>
      <c r="D12" s="15" t="s">
        <v>2</v>
      </c>
      <c r="E12" s="15">
        <v>58</v>
      </c>
      <c r="F12" s="15">
        <v>55</v>
      </c>
      <c r="G12" s="19" t="s">
        <v>20</v>
      </c>
    </row>
    <row r="13" spans="1:12" x14ac:dyDescent="0.3">
      <c r="A13" s="18" t="s">
        <v>41</v>
      </c>
      <c r="B13" s="15" t="s">
        <v>42</v>
      </c>
      <c r="C13" s="15" t="s">
        <v>5</v>
      </c>
      <c r="D13" s="15" t="s">
        <v>6</v>
      </c>
      <c r="E13" s="15">
        <v>39</v>
      </c>
      <c r="F13" s="15">
        <v>45</v>
      </c>
      <c r="G13" s="19" t="s">
        <v>26</v>
      </c>
    </row>
    <row r="14" spans="1:12" x14ac:dyDescent="0.3">
      <c r="A14" s="18" t="s">
        <v>43</v>
      </c>
      <c r="B14" s="15" t="s">
        <v>44</v>
      </c>
      <c r="C14" s="15" t="s">
        <v>12</v>
      </c>
      <c r="D14" s="15" t="s">
        <v>33</v>
      </c>
      <c r="E14" s="15">
        <v>70</v>
      </c>
      <c r="F14" s="15">
        <v>65</v>
      </c>
      <c r="G14" s="19" t="s">
        <v>17</v>
      </c>
    </row>
    <row r="15" spans="1:12" x14ac:dyDescent="0.3">
      <c r="A15" s="18" t="s">
        <v>45</v>
      </c>
      <c r="B15" s="15" t="s">
        <v>46</v>
      </c>
      <c r="C15" s="15" t="s">
        <v>1</v>
      </c>
      <c r="D15" s="15" t="s">
        <v>2</v>
      </c>
      <c r="E15" s="15">
        <v>46</v>
      </c>
      <c r="F15" s="15">
        <v>50</v>
      </c>
      <c r="G15" s="19" t="s">
        <v>20</v>
      </c>
    </row>
    <row r="16" spans="1:12" ht="15" thickBot="1" x14ac:dyDescent="0.35">
      <c r="A16" s="20" t="s">
        <v>47</v>
      </c>
      <c r="B16" s="21" t="s">
        <v>48</v>
      </c>
      <c r="C16" s="21" t="s">
        <v>3</v>
      </c>
      <c r="D16" s="21" t="s">
        <v>4</v>
      </c>
      <c r="E16" s="21">
        <v>61</v>
      </c>
      <c r="F16" s="21">
        <v>60</v>
      </c>
      <c r="G16" s="22" t="s">
        <v>17</v>
      </c>
    </row>
    <row r="20" spans="2:8" x14ac:dyDescent="0.3">
      <c r="B20" s="26" t="s">
        <v>58</v>
      </c>
      <c r="C20" s="27" t="s">
        <v>64</v>
      </c>
      <c r="D20" s="27"/>
      <c r="E20" s="27"/>
      <c r="F20" s="27"/>
      <c r="G20" s="27"/>
    </row>
    <row r="21" spans="2:8" x14ac:dyDescent="0.3">
      <c r="B21" s="26" t="s">
        <v>59</v>
      </c>
      <c r="C21" s="27" t="s">
        <v>65</v>
      </c>
      <c r="D21" s="27"/>
      <c r="E21" s="27"/>
      <c r="F21" s="27"/>
      <c r="G21" s="27"/>
    </row>
    <row r="22" spans="2:8" x14ac:dyDescent="0.3">
      <c r="B22" s="26" t="s">
        <v>60</v>
      </c>
      <c r="C22" s="27" t="s">
        <v>66</v>
      </c>
      <c r="D22" s="27"/>
      <c r="E22" s="27"/>
      <c r="F22" s="27"/>
      <c r="G22" s="27"/>
    </row>
    <row r="23" spans="2:8" x14ac:dyDescent="0.3">
      <c r="B23" s="26" t="s">
        <v>61</v>
      </c>
      <c r="C23" s="27" t="s">
        <v>63</v>
      </c>
      <c r="D23" s="27"/>
      <c r="E23" s="27"/>
      <c r="F23" s="27"/>
      <c r="G23" s="27"/>
      <c r="H23" s="25"/>
    </row>
    <row r="24" spans="2:8" x14ac:dyDescent="0.3">
      <c r="B24" s="26" t="s">
        <v>62</v>
      </c>
      <c r="C24" s="27" t="s">
        <v>67</v>
      </c>
      <c r="D24" s="27"/>
      <c r="E24" s="27"/>
      <c r="F24" s="27"/>
      <c r="G24" s="27"/>
    </row>
  </sheetData>
  <mergeCells count="5">
    <mergeCell ref="C24:G24"/>
    <mergeCell ref="C22:G22"/>
    <mergeCell ref="C21:G21"/>
    <mergeCell ref="C20:G20"/>
    <mergeCell ref="C23:G23"/>
  </mergeCells>
  <pageMargins left="0.25" right="0.25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2296-F53B-4248-9191-4DE9B59AFFE5}">
  <dimension ref="A1:O17"/>
  <sheetViews>
    <sheetView tabSelected="1" zoomScale="160" zoomScaleNormal="160" workbookViewId="0">
      <selection activeCell="F19" sqref="F19"/>
    </sheetView>
  </sheetViews>
  <sheetFormatPr defaultRowHeight="14.4" x14ac:dyDescent="0.3"/>
  <sheetData>
    <row r="1" spans="1:10" x14ac:dyDescent="0.3">
      <c r="A1" s="27" t="s">
        <v>68</v>
      </c>
      <c r="B1" s="27"/>
      <c r="C1" s="27"/>
      <c r="D1" s="27"/>
      <c r="E1" s="27"/>
      <c r="F1" s="27"/>
      <c r="G1" s="27"/>
    </row>
    <row r="2" spans="1:10" x14ac:dyDescent="0.3">
      <c r="A2" s="4" cm="1">
        <f t="array" aca="1" ref="A2:J2" ca="1">_xlfn.RANDARRAY(1,10,1,9,TRUE)</f>
        <v>1</v>
      </c>
      <c r="B2" s="4">
        <f ca="1"/>
        <v>2</v>
      </c>
      <c r="C2" s="4">
        <f ca="1"/>
        <v>9</v>
      </c>
      <c r="D2" s="4">
        <f ca="1"/>
        <v>5</v>
      </c>
      <c r="E2" s="4">
        <f ca="1"/>
        <v>4</v>
      </c>
      <c r="F2" s="4">
        <f ca="1"/>
        <v>2</v>
      </c>
      <c r="G2" s="4">
        <f ca="1"/>
        <v>8</v>
      </c>
      <c r="H2" s="4">
        <f ca="1"/>
        <v>1</v>
      </c>
      <c r="I2" s="4">
        <f ca="1"/>
        <v>4</v>
      </c>
      <c r="J2" s="4">
        <f ca="1"/>
        <v>7</v>
      </c>
    </row>
    <row r="3" spans="1:10" x14ac:dyDescent="0.3">
      <c r="A3" s="37" t="s">
        <v>69</v>
      </c>
      <c r="B3" s="37"/>
      <c r="C3" s="37"/>
      <c r="D3" s="37"/>
      <c r="E3" s="37"/>
      <c r="F3" s="37"/>
      <c r="G3" s="37"/>
    </row>
    <row r="4" spans="1:10" x14ac:dyDescent="0.3">
      <c r="A4" s="38" cm="1">
        <f t="array" aca="1" ref="A4:F8" ca="1">_xlfn.RANDARRAY(5,6,1,9,TRUE)</f>
        <v>4</v>
      </c>
      <c r="B4" s="38">
        <f ca="1"/>
        <v>5</v>
      </c>
      <c r="C4" s="38">
        <f ca="1"/>
        <v>5</v>
      </c>
      <c r="D4" s="38">
        <f ca="1"/>
        <v>3</v>
      </c>
      <c r="E4" s="38">
        <f ca="1"/>
        <v>8</v>
      </c>
      <c r="F4" s="38">
        <f ca="1"/>
        <v>7</v>
      </c>
    </row>
    <row r="5" spans="1:10" x14ac:dyDescent="0.3">
      <c r="A5" s="4">
        <f ca="1"/>
        <v>1</v>
      </c>
      <c r="B5" s="4">
        <f ca="1"/>
        <v>7</v>
      </c>
      <c r="C5" s="4">
        <f ca="1"/>
        <v>3</v>
      </c>
      <c r="D5" s="4">
        <f ca="1"/>
        <v>5</v>
      </c>
      <c r="E5" s="4">
        <f ca="1"/>
        <v>5</v>
      </c>
      <c r="F5" s="4">
        <f ca="1"/>
        <v>4</v>
      </c>
    </row>
    <row r="6" spans="1:10" x14ac:dyDescent="0.3">
      <c r="A6" s="4">
        <f ca="1"/>
        <v>7</v>
      </c>
      <c r="B6" s="4">
        <f ca="1"/>
        <v>4</v>
      </c>
      <c r="C6" s="4">
        <f ca="1"/>
        <v>9</v>
      </c>
      <c r="D6" s="4">
        <f ca="1"/>
        <v>3</v>
      </c>
      <c r="E6" s="4">
        <f ca="1"/>
        <v>9</v>
      </c>
      <c r="F6" s="4">
        <f ca="1"/>
        <v>7</v>
      </c>
    </row>
    <row r="7" spans="1:10" x14ac:dyDescent="0.3">
      <c r="A7" s="4">
        <f ca="1"/>
        <v>2</v>
      </c>
      <c r="B7" s="4">
        <f ca="1"/>
        <v>5</v>
      </c>
      <c r="C7" s="4">
        <f ca="1"/>
        <v>3</v>
      </c>
      <c r="D7" s="4">
        <f ca="1"/>
        <v>5</v>
      </c>
      <c r="E7" s="4">
        <f ca="1"/>
        <v>8</v>
      </c>
      <c r="F7" s="4">
        <f ca="1"/>
        <v>3</v>
      </c>
    </row>
    <row r="8" spans="1:10" x14ac:dyDescent="0.3">
      <c r="A8" s="36">
        <f ca="1"/>
        <v>4</v>
      </c>
      <c r="B8" s="36">
        <f ca="1"/>
        <v>1</v>
      </c>
      <c r="C8" s="36">
        <f ca="1"/>
        <v>7</v>
      </c>
      <c r="D8" s="36">
        <f ca="1"/>
        <v>2</v>
      </c>
      <c r="E8" s="36">
        <f ca="1"/>
        <v>9</v>
      </c>
      <c r="F8" s="36">
        <f ca="1"/>
        <v>7</v>
      </c>
    </row>
    <row r="9" spans="1:10" x14ac:dyDescent="0.3">
      <c r="A9" s="37" t="s">
        <v>70</v>
      </c>
      <c r="B9" s="37"/>
      <c r="C9" s="37"/>
      <c r="D9" s="37"/>
      <c r="E9" s="37"/>
      <c r="F9" s="37"/>
      <c r="G9" s="37"/>
    </row>
    <row r="10" spans="1:10" x14ac:dyDescent="0.3">
      <c r="A10" s="4" cm="1">
        <f t="array" aca="1" ref="A10:J10" ca="1">_xlfn.RANDARRAY(1,10,50,100,TRUE)</f>
        <v>63</v>
      </c>
      <c r="B10" s="4">
        <f ca="1"/>
        <v>61</v>
      </c>
      <c r="C10" s="4">
        <f ca="1"/>
        <v>59</v>
      </c>
      <c r="D10" s="4">
        <f ca="1"/>
        <v>73</v>
      </c>
      <c r="E10" s="4">
        <f ca="1"/>
        <v>82</v>
      </c>
      <c r="F10" s="4">
        <f ca="1"/>
        <v>58</v>
      </c>
      <c r="G10" s="4">
        <f ca="1"/>
        <v>77</v>
      </c>
      <c r="H10" s="4">
        <f ca="1"/>
        <v>91</v>
      </c>
      <c r="I10" s="4">
        <f ca="1"/>
        <v>51</v>
      </c>
      <c r="J10" s="4">
        <f ca="1"/>
        <v>54</v>
      </c>
    </row>
    <row r="11" spans="1:10" x14ac:dyDescent="0.3">
      <c r="A11" s="37" t="s">
        <v>71</v>
      </c>
      <c r="B11" s="37"/>
      <c r="C11" s="37"/>
      <c r="D11" s="37"/>
      <c r="E11" s="37"/>
      <c r="F11" s="37"/>
      <c r="G11" s="37"/>
    </row>
    <row r="12" spans="1:10" x14ac:dyDescent="0.3">
      <c r="A12" s="38" cm="1">
        <f t="array" aca="1" ref="A12:D15" ca="1">_xlfn.RANDARRAY(4,4,1,20,TRUE)</f>
        <v>6</v>
      </c>
      <c r="B12" s="38">
        <f ca="1"/>
        <v>17</v>
      </c>
      <c r="C12" s="38">
        <f ca="1"/>
        <v>5</v>
      </c>
      <c r="D12" s="38">
        <f ca="1"/>
        <v>13</v>
      </c>
    </row>
    <row r="13" spans="1:10" x14ac:dyDescent="0.3">
      <c r="A13" s="4">
        <f ca="1"/>
        <v>6</v>
      </c>
      <c r="B13" s="4">
        <f ca="1"/>
        <v>4</v>
      </c>
      <c r="C13" s="4">
        <f ca="1"/>
        <v>11</v>
      </c>
      <c r="D13" s="4">
        <f ca="1"/>
        <v>13</v>
      </c>
    </row>
    <row r="14" spans="1:10" x14ac:dyDescent="0.3">
      <c r="A14" s="4">
        <f ca="1"/>
        <v>15</v>
      </c>
      <c r="B14" s="4">
        <f ca="1"/>
        <v>20</v>
      </c>
      <c r="C14" s="4">
        <f ca="1"/>
        <v>18</v>
      </c>
      <c r="D14" s="4">
        <f ca="1"/>
        <v>3</v>
      </c>
    </row>
    <row r="15" spans="1:10" x14ac:dyDescent="0.3">
      <c r="A15" s="36">
        <f ca="1"/>
        <v>6</v>
      </c>
      <c r="B15" s="36">
        <f ca="1"/>
        <v>2</v>
      </c>
      <c r="C15" s="36">
        <f ca="1"/>
        <v>2</v>
      </c>
      <c r="D15" s="36">
        <f ca="1"/>
        <v>8</v>
      </c>
    </row>
    <row r="16" spans="1:10" x14ac:dyDescent="0.3">
      <c r="A16" s="37" t="s">
        <v>72</v>
      </c>
      <c r="B16" s="37"/>
      <c r="C16" s="37"/>
      <c r="D16" s="37"/>
      <c r="E16" s="37"/>
      <c r="F16" s="37"/>
      <c r="G16" s="37"/>
    </row>
    <row r="17" spans="1:15" x14ac:dyDescent="0.3">
      <c r="A17" s="4" cm="1">
        <f t="array" aca="1" ref="A17:O17" ca="1">_xlfn.RANDARRAY(1,15,0,1,FALSE)</f>
        <v>0.57444900572832025</v>
      </c>
      <c r="B17" s="4">
        <f ca="1"/>
        <v>0.18987978766834512</v>
      </c>
      <c r="C17" s="4">
        <f ca="1"/>
        <v>0.22136299794779402</v>
      </c>
      <c r="D17" s="4">
        <f ca="1"/>
        <v>0.45752486170886564</v>
      </c>
      <c r="E17" s="4">
        <f ca="1"/>
        <v>8.3257782843643158E-2</v>
      </c>
      <c r="F17" s="4">
        <f ca="1"/>
        <v>0.78581763736610055</v>
      </c>
      <c r="G17" s="4">
        <f ca="1"/>
        <v>0.233797655871268</v>
      </c>
      <c r="H17" s="4">
        <f ca="1"/>
        <v>0.31415679799521512</v>
      </c>
      <c r="I17" s="4">
        <f ca="1"/>
        <v>0.13641061321772563</v>
      </c>
      <c r="J17" s="4">
        <f ca="1"/>
        <v>0.96319156271306339</v>
      </c>
      <c r="K17" s="4">
        <f ca="1"/>
        <v>0.95192670000417157</v>
      </c>
      <c r="L17" s="4">
        <f ca="1"/>
        <v>0.44197773476922997</v>
      </c>
      <c r="M17" s="4">
        <f ca="1"/>
        <v>0.95584588977921703</v>
      </c>
      <c r="N17" s="4">
        <f ca="1"/>
        <v>0.2254290185903165</v>
      </c>
      <c r="O17" s="4">
        <f ca="1"/>
        <v>0.30568334175635603</v>
      </c>
    </row>
  </sheetData>
  <mergeCells count="5">
    <mergeCell ref="A1:G1"/>
    <mergeCell ref="A3:G3"/>
    <mergeCell ref="A9:G9"/>
    <mergeCell ref="A11:G11"/>
    <mergeCell ref="A16:G16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RAW-DATA</vt:lpstr>
      <vt:lpstr>FILTER</vt:lpstr>
      <vt:lpstr>SORT</vt:lpstr>
      <vt:lpstr>UNIQUE</vt:lpstr>
      <vt:lpstr>RANDARRAY</vt:lpstr>
      <vt:lpstr>FILTER!Print_Area</vt:lpstr>
      <vt:lpstr>RANDARRAY!Print_Area</vt:lpstr>
      <vt:lpstr>SORT!Print_Area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cp:lastPrinted>2026-07-24T14:04:45Z</cp:lastPrinted>
  <dcterms:created xsi:type="dcterms:W3CDTF">2026-07-23T16:10:48Z</dcterms:created>
  <dcterms:modified xsi:type="dcterms:W3CDTF">2026-07-24T18:23:43Z</dcterms:modified>
</cp:coreProperties>
</file>