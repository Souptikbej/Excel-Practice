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6CB0A13C-CA05-483E-9534-1D370504762F}" xr6:coauthVersionLast="47" xr6:coauthVersionMax="47" xr10:uidLastSave="{00000000-0000-0000-0000-000000000000}"/>
  <bookViews>
    <workbookView xWindow="-28920" yWindow="-90" windowWidth="29040" windowHeight="16440" activeTab="5" xr2:uid="{A9C22360-79B0-4B4A-95C9-F8C6A38802BE}"/>
  </bookViews>
  <sheets>
    <sheet name="RAW-DATA" sheetId="1" r:id="rId1"/>
    <sheet name="Problem 1" sheetId="2" r:id="rId2"/>
    <sheet name="Problem 2" sheetId="3" r:id="rId3"/>
    <sheet name="Problem 3" sheetId="4" r:id="rId4"/>
    <sheet name="Problem 4" sheetId="5" r:id="rId5"/>
    <sheet name="Problem 5" sheetId="6" r:id="rId6"/>
  </sheets>
  <definedNames>
    <definedName name="_xlnm.Print_Area" localSheetId="1">'Problem 1'!$A$1:$M$25</definedName>
    <definedName name="_xlnm.Print_Area" localSheetId="2">'Problem 2'!$A$1:$N$26</definedName>
    <definedName name="_xlnm.Print_Area" localSheetId="3">'Problem 3'!$A$1:$M$31</definedName>
    <definedName name="_xlnm.Print_Area" localSheetId="4">'Problem 4'!$A$1:$O$31</definedName>
    <definedName name="_xlnm.Print_Area" localSheetId="5">'Problem 5'!$A$1:$M$38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8" i="6" l="1"/>
  <c r="F27" i="6"/>
  <c r="F26" i="6"/>
  <c r="F25" i="6"/>
  <c r="F24" i="6"/>
  <c r="E31" i="6"/>
  <c r="E30" i="6"/>
  <c r="E29" i="6"/>
  <c r="E28" i="6"/>
  <c r="E27" i="6"/>
  <c r="E26" i="6"/>
  <c r="E25" i="6"/>
  <c r="E24" i="6"/>
  <c r="F25" i="5"/>
  <c r="F24" i="5"/>
  <c r="F23" i="5"/>
  <c r="E30" i="4"/>
  <c r="E29" i="4"/>
  <c r="E24" i="4"/>
  <c r="E23" i="4"/>
  <c r="I24" i="3"/>
  <c r="H24" i="3"/>
  <c r="H23" i="3"/>
  <c r="H22" i="3"/>
  <c r="H21" i="3"/>
  <c r="E25" i="2"/>
  <c r="E24" i="2"/>
  <c r="E23" i="2"/>
  <c r="E22" i="2"/>
  <c r="E21" i="2"/>
</calcChain>
</file>

<file path=xl/sharedStrings.xml><?xml version="1.0" encoding="utf-8"?>
<sst xmlns="http://schemas.openxmlformats.org/spreadsheetml/2006/main" count="642" uniqueCount="75">
  <si>
    <t>Order_ID</t>
  </si>
  <si>
    <t>Date</t>
  </si>
  <si>
    <t>Region</t>
  </si>
  <si>
    <t>Salesperson</t>
  </si>
  <si>
    <t>Category</t>
  </si>
  <si>
    <t>Product</t>
  </si>
  <si>
    <t>Units</t>
  </si>
  <si>
    <t>Unit_Price</t>
  </si>
  <si>
    <t>Sales</t>
  </si>
  <si>
    <t>Cost</t>
  </si>
  <si>
    <t>Profit</t>
  </si>
  <si>
    <t>Discount</t>
  </si>
  <si>
    <t>Status</t>
  </si>
  <si>
    <t>O001</t>
  </si>
  <si>
    <t>East</t>
  </si>
  <si>
    <t>Rahul</t>
  </si>
  <si>
    <t>Laptop</t>
  </si>
  <si>
    <t>Dell</t>
  </si>
  <si>
    <t>Delivered</t>
  </si>
  <si>
    <t>O002</t>
  </si>
  <si>
    <t>West</t>
  </si>
  <si>
    <t>Priya</t>
  </si>
  <si>
    <t>HP</t>
  </si>
  <si>
    <t>O003</t>
  </si>
  <si>
    <t>South</t>
  </si>
  <si>
    <t>Amit</t>
  </si>
  <si>
    <t>Monitor</t>
  </si>
  <si>
    <t>LG</t>
  </si>
  <si>
    <t>O004</t>
  </si>
  <si>
    <t>North</t>
  </si>
  <si>
    <t>Neha</t>
  </si>
  <si>
    <t>Keyboard</t>
  </si>
  <si>
    <t>Logitech</t>
  </si>
  <si>
    <t>Pending</t>
  </si>
  <si>
    <t>O005</t>
  </si>
  <si>
    <t>Mouse</t>
  </si>
  <si>
    <t>O006</t>
  </si>
  <si>
    <t>Lenovo</t>
  </si>
  <si>
    <t>O007</t>
  </si>
  <si>
    <t>Printer</t>
  </si>
  <si>
    <t>Canon</t>
  </si>
  <si>
    <t>Cancelled</t>
  </si>
  <si>
    <t>O008</t>
  </si>
  <si>
    <t>Samsung</t>
  </si>
  <si>
    <t>O009</t>
  </si>
  <si>
    <t>O010</t>
  </si>
  <si>
    <t>O011</t>
  </si>
  <si>
    <t>Acer</t>
  </si>
  <si>
    <t>O012</t>
  </si>
  <si>
    <t>Epson</t>
  </si>
  <si>
    <t>O013</t>
  </si>
  <si>
    <t>O014</t>
  </si>
  <si>
    <t>O015</t>
  </si>
  <si>
    <t>Problem 1 — Basic Aggregation Functions</t>
  </si>
  <si>
    <t>Using the Sales column, calculate:
1. Total Sales
2. Average Sales
3. Highest Sales
4. Lowest Sales
5. Count of Sales records</t>
  </si>
  <si>
    <t>Answer</t>
  </si>
  <si>
    <t>Problem 2 — COUNTA vs COUNT</t>
  </si>
  <si>
    <t>Using the dataset,
1. Count numeric values in Sales.
2. Count non-empty values in Product.
3. Count non-empty values in Status.
4. Add one blank Product cell and compare COUNT vs COUNTA.
5. Explain the difference.</t>
  </si>
  <si>
    <t xml:space="preserve">COUNT      | Only numeric cells                                
COUNTA   | All non-empty cells (numbers, text, dates, logical values) </t>
  </si>
  <si>
    <t>Problem 3 — SUBTOTAL with Filters</t>
  </si>
  <si>
    <t>Filter the dataset to show only
Region = East , Now calculate :- 
1. Total Sales using SUM
2. Total Sales using SUBTOTAL
3. Compare both results.
Status = Delivered , Now calculate :- 
1. Total Sales using SUM
2. Total Sales using SUBTOTAL
3. Compare both results.</t>
  </si>
  <si>
    <t>SUM :- 	Ignores filters and sums all rows
SUBTOTAL :- 	Sums only visible rows after filtering</t>
  </si>
  <si>
    <t>Answer: 242,500 (counts only visible rows)</t>
  </si>
  <si>
    <t xml:space="preserve">Answer: 723,550 </t>
  </si>
  <si>
    <t>Hide rows 5–8 manually (do NOT filter).
Now calculate
1. SUM of Sales
2. SUBTOTAL(9,...)
3. SUBTOTAL(109,...)
Questions
1. Which function ignores manually hidden rows?
2. Which includes them?
3. Why are the totals different?</t>
  </si>
  <si>
    <t>Problem 4 — Hidden Rows vs Filtered Rows</t>
  </si>
  <si>
    <t>Reason: Function code 9 ignores filtered rows but includes manually hidden rows.</t>
  </si>
  <si>
    <t>Calculation: 816,550 − 268,000 = 548,550</t>
  </si>
  <si>
    <t>SUBTOTAL(109, ...)</t>
  </si>
  <si>
    <t>SUM() ,  SUBTOTAL(9, ...)</t>
  </si>
  <si>
    <t>Problem 5 — Sales Dashboard Summary</t>
  </si>
  <si>
    <t>Create a professional summary section using formulas only.
Calculate
1. Total Sales
2. Average Profit
3. Maximum Profit
4. Minimum Profit
5. Total Orders
6. Total Delivered Orders
7.Total Pending Orders
8. Total Cancelled Orders
Now apply a filter
Region = West
Observe which summary values automatically change using SUBTOTAL.</t>
  </si>
  <si>
    <t>Dynamic Dashboard Using SUBTOTAL</t>
  </si>
  <si>
    <t>Static Dashboard</t>
  </si>
  <si>
    <t>This is why SUBTOTAL is preferred for interactive reports and dashboards where users frequently apply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</si>
</sst>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theme="1"/>
      <name val="Aptos Narrow"/>
      <family val="2"/>
      <scheme val="minor"/>
    </font>
    <font>
      <b/>
      <sz val="11"/>
      <color rgb="FF9C0006"/>
      <name val="Aptos Narrow"/>
      <family val="2"/>
      <scheme val="minor"/>
    </font>
    <font>
      <b/>
      <sz val="11"/>
      <color rgb="FF006100"/>
      <name val="Aptos Narrow"/>
      <family val="2"/>
      <scheme val="minor"/>
    </font>
    <font>
      <b/>
      <sz val="18"/>
      <color rgb="FF006100"/>
      <name val="Aptos Narrow"/>
      <family val="2"/>
      <scheme val="minor"/>
    </font>
    <font>
      <b/>
      <u/>
      <sz val="11"/>
      <color rgb="FF9C0006"/>
      <name val="Aptos Narrow"/>
      <family val="2"/>
      <scheme val="minor"/>
    </font>
    <font>
      <b/>
      <sz val="11"/>
      <color rgb="FF9C5700"/>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50">
    <xf numFmtId="0" fontId="0" fillId="0" borderId="0" xfId="0"/>
    <xf numFmtId="0" fontId="4" fillId="0" borderId="0" xfId="0" applyFont="1" applyAlignment="1">
      <alignment horizontal="center" vertical="center"/>
    </xf>
    <xf numFmtId="0" fontId="0" fillId="0" borderId="0" xfId="0" applyAlignment="1">
      <alignment vertical="center"/>
    </xf>
    <xf numFmtId="15" fontId="0" fillId="0" borderId="0" xfId="0" applyNumberFormat="1" applyAlignment="1">
      <alignment vertical="center"/>
    </xf>
    <xf numFmtId="9" fontId="0" fillId="0" borderId="0" xfId="0" applyNumberFormat="1" applyAlignment="1">
      <alignment vertical="center"/>
    </xf>
    <xf numFmtId="0" fontId="5" fillId="3" borderId="1" xfId="2" applyFont="1" applyBorder="1" applyAlignment="1">
      <alignment horizontal="left" wrapText="1"/>
    </xf>
    <xf numFmtId="0" fontId="5" fillId="3" borderId="1" xfId="2" applyFont="1" applyBorder="1" applyAlignment="1">
      <alignment horizontal="left"/>
    </xf>
    <xf numFmtId="0" fontId="7" fillId="2" borderId="1" xfId="1" applyFont="1" applyBorder="1" applyAlignment="1">
      <alignment horizontal="center" vertical="center"/>
    </xf>
    <xf numFmtId="0" fontId="6" fillId="2" borderId="1" xfId="1" applyFont="1" applyBorder="1" applyAlignment="1">
      <alignment horizontal="left"/>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0" fillId="0" borderId="5" xfId="0" applyBorder="1" applyAlignment="1">
      <alignment vertical="center"/>
    </xf>
    <xf numFmtId="15" fontId="0" fillId="0" borderId="1" xfId="0" applyNumberFormat="1" applyBorder="1" applyAlignment="1">
      <alignment vertical="center"/>
    </xf>
    <xf numFmtId="0" fontId="0" fillId="0" borderId="1" xfId="0" applyBorder="1" applyAlignment="1">
      <alignment vertical="center"/>
    </xf>
    <xf numFmtId="9" fontId="0" fillId="0" borderId="1"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15" fontId="0" fillId="0" borderId="8" xfId="0" applyNumberFormat="1" applyBorder="1" applyAlignment="1">
      <alignment vertical="center"/>
    </xf>
    <xf numFmtId="0" fontId="0" fillId="0" borderId="8" xfId="0" applyBorder="1" applyAlignment="1">
      <alignment vertical="center"/>
    </xf>
    <xf numFmtId="9" fontId="0" fillId="0" borderId="8" xfId="0" applyNumberFormat="1" applyBorder="1" applyAlignment="1">
      <alignment vertical="center"/>
    </xf>
    <xf numFmtId="0" fontId="0" fillId="0" borderId="9" xfId="0" applyBorder="1" applyAlignment="1">
      <alignment vertical="center"/>
    </xf>
    <xf numFmtId="0" fontId="0" fillId="0" borderId="0" xfId="0" applyAlignment="1"/>
    <xf numFmtId="0" fontId="5" fillId="3" borderId="1" xfId="2" applyFont="1" applyBorder="1" applyAlignment="1">
      <alignment horizontal="left" vertical="center" wrapText="1"/>
    </xf>
    <xf numFmtId="0" fontId="0" fillId="0" borderId="0" xfId="0" applyAlignment="1">
      <alignment vertical="top" wrapText="1"/>
    </xf>
    <xf numFmtId="0" fontId="5" fillId="3" borderId="6" xfId="2" applyFont="1" applyBorder="1" applyAlignment="1">
      <alignment horizontal="left" vertical="center" wrapText="1"/>
    </xf>
    <xf numFmtId="0" fontId="6" fillId="2" borderId="1" xfId="1" applyFont="1" applyBorder="1" applyAlignment="1">
      <alignment horizontal="center" vertical="center"/>
    </xf>
    <xf numFmtId="0" fontId="6" fillId="2" borderId="1" xfId="1" applyFont="1" applyBorder="1"/>
    <xf numFmtId="0" fontId="6" fillId="2" borderId="1" xfId="1" applyFont="1" applyBorder="1" applyAlignment="1">
      <alignment horizontal="left" wrapText="1"/>
    </xf>
    <xf numFmtId="0" fontId="6" fillId="2" borderId="1" xfId="1" applyFont="1" applyBorder="1" applyAlignment="1">
      <alignment horizontal="left"/>
    </xf>
    <xf numFmtId="0" fontId="8" fillId="3" borderId="1" xfId="2" applyFont="1" applyBorder="1" applyAlignment="1">
      <alignment horizontal="left"/>
    </xf>
    <xf numFmtId="0" fontId="6" fillId="2" borderId="1" xfId="1" applyFont="1" applyBorder="1" applyAlignment="1">
      <alignment horizontal="center" vertical="center"/>
    </xf>
    <xf numFmtId="0" fontId="6" fillId="2" borderId="8" xfId="1" applyFont="1" applyBorder="1" applyAlignment="1">
      <alignment horizontal="center" vertical="center"/>
    </xf>
    <xf numFmtId="0" fontId="9" fillId="4" borderId="1" xfId="3" applyFont="1" applyBorder="1" applyAlignment="1">
      <alignment horizontal="left" wrapText="1"/>
    </xf>
    <xf numFmtId="0" fontId="9" fillId="4" borderId="1" xfId="3" applyFont="1" applyBorder="1" applyAlignment="1">
      <alignment horizontal="left"/>
    </xf>
    <xf numFmtId="0" fontId="6" fillId="2" borderId="1" xfId="1" applyFont="1" applyBorder="1" applyAlignment="1">
      <alignment horizontal="center"/>
    </xf>
    <xf numFmtId="0" fontId="5" fillId="3" borderId="18" xfId="2" applyFont="1" applyBorder="1" applyAlignment="1">
      <alignment horizontal="left"/>
    </xf>
    <xf numFmtId="0" fontId="5" fillId="3" borderId="19" xfId="2" applyFont="1" applyBorder="1" applyAlignment="1">
      <alignment horizontal="left"/>
    </xf>
    <xf numFmtId="0" fontId="5" fillId="3" borderId="20" xfId="2" applyFont="1" applyBorder="1" applyAlignment="1">
      <alignment horizontal="left"/>
    </xf>
    <xf numFmtId="0" fontId="5" fillId="3" borderId="10" xfId="2" applyFont="1" applyBorder="1" applyAlignment="1">
      <alignment horizontal="left" wrapText="1"/>
    </xf>
    <xf numFmtId="0" fontId="5" fillId="3" borderId="11" xfId="2" applyFont="1" applyBorder="1" applyAlignment="1">
      <alignment horizontal="left" wrapText="1"/>
    </xf>
    <xf numFmtId="0" fontId="5" fillId="3" borderId="12" xfId="2" applyFont="1" applyBorder="1" applyAlignment="1">
      <alignment horizontal="left" wrapText="1"/>
    </xf>
    <xf numFmtId="0" fontId="5" fillId="3" borderId="13" xfId="2" applyFont="1" applyBorder="1" applyAlignment="1">
      <alignment horizontal="left" wrapText="1"/>
    </xf>
    <xf numFmtId="0" fontId="5" fillId="3" borderId="0" xfId="2" applyFont="1" applyBorder="1" applyAlignment="1">
      <alignment horizontal="left" wrapText="1"/>
    </xf>
    <xf numFmtId="0" fontId="5" fillId="3" borderId="14" xfId="2" applyFont="1" applyBorder="1" applyAlignment="1">
      <alignment horizontal="left" wrapText="1"/>
    </xf>
    <xf numFmtId="0" fontId="5" fillId="3" borderId="15" xfId="2" applyFont="1" applyBorder="1" applyAlignment="1">
      <alignment horizontal="left" wrapText="1"/>
    </xf>
    <xf numFmtId="0" fontId="5" fillId="3" borderId="16" xfId="2" applyFont="1" applyBorder="1" applyAlignment="1">
      <alignment horizontal="left" wrapText="1"/>
    </xf>
    <xf numFmtId="0" fontId="5" fillId="3" borderId="17" xfId="2" applyFont="1" applyBorder="1" applyAlignment="1">
      <alignment horizontal="left" wrapText="1"/>
    </xf>
    <xf numFmtId="0" fontId="9" fillId="4" borderId="1" xfId="3" applyFont="1" applyBorder="1" applyAlignment="1">
      <alignment horizontal="left" vertical="top" wrapText="1"/>
    </xf>
    <xf numFmtId="0" fontId="6" fillId="2" borderId="1" xfId="1" applyFont="1" applyBorder="1" applyAlignment="1">
      <alignment horizontal="center" vertical="center" wrapText="1"/>
    </xf>
  </cellXfs>
  <cellStyles count="4">
    <cellStyle name="Bad" xfId="2" builtinId="27"/>
    <cellStyle name="Good" xfId="1" builtinId="26"/>
    <cellStyle name="Neutral" xfId="3" builtinId="28"/>
    <cellStyle name="Normal" xfId="0" builtinId="0"/>
  </cellStyles>
  <dxfs count="90">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d/mmm/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d/mmm/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d/mmm/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64CF3-7972-4B49-9DB7-8375152E61C5}" name="Table1" displayName="Table1" ref="A1:M16" totalsRowShown="0" headerRowDxfId="72" dataDxfId="89" headerRowBorderDxfId="87" tableBorderDxfId="88" totalsRowBorderDxfId="86">
  <autoFilter ref="A1:M16" xr:uid="{A2D64CF3-7972-4B49-9DB7-8375152E61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3E71F7E-38C8-46BA-965F-00D9CF3D7C4F}" name="Order_ID" dataDxfId="85"/>
    <tableColumn id="2" xr3:uid="{FF3DE1DF-31F2-4ECB-9FB3-85F55631C981}" name="Date" dataDxfId="84"/>
    <tableColumn id="3" xr3:uid="{6123F867-24BB-4025-B64A-E1CE8F7C8B39}" name="Region" dataDxfId="83"/>
    <tableColumn id="4" xr3:uid="{2C34A88C-FF72-459E-B92D-9DF27E6BD6DA}" name="Salesperson" dataDxfId="82"/>
    <tableColumn id="5" xr3:uid="{53818B32-F608-403A-9E35-0E1664B701B7}" name="Category" dataDxfId="81"/>
    <tableColumn id="6" xr3:uid="{9B6C5AD9-5F7D-405C-8437-721DE2064728}" name="Product" dataDxfId="80"/>
    <tableColumn id="7" xr3:uid="{42BDF7EE-7886-4BEE-A7E0-CCD600AA7D8F}" name="Units" dataDxfId="79"/>
    <tableColumn id="8" xr3:uid="{32EB78C5-9CFF-4F35-8E44-737C6F3EF3DF}" name="Unit_Price" dataDxfId="78"/>
    <tableColumn id="9" xr3:uid="{902E1450-5DFB-4D2A-812B-1C888D603B3A}" name="Sales" dataDxfId="77"/>
    <tableColumn id="10" xr3:uid="{405648B5-BCA8-418C-99EA-B86810432A24}" name="Cost" dataDxfId="76"/>
    <tableColumn id="11" xr3:uid="{EE3E91E1-5947-4ED2-9D2C-1FF7ACD17A84}" name="Profit" dataDxfId="75"/>
    <tableColumn id="12" xr3:uid="{3682E15F-043E-4A13-8A7E-8C1E3FB2E218}" name="Discount" dataDxfId="74"/>
    <tableColumn id="13" xr3:uid="{38C3A4B3-0EA7-41B7-8804-05F8AD6BD777}" name="Status" dataDxfId="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06EA3F-69FC-4E1F-9E81-05AEA1F204D1}" name="Table2" displayName="Table2" ref="A1:M16" totalsRowShown="0" headerRowDxfId="54" dataDxfId="71" headerRowBorderDxfId="69" tableBorderDxfId="70" totalsRowBorderDxfId="68">
  <autoFilter ref="A1:M16" xr:uid="{7C06EA3F-69FC-4E1F-9E81-05AEA1F204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C986DAC-CBF3-401B-8C35-70FEA103CABD}" name="Order_ID" dataDxfId="67"/>
    <tableColumn id="2" xr3:uid="{845677D3-0EFC-4615-8B10-4A839275882B}" name="Date" dataDxfId="66"/>
    <tableColumn id="3" xr3:uid="{487D869A-D908-4EB5-8686-619EDE5EEF5E}" name="Region" dataDxfId="65"/>
    <tableColumn id="4" xr3:uid="{119AFDBA-96DE-4E3A-8FA0-001C2C5362B2}" name="Salesperson" dataDxfId="64"/>
    <tableColumn id="5" xr3:uid="{EAA68190-21EC-4514-8DD4-A7E1DCE1BE56}" name="Category" dataDxfId="63"/>
    <tableColumn id="6" xr3:uid="{37567D6F-A7DD-4A8A-A5EE-E13C869F8CEB}" name="Product" dataDxfId="62"/>
    <tableColumn id="7" xr3:uid="{7C084608-6435-4A10-9B5C-1406CB416A44}" name="Units" dataDxfId="61"/>
    <tableColumn id="8" xr3:uid="{05C4CE36-803C-45BC-9009-D9CA70468BE1}" name="Unit_Price" dataDxfId="60"/>
    <tableColumn id="9" xr3:uid="{F86DD4F5-A214-460A-B169-AF5DC690BBA6}" name="Sales" dataDxfId="59"/>
    <tableColumn id="10" xr3:uid="{7F128297-0A48-4C16-9DB2-AEC2F5537C7C}" name="Cost" dataDxfId="58"/>
    <tableColumn id="11" xr3:uid="{303A3BF0-9EF7-4EEA-8A3B-F4BBD3813F93}" name="Profit" dataDxfId="57"/>
    <tableColumn id="12" xr3:uid="{E4BA69EF-CD71-45A7-BB10-50B2921FC2C0}" name="Discount" dataDxfId="56"/>
    <tableColumn id="13" xr3:uid="{494F6EAA-F3A5-4C51-86F9-4EE3E88CCF07}" name="Status" dataDxfId="5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85CF0E-BCAF-42FB-88B5-9421A3FEB47C}" name="Table3" displayName="Table3" ref="A1:M16" totalsRowShown="0" headerRowDxfId="0" dataDxfId="53" headerRowBorderDxfId="15" tableBorderDxfId="16" totalsRowBorderDxfId="14">
  <autoFilter ref="A1:M16" xr:uid="{8585CF0E-BCAF-42FB-88B5-9421A3FEB47C}"/>
  <tableColumns count="13">
    <tableColumn id="1" xr3:uid="{4A2BAD86-006B-4C1E-ADC9-AA8FFE6BC66C}" name="Order_ID" dataDxfId="13"/>
    <tableColumn id="2" xr3:uid="{9183BAC2-D502-4BED-8905-9EB1C1BEE514}" name="Date" dataDxfId="12"/>
    <tableColumn id="3" xr3:uid="{565AFD84-DE35-4312-8563-83F90DE6FA35}" name="Region" dataDxfId="11"/>
    <tableColumn id="4" xr3:uid="{2302759C-37BF-4C86-B106-58015C5C77F7}" name="Salesperson" dataDxfId="10"/>
    <tableColumn id="5" xr3:uid="{6A5B9BF7-8A7F-4DAB-BB9D-E413A3729F1C}" name="Category" dataDxfId="9"/>
    <tableColumn id="6" xr3:uid="{756ABD88-0B4E-4F73-B2E9-0009C0FE1FCF}" name="Product" dataDxfId="8"/>
    <tableColumn id="7" xr3:uid="{A311CC2B-29CD-4E86-BE0E-B97626D1D358}" name="Units" dataDxfId="7"/>
    <tableColumn id="8" xr3:uid="{FEAED37E-546E-4A97-A8F9-92AD9F6B2C6E}" name="Unit_Price" dataDxfId="6"/>
    <tableColumn id="9" xr3:uid="{A25EEC16-5781-44DE-8D85-AF152C01D64E}" name="Sales" dataDxfId="5"/>
    <tableColumn id="10" xr3:uid="{5CCAC5F5-C537-4D2B-8BBB-68F2F9077F28}" name="Cost" dataDxfId="4"/>
    <tableColumn id="11" xr3:uid="{8B6F5948-1924-4BB2-B2F9-9C9F2B5CA055}" name="Profit" dataDxfId="3"/>
    <tableColumn id="12" xr3:uid="{8B175618-AEE7-4DB0-A4D9-D10D93D219A1}" name="Discount" dataDxfId="2"/>
    <tableColumn id="13" xr3:uid="{0DB2230A-E087-42F4-A0B1-AEC407EF6A95}" name="Status"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7FB49C-F3EB-409C-8A82-2891293383EA}" name="Table4" displayName="Table4" ref="A1:M16" totalsRowShown="0" headerRowDxfId="35" dataDxfId="36" headerRowBorderDxfId="51" tableBorderDxfId="52" totalsRowBorderDxfId="50">
  <autoFilter ref="A1:M16" xr:uid="{037FB49C-F3EB-409C-8A82-2891293383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13F2F4A-ABF4-43C2-950B-DA3A892A81A6}" name="Order_ID" dataDxfId="49"/>
    <tableColumn id="2" xr3:uid="{C587C62C-7B36-4C26-89FF-16871C49F0F8}" name="Date" dataDxfId="48"/>
    <tableColumn id="3" xr3:uid="{585B2C1B-748B-460C-8539-2A3A8810E8AE}" name="Region" dataDxfId="47"/>
    <tableColumn id="4" xr3:uid="{54DA60AD-F809-48D2-850D-CF60497B9087}" name="Salesperson" dataDxfId="46"/>
    <tableColumn id="5" xr3:uid="{F0F43063-7A20-4E9D-A1BD-28400D3A53C2}" name="Category" dataDxfId="45"/>
    <tableColumn id="6" xr3:uid="{EC60AA78-BB8E-4F7A-8E0B-4C2C409A6D73}" name="Product" dataDxfId="44"/>
    <tableColumn id="7" xr3:uid="{4C14AE7F-73D3-412C-B22B-CAA3F8D257F5}" name="Units" dataDxfId="43"/>
    <tableColumn id="8" xr3:uid="{87542966-9447-47DF-B23F-32992EA384BF}" name="Unit_Price" dataDxfId="42"/>
    <tableColumn id="9" xr3:uid="{A635C1C4-DE00-426A-B39D-6675D988887A}" name="Sales" dataDxfId="41"/>
    <tableColumn id="10" xr3:uid="{B6877F75-92A4-438F-A942-B0686F90A0AC}" name="Cost" dataDxfId="40"/>
    <tableColumn id="11" xr3:uid="{16946227-F8B1-4077-BFF2-CA0E83DAF181}" name="Profit" dataDxfId="39"/>
    <tableColumn id="12" xr3:uid="{0EBE7FAE-178F-455F-AC4B-7DE499E56467}" name="Discount" dataDxfId="38"/>
    <tableColumn id="13" xr3:uid="{52946C3F-8451-4AB6-B42F-0A5179A9905E}" name="Status" dataDxfId="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B92E2C-E21D-4055-897B-17E39CB3CC9A}" name="Table5" displayName="Table5" ref="A1:M16" totalsRowShown="0" headerRowDxfId="17" dataDxfId="18" headerRowBorderDxfId="33" tableBorderDxfId="34" totalsRowBorderDxfId="32">
  <autoFilter ref="A1:M16" xr:uid="{39B92E2C-E21D-4055-897B-17E39CB3CC9A}"/>
  <tableColumns count="13">
    <tableColumn id="1" xr3:uid="{48C82419-946B-4E46-8410-CF414F6F8EFE}" name="Order_ID" dataDxfId="31"/>
    <tableColumn id="2" xr3:uid="{4E79DCAF-7FDA-44B3-88E7-01384241AD76}" name="Date" dataDxfId="30"/>
    <tableColumn id="3" xr3:uid="{8D2BC714-59FF-4F3F-B0C3-E2D80E60F780}" name="Region" dataDxfId="29"/>
    <tableColumn id="4" xr3:uid="{7035EF0C-3B19-4364-8494-09DDB266C504}" name="Salesperson" dataDxfId="28"/>
    <tableColumn id="5" xr3:uid="{BA6128FF-C6A1-4DC7-BD66-27970055F884}" name="Category" dataDxfId="27"/>
    <tableColumn id="6" xr3:uid="{18C2FA47-0763-4B1C-A624-C6D312B2A9AE}" name="Product" dataDxfId="26"/>
    <tableColumn id="7" xr3:uid="{A3B9C46E-5DED-42DB-BDB2-633167AA87F8}" name="Units" dataDxfId="25"/>
    <tableColumn id="8" xr3:uid="{B7E37FC5-0648-4F61-AFFD-6A497D41835F}" name="Unit_Price" dataDxfId="24"/>
    <tableColumn id="9" xr3:uid="{A7B74E6C-6DB7-4DF9-AE12-6AA6A89DD21C}" name="Sales" dataDxfId="23"/>
    <tableColumn id="10" xr3:uid="{CE35E10C-EE31-45A1-8992-0A29A464D6B8}" name="Cost" dataDxfId="22"/>
    <tableColumn id="11" xr3:uid="{745B927B-8318-4E29-97A5-3398A167575B}" name="Profit" dataDxfId="21"/>
    <tableColumn id="12" xr3:uid="{EF0E4619-9768-4AD4-8318-3B70AF9D203F}" name="Discount" dataDxfId="20"/>
    <tableColumn id="13" xr3:uid="{FE53AE8A-3305-4E8D-AB74-F55AE9A7A7E8}" name="Status"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33B12-4D3F-4354-8A41-43C0DDDB1855}">
  <dimension ref="A1:M16"/>
  <sheetViews>
    <sheetView zoomScale="145" zoomScaleNormal="145" workbookViewId="0">
      <selection activeCell="C14" sqref="A1:M16"/>
    </sheetView>
  </sheetViews>
  <sheetFormatPr defaultRowHeight="14.4" x14ac:dyDescent="0.3"/>
  <cols>
    <col min="1" max="1" width="8.33203125" bestFit="1" customWidth="1"/>
    <col min="2" max="2" width="9" bestFit="1" customWidth="1"/>
    <col min="3" max="3" width="6.6640625" bestFit="1" customWidth="1"/>
    <col min="4" max="4" width="11.33203125" bestFit="1" customWidth="1"/>
    <col min="5" max="5" width="8.44140625" bestFit="1" customWidth="1"/>
    <col min="6" max="6" width="8.33203125" bestFit="1" customWidth="1"/>
    <col min="7" max="7" width="5.33203125" bestFit="1" customWidth="1"/>
    <col min="8" max="8" width="9.44140625" bestFit="1" customWidth="1"/>
    <col min="9" max="10" width="7.21875" bestFit="1" customWidth="1"/>
    <col min="11" max="11" width="6.109375" bestFit="1" customWidth="1"/>
    <col min="12" max="12" width="8.33203125" bestFit="1" customWidth="1"/>
    <col min="13" max="13" width="9"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3">
        <v>46023</v>
      </c>
      <c r="C2" s="2" t="s">
        <v>14</v>
      </c>
      <c r="D2" s="2" t="s">
        <v>15</v>
      </c>
      <c r="E2" s="2" t="s">
        <v>16</v>
      </c>
      <c r="F2" s="2" t="s">
        <v>17</v>
      </c>
      <c r="G2" s="2">
        <v>2</v>
      </c>
      <c r="H2" s="2">
        <v>50000</v>
      </c>
      <c r="I2" s="2">
        <v>100000</v>
      </c>
      <c r="J2" s="2">
        <v>86000</v>
      </c>
      <c r="K2" s="2">
        <v>14000</v>
      </c>
      <c r="L2" s="4">
        <v>0.05</v>
      </c>
      <c r="M2" s="2" t="s">
        <v>18</v>
      </c>
    </row>
    <row r="3" spans="1:13" x14ac:dyDescent="0.3">
      <c r="A3" s="2" t="s">
        <v>19</v>
      </c>
      <c r="B3" s="3">
        <v>46024</v>
      </c>
      <c r="C3" s="2" t="s">
        <v>20</v>
      </c>
      <c r="D3" s="2" t="s">
        <v>21</v>
      </c>
      <c r="E3" s="2" t="s">
        <v>16</v>
      </c>
      <c r="F3" s="2" t="s">
        <v>22</v>
      </c>
      <c r="G3" s="2">
        <v>1</v>
      </c>
      <c r="H3" s="2">
        <v>55000</v>
      </c>
      <c r="I3" s="2">
        <v>55000</v>
      </c>
      <c r="J3" s="2">
        <v>47000</v>
      </c>
      <c r="K3" s="2">
        <v>8000</v>
      </c>
      <c r="L3" s="4">
        <v>0.1</v>
      </c>
      <c r="M3" s="2" t="s">
        <v>18</v>
      </c>
    </row>
    <row r="4" spans="1:13" x14ac:dyDescent="0.3">
      <c r="A4" s="2" t="s">
        <v>23</v>
      </c>
      <c r="B4" s="3">
        <v>46024</v>
      </c>
      <c r="C4" s="2" t="s">
        <v>24</v>
      </c>
      <c r="D4" s="2" t="s">
        <v>25</v>
      </c>
      <c r="E4" s="2" t="s">
        <v>26</v>
      </c>
      <c r="F4" s="2" t="s">
        <v>27</v>
      </c>
      <c r="G4" s="2">
        <v>4</v>
      </c>
      <c r="H4" s="2">
        <v>12000</v>
      </c>
      <c r="I4" s="2">
        <v>48000</v>
      </c>
      <c r="J4" s="2">
        <v>39000</v>
      </c>
      <c r="K4" s="2">
        <v>9000</v>
      </c>
      <c r="L4" s="4">
        <v>0</v>
      </c>
      <c r="M4" s="2" t="s">
        <v>18</v>
      </c>
    </row>
    <row r="5" spans="1:13" x14ac:dyDescent="0.3">
      <c r="A5" s="2" t="s">
        <v>28</v>
      </c>
      <c r="B5" s="3">
        <v>46025</v>
      </c>
      <c r="C5" s="2" t="s">
        <v>29</v>
      </c>
      <c r="D5" s="2" t="s">
        <v>30</v>
      </c>
      <c r="E5" s="2" t="s">
        <v>31</v>
      </c>
      <c r="F5" s="2" t="s">
        <v>32</v>
      </c>
      <c r="G5" s="2">
        <v>10</v>
      </c>
      <c r="H5" s="2">
        <v>2500</v>
      </c>
      <c r="I5" s="2">
        <v>25000</v>
      </c>
      <c r="J5" s="2">
        <v>18000</v>
      </c>
      <c r="K5" s="2">
        <v>7000</v>
      </c>
      <c r="L5" s="4">
        <v>0.15</v>
      </c>
      <c r="M5" s="2" t="s">
        <v>33</v>
      </c>
    </row>
    <row r="6" spans="1:13" x14ac:dyDescent="0.3">
      <c r="A6" s="2" t="s">
        <v>34</v>
      </c>
      <c r="B6" s="3">
        <v>46025</v>
      </c>
      <c r="C6" s="2" t="s">
        <v>14</v>
      </c>
      <c r="D6" s="2" t="s">
        <v>15</v>
      </c>
      <c r="E6" s="2" t="s">
        <v>35</v>
      </c>
      <c r="F6" s="2" t="s">
        <v>22</v>
      </c>
      <c r="G6" s="2">
        <v>20</v>
      </c>
      <c r="H6" s="2">
        <v>900</v>
      </c>
      <c r="I6" s="2">
        <v>18000</v>
      </c>
      <c r="J6" s="2">
        <v>13000</v>
      </c>
      <c r="K6" s="2">
        <v>5000</v>
      </c>
      <c r="L6" s="4">
        <v>0.05</v>
      </c>
      <c r="M6" s="2" t="s">
        <v>18</v>
      </c>
    </row>
    <row r="7" spans="1:13" x14ac:dyDescent="0.3">
      <c r="A7" s="2" t="s">
        <v>36</v>
      </c>
      <c r="B7" s="3">
        <v>46026</v>
      </c>
      <c r="C7" s="2" t="s">
        <v>20</v>
      </c>
      <c r="D7" s="2" t="s">
        <v>21</v>
      </c>
      <c r="E7" s="2" t="s">
        <v>16</v>
      </c>
      <c r="F7" s="2" t="s">
        <v>37</v>
      </c>
      <c r="G7" s="2">
        <v>3</v>
      </c>
      <c r="H7" s="2">
        <v>48000</v>
      </c>
      <c r="I7" s="2">
        <v>144000</v>
      </c>
      <c r="J7" s="2">
        <v>120000</v>
      </c>
      <c r="K7" s="2">
        <v>24000</v>
      </c>
      <c r="L7" s="4">
        <v>0.08</v>
      </c>
      <c r="M7" s="2" t="s">
        <v>18</v>
      </c>
    </row>
    <row r="8" spans="1:13" x14ac:dyDescent="0.3">
      <c r="A8" s="2" t="s">
        <v>38</v>
      </c>
      <c r="B8" s="3">
        <v>46026</v>
      </c>
      <c r="C8" s="2" t="s">
        <v>24</v>
      </c>
      <c r="D8" s="2" t="s">
        <v>25</v>
      </c>
      <c r="E8" s="2" t="s">
        <v>39</v>
      </c>
      <c r="F8" s="2" t="s">
        <v>40</v>
      </c>
      <c r="G8" s="2">
        <v>2</v>
      </c>
      <c r="H8" s="2">
        <v>18000</v>
      </c>
      <c r="I8" s="2">
        <v>36000</v>
      </c>
      <c r="J8" s="2">
        <v>29000</v>
      </c>
      <c r="K8" s="2">
        <v>7000</v>
      </c>
      <c r="L8" s="4">
        <v>0.12</v>
      </c>
      <c r="M8" s="2" t="s">
        <v>41</v>
      </c>
    </row>
    <row r="9" spans="1:13" x14ac:dyDescent="0.3">
      <c r="A9" s="2" t="s">
        <v>42</v>
      </c>
      <c r="B9" s="3">
        <v>46027</v>
      </c>
      <c r="C9" s="2" t="s">
        <v>29</v>
      </c>
      <c r="D9" s="2" t="s">
        <v>30</v>
      </c>
      <c r="E9" s="2" t="s">
        <v>26</v>
      </c>
      <c r="F9" s="2" t="s">
        <v>43</v>
      </c>
      <c r="G9" s="2">
        <v>5</v>
      </c>
      <c r="H9" s="2">
        <v>14000</v>
      </c>
      <c r="I9" s="2">
        <v>70000</v>
      </c>
      <c r="J9" s="2">
        <v>56000</v>
      </c>
      <c r="K9" s="2">
        <v>14000</v>
      </c>
      <c r="L9" s="4">
        <v>0.1</v>
      </c>
      <c r="M9" s="2" t="s">
        <v>18</v>
      </c>
    </row>
    <row r="10" spans="1:13" x14ac:dyDescent="0.3">
      <c r="A10" s="2" t="s">
        <v>44</v>
      </c>
      <c r="B10" s="3">
        <v>46027</v>
      </c>
      <c r="C10" s="2" t="s">
        <v>14</v>
      </c>
      <c r="D10" s="2" t="s">
        <v>15</v>
      </c>
      <c r="E10" s="2" t="s">
        <v>31</v>
      </c>
      <c r="F10" s="2" t="s">
        <v>22</v>
      </c>
      <c r="G10" s="2">
        <v>15</v>
      </c>
      <c r="H10" s="2">
        <v>2300</v>
      </c>
      <c r="I10" s="2">
        <v>34500</v>
      </c>
      <c r="J10" s="2">
        <v>25000</v>
      </c>
      <c r="K10" s="2">
        <v>9500</v>
      </c>
      <c r="L10" s="4">
        <v>0.05</v>
      </c>
      <c r="M10" s="2" t="s">
        <v>18</v>
      </c>
    </row>
    <row r="11" spans="1:13" x14ac:dyDescent="0.3">
      <c r="A11" s="2" t="s">
        <v>45</v>
      </c>
      <c r="B11" s="3">
        <v>46028</v>
      </c>
      <c r="C11" s="2" t="s">
        <v>20</v>
      </c>
      <c r="D11" s="2" t="s">
        <v>21</v>
      </c>
      <c r="E11" s="2" t="s">
        <v>35</v>
      </c>
      <c r="F11" s="2" t="s">
        <v>17</v>
      </c>
      <c r="G11" s="2">
        <v>30</v>
      </c>
      <c r="H11" s="2">
        <v>850</v>
      </c>
      <c r="I11" s="2">
        <v>25500</v>
      </c>
      <c r="J11" s="2">
        <v>18000</v>
      </c>
      <c r="K11" s="2">
        <v>7500</v>
      </c>
      <c r="L11" s="4">
        <v>0</v>
      </c>
      <c r="M11" s="2" t="s">
        <v>18</v>
      </c>
    </row>
    <row r="12" spans="1:13" x14ac:dyDescent="0.3">
      <c r="A12" s="2" t="s">
        <v>46</v>
      </c>
      <c r="B12" s="3">
        <v>46028</v>
      </c>
      <c r="C12" s="2" t="s">
        <v>24</v>
      </c>
      <c r="D12" s="2" t="s">
        <v>25</v>
      </c>
      <c r="E12" s="2" t="s">
        <v>16</v>
      </c>
      <c r="F12" s="2" t="s">
        <v>47</v>
      </c>
      <c r="G12" s="2">
        <v>2</v>
      </c>
      <c r="H12" s="2">
        <v>43000</v>
      </c>
      <c r="I12" s="2">
        <v>86000</v>
      </c>
      <c r="J12" s="2">
        <v>72000</v>
      </c>
      <c r="K12" s="2">
        <v>14000</v>
      </c>
      <c r="L12" s="4">
        <v>0.05</v>
      </c>
      <c r="M12" s="2" t="s">
        <v>18</v>
      </c>
    </row>
    <row r="13" spans="1:13" x14ac:dyDescent="0.3">
      <c r="A13" s="2" t="s">
        <v>48</v>
      </c>
      <c r="B13" s="3">
        <v>46029</v>
      </c>
      <c r="C13" s="2" t="s">
        <v>29</v>
      </c>
      <c r="D13" s="2" t="s">
        <v>30</v>
      </c>
      <c r="E13" s="2" t="s">
        <v>39</v>
      </c>
      <c r="F13" s="2" t="s">
        <v>49</v>
      </c>
      <c r="G13" s="2">
        <v>2</v>
      </c>
      <c r="H13" s="2">
        <v>16000</v>
      </c>
      <c r="I13" s="2">
        <v>32000</v>
      </c>
      <c r="J13" s="2">
        <v>27000</v>
      </c>
      <c r="K13" s="2">
        <v>5000</v>
      </c>
      <c r="L13" s="2" t="s">
        <v>33</v>
      </c>
      <c r="M13" s="2"/>
    </row>
    <row r="14" spans="1:13" x14ac:dyDescent="0.3">
      <c r="A14" s="2" t="s">
        <v>50</v>
      </c>
      <c r="B14" s="3">
        <v>46030</v>
      </c>
      <c r="C14" s="2" t="s">
        <v>14</v>
      </c>
      <c r="D14" s="2" t="s">
        <v>15</v>
      </c>
      <c r="E14" s="2" t="s">
        <v>26</v>
      </c>
      <c r="F14" s="2" t="s">
        <v>17</v>
      </c>
      <c r="G14" s="2">
        <v>6</v>
      </c>
      <c r="H14" s="2">
        <v>15000</v>
      </c>
      <c r="I14" s="2">
        <v>90000</v>
      </c>
      <c r="J14" s="2">
        <v>73000</v>
      </c>
      <c r="K14" s="2">
        <v>17000</v>
      </c>
      <c r="L14" s="4">
        <v>0.1</v>
      </c>
      <c r="M14" s="2" t="s">
        <v>18</v>
      </c>
    </row>
    <row r="15" spans="1:13" x14ac:dyDescent="0.3">
      <c r="A15" s="2" t="s">
        <v>51</v>
      </c>
      <c r="B15" s="3">
        <v>46030</v>
      </c>
      <c r="C15" s="2" t="s">
        <v>20</v>
      </c>
      <c r="D15" s="2" t="s">
        <v>21</v>
      </c>
      <c r="E15" s="2" t="s">
        <v>31</v>
      </c>
      <c r="F15" s="2" t="s">
        <v>32</v>
      </c>
      <c r="G15" s="2">
        <v>12</v>
      </c>
      <c r="H15" s="2">
        <v>2400</v>
      </c>
      <c r="I15" s="2">
        <v>28800</v>
      </c>
      <c r="J15" s="2">
        <v>20500</v>
      </c>
      <c r="K15" s="2">
        <v>8300</v>
      </c>
      <c r="L15" s="4">
        <v>0</v>
      </c>
      <c r="M15" s="2" t="s">
        <v>18</v>
      </c>
    </row>
    <row r="16" spans="1:13" x14ac:dyDescent="0.3">
      <c r="A16" s="2" t="s">
        <v>52</v>
      </c>
      <c r="B16" s="3">
        <v>46031</v>
      </c>
      <c r="C16" s="2" t="s">
        <v>24</v>
      </c>
      <c r="D16" s="2" t="s">
        <v>25</v>
      </c>
      <c r="E16" s="2" t="s">
        <v>35</v>
      </c>
      <c r="F16" s="2" t="s">
        <v>22</v>
      </c>
      <c r="G16" s="2">
        <v>25</v>
      </c>
      <c r="H16" s="2">
        <v>950</v>
      </c>
      <c r="I16" s="2">
        <v>23750</v>
      </c>
      <c r="J16" s="2">
        <v>17000</v>
      </c>
      <c r="K16" s="2">
        <v>6750</v>
      </c>
      <c r="L16" s="4">
        <v>0.05</v>
      </c>
      <c r="M16"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0D71-176C-4FB9-B849-F445F18744C3}">
  <dimension ref="A1:M25"/>
  <sheetViews>
    <sheetView zoomScale="130" zoomScaleNormal="130" workbookViewId="0">
      <selection sqref="A1:M25"/>
    </sheetView>
  </sheetViews>
  <sheetFormatPr defaultRowHeight="14.4" x14ac:dyDescent="0.3"/>
  <cols>
    <col min="1" max="1" width="9.77734375" customWidth="1"/>
    <col min="2" max="2" width="9.109375" bestFit="1" customWidth="1"/>
    <col min="3" max="3" width="8.109375" customWidth="1"/>
    <col min="4" max="4" width="12.77734375" customWidth="1"/>
    <col min="5" max="5" width="9.77734375" customWidth="1"/>
    <col min="6" max="6" width="8.77734375" customWidth="1"/>
    <col min="7" max="7" width="6.6640625" customWidth="1"/>
    <col min="8" max="8" width="10.88671875" customWidth="1"/>
    <col min="9" max="10" width="7.33203125" bestFit="1" customWidth="1"/>
    <col min="11" max="11" width="6.77734375" customWidth="1"/>
    <col min="12" max="12" width="9.88671875" customWidth="1"/>
    <col min="13" max="13" width="9.33203125" bestFit="1" customWidth="1"/>
  </cols>
  <sheetData>
    <row r="1" spans="1:13" x14ac:dyDescent="0.3">
      <c r="A1" s="9" t="s">
        <v>0</v>
      </c>
      <c r="B1" s="10" t="s">
        <v>1</v>
      </c>
      <c r="C1" s="10" t="s">
        <v>2</v>
      </c>
      <c r="D1" s="10" t="s">
        <v>3</v>
      </c>
      <c r="E1" s="10" t="s">
        <v>4</v>
      </c>
      <c r="F1" s="10" t="s">
        <v>5</v>
      </c>
      <c r="G1" s="10" t="s">
        <v>6</v>
      </c>
      <c r="H1" s="10" t="s">
        <v>7</v>
      </c>
      <c r="I1" s="10" t="s">
        <v>8</v>
      </c>
      <c r="J1" s="10" t="s">
        <v>9</v>
      </c>
      <c r="K1" s="10" t="s">
        <v>10</v>
      </c>
      <c r="L1" s="10" t="s">
        <v>11</v>
      </c>
      <c r="M1" s="11" t="s">
        <v>12</v>
      </c>
    </row>
    <row r="2" spans="1:13" x14ac:dyDescent="0.3">
      <c r="A2" s="12" t="s">
        <v>13</v>
      </c>
      <c r="B2" s="13">
        <v>46023</v>
      </c>
      <c r="C2" s="14" t="s">
        <v>14</v>
      </c>
      <c r="D2" s="14" t="s">
        <v>15</v>
      </c>
      <c r="E2" s="14" t="s">
        <v>16</v>
      </c>
      <c r="F2" s="14" t="s">
        <v>17</v>
      </c>
      <c r="G2" s="14">
        <v>2</v>
      </c>
      <c r="H2" s="14">
        <v>50000</v>
      </c>
      <c r="I2" s="14">
        <v>100000</v>
      </c>
      <c r="J2" s="14">
        <v>86000</v>
      </c>
      <c r="K2" s="14">
        <v>14000</v>
      </c>
      <c r="L2" s="15">
        <v>0.05</v>
      </c>
      <c r="M2" s="16" t="s">
        <v>18</v>
      </c>
    </row>
    <row r="3" spans="1:13" x14ac:dyDescent="0.3">
      <c r="A3" s="12" t="s">
        <v>19</v>
      </c>
      <c r="B3" s="13">
        <v>46024</v>
      </c>
      <c r="C3" s="14" t="s">
        <v>20</v>
      </c>
      <c r="D3" s="14" t="s">
        <v>21</v>
      </c>
      <c r="E3" s="14" t="s">
        <v>16</v>
      </c>
      <c r="F3" s="14" t="s">
        <v>22</v>
      </c>
      <c r="G3" s="14">
        <v>1</v>
      </c>
      <c r="H3" s="14">
        <v>55000</v>
      </c>
      <c r="I3" s="14">
        <v>55000</v>
      </c>
      <c r="J3" s="14">
        <v>47000</v>
      </c>
      <c r="K3" s="14">
        <v>8000</v>
      </c>
      <c r="L3" s="15">
        <v>0.1</v>
      </c>
      <c r="M3" s="16" t="s">
        <v>18</v>
      </c>
    </row>
    <row r="4" spans="1:13" x14ac:dyDescent="0.3">
      <c r="A4" s="12" t="s">
        <v>23</v>
      </c>
      <c r="B4" s="13">
        <v>46024</v>
      </c>
      <c r="C4" s="14" t="s">
        <v>24</v>
      </c>
      <c r="D4" s="14" t="s">
        <v>25</v>
      </c>
      <c r="E4" s="14" t="s">
        <v>26</v>
      </c>
      <c r="F4" s="14" t="s">
        <v>27</v>
      </c>
      <c r="G4" s="14">
        <v>4</v>
      </c>
      <c r="H4" s="14">
        <v>12000</v>
      </c>
      <c r="I4" s="14">
        <v>48000</v>
      </c>
      <c r="J4" s="14">
        <v>39000</v>
      </c>
      <c r="K4" s="14">
        <v>9000</v>
      </c>
      <c r="L4" s="15">
        <v>0</v>
      </c>
      <c r="M4" s="16" t="s">
        <v>18</v>
      </c>
    </row>
    <row r="5" spans="1:13" x14ac:dyDescent="0.3">
      <c r="A5" s="12" t="s">
        <v>28</v>
      </c>
      <c r="B5" s="13">
        <v>46025</v>
      </c>
      <c r="C5" s="14" t="s">
        <v>29</v>
      </c>
      <c r="D5" s="14" t="s">
        <v>30</v>
      </c>
      <c r="E5" s="14" t="s">
        <v>31</v>
      </c>
      <c r="F5" s="14" t="s">
        <v>32</v>
      </c>
      <c r="G5" s="14">
        <v>10</v>
      </c>
      <c r="H5" s="14">
        <v>2500</v>
      </c>
      <c r="I5" s="14">
        <v>25000</v>
      </c>
      <c r="J5" s="14">
        <v>18000</v>
      </c>
      <c r="K5" s="14">
        <v>7000</v>
      </c>
      <c r="L5" s="15">
        <v>0.15</v>
      </c>
      <c r="M5" s="16" t="s">
        <v>33</v>
      </c>
    </row>
    <row r="6" spans="1:13" x14ac:dyDescent="0.3">
      <c r="A6" s="12" t="s">
        <v>34</v>
      </c>
      <c r="B6" s="13">
        <v>46025</v>
      </c>
      <c r="C6" s="14" t="s">
        <v>14</v>
      </c>
      <c r="D6" s="14" t="s">
        <v>15</v>
      </c>
      <c r="E6" s="14" t="s">
        <v>35</v>
      </c>
      <c r="F6" s="14" t="s">
        <v>22</v>
      </c>
      <c r="G6" s="14">
        <v>20</v>
      </c>
      <c r="H6" s="14">
        <v>900</v>
      </c>
      <c r="I6" s="14">
        <v>18000</v>
      </c>
      <c r="J6" s="14">
        <v>13000</v>
      </c>
      <c r="K6" s="14">
        <v>5000</v>
      </c>
      <c r="L6" s="15">
        <v>0.05</v>
      </c>
      <c r="M6" s="16" t="s">
        <v>18</v>
      </c>
    </row>
    <row r="7" spans="1:13" x14ac:dyDescent="0.3">
      <c r="A7" s="12" t="s">
        <v>36</v>
      </c>
      <c r="B7" s="13">
        <v>46026</v>
      </c>
      <c r="C7" s="14" t="s">
        <v>20</v>
      </c>
      <c r="D7" s="14" t="s">
        <v>21</v>
      </c>
      <c r="E7" s="14" t="s">
        <v>16</v>
      </c>
      <c r="F7" s="14" t="s">
        <v>37</v>
      </c>
      <c r="G7" s="14">
        <v>3</v>
      </c>
      <c r="H7" s="14">
        <v>48000</v>
      </c>
      <c r="I7" s="14">
        <v>144000</v>
      </c>
      <c r="J7" s="14">
        <v>120000</v>
      </c>
      <c r="K7" s="14">
        <v>24000</v>
      </c>
      <c r="L7" s="15">
        <v>0.08</v>
      </c>
      <c r="M7" s="16" t="s">
        <v>18</v>
      </c>
    </row>
    <row r="8" spans="1:13" x14ac:dyDescent="0.3">
      <c r="A8" s="12" t="s">
        <v>38</v>
      </c>
      <c r="B8" s="13">
        <v>46026</v>
      </c>
      <c r="C8" s="14" t="s">
        <v>24</v>
      </c>
      <c r="D8" s="14" t="s">
        <v>25</v>
      </c>
      <c r="E8" s="14" t="s">
        <v>39</v>
      </c>
      <c r="F8" s="14" t="s">
        <v>40</v>
      </c>
      <c r="G8" s="14">
        <v>2</v>
      </c>
      <c r="H8" s="14">
        <v>18000</v>
      </c>
      <c r="I8" s="14">
        <v>36000</v>
      </c>
      <c r="J8" s="14">
        <v>29000</v>
      </c>
      <c r="K8" s="14">
        <v>7000</v>
      </c>
      <c r="L8" s="15">
        <v>0.12</v>
      </c>
      <c r="M8" s="16" t="s">
        <v>41</v>
      </c>
    </row>
    <row r="9" spans="1:13" x14ac:dyDescent="0.3">
      <c r="A9" s="12" t="s">
        <v>42</v>
      </c>
      <c r="B9" s="13">
        <v>46027</v>
      </c>
      <c r="C9" s="14" t="s">
        <v>29</v>
      </c>
      <c r="D9" s="14" t="s">
        <v>30</v>
      </c>
      <c r="E9" s="14" t="s">
        <v>26</v>
      </c>
      <c r="F9" s="14" t="s">
        <v>43</v>
      </c>
      <c r="G9" s="14">
        <v>5</v>
      </c>
      <c r="H9" s="14">
        <v>14000</v>
      </c>
      <c r="I9" s="14">
        <v>70000</v>
      </c>
      <c r="J9" s="14">
        <v>56000</v>
      </c>
      <c r="K9" s="14">
        <v>14000</v>
      </c>
      <c r="L9" s="15">
        <v>0.1</v>
      </c>
      <c r="M9" s="16" t="s">
        <v>18</v>
      </c>
    </row>
    <row r="10" spans="1:13" x14ac:dyDescent="0.3">
      <c r="A10" s="12" t="s">
        <v>44</v>
      </c>
      <c r="B10" s="13">
        <v>46027</v>
      </c>
      <c r="C10" s="14" t="s">
        <v>14</v>
      </c>
      <c r="D10" s="14" t="s">
        <v>15</v>
      </c>
      <c r="E10" s="14" t="s">
        <v>31</v>
      </c>
      <c r="F10" s="14" t="s">
        <v>22</v>
      </c>
      <c r="G10" s="14">
        <v>15</v>
      </c>
      <c r="H10" s="14">
        <v>2300</v>
      </c>
      <c r="I10" s="14">
        <v>34500</v>
      </c>
      <c r="J10" s="14">
        <v>25000</v>
      </c>
      <c r="K10" s="14">
        <v>9500</v>
      </c>
      <c r="L10" s="15">
        <v>0.05</v>
      </c>
      <c r="M10" s="16" t="s">
        <v>18</v>
      </c>
    </row>
    <row r="11" spans="1:13" x14ac:dyDescent="0.3">
      <c r="A11" s="12" t="s">
        <v>45</v>
      </c>
      <c r="B11" s="13">
        <v>46028</v>
      </c>
      <c r="C11" s="14" t="s">
        <v>20</v>
      </c>
      <c r="D11" s="14" t="s">
        <v>21</v>
      </c>
      <c r="E11" s="14" t="s">
        <v>35</v>
      </c>
      <c r="F11" s="14" t="s">
        <v>17</v>
      </c>
      <c r="G11" s="14">
        <v>30</v>
      </c>
      <c r="H11" s="14">
        <v>850</v>
      </c>
      <c r="I11" s="14">
        <v>25500</v>
      </c>
      <c r="J11" s="14">
        <v>18000</v>
      </c>
      <c r="K11" s="14">
        <v>7500</v>
      </c>
      <c r="L11" s="15">
        <v>0</v>
      </c>
      <c r="M11" s="16" t="s">
        <v>18</v>
      </c>
    </row>
    <row r="12" spans="1:13" x14ac:dyDescent="0.3">
      <c r="A12" s="12" t="s">
        <v>46</v>
      </c>
      <c r="B12" s="13">
        <v>46028</v>
      </c>
      <c r="C12" s="14" t="s">
        <v>24</v>
      </c>
      <c r="D12" s="14" t="s">
        <v>25</v>
      </c>
      <c r="E12" s="14" t="s">
        <v>16</v>
      </c>
      <c r="F12" s="14" t="s">
        <v>47</v>
      </c>
      <c r="G12" s="14">
        <v>2</v>
      </c>
      <c r="H12" s="14">
        <v>43000</v>
      </c>
      <c r="I12" s="14">
        <v>86000</v>
      </c>
      <c r="J12" s="14">
        <v>72000</v>
      </c>
      <c r="K12" s="14">
        <v>14000</v>
      </c>
      <c r="L12" s="15">
        <v>0.05</v>
      </c>
      <c r="M12" s="16" t="s">
        <v>18</v>
      </c>
    </row>
    <row r="13" spans="1:13" x14ac:dyDescent="0.3">
      <c r="A13" s="12" t="s">
        <v>48</v>
      </c>
      <c r="B13" s="13">
        <v>46029</v>
      </c>
      <c r="C13" s="14" t="s">
        <v>29</v>
      </c>
      <c r="D13" s="14" t="s">
        <v>30</v>
      </c>
      <c r="E13" s="14" t="s">
        <v>39</v>
      </c>
      <c r="F13" s="14" t="s">
        <v>49</v>
      </c>
      <c r="G13" s="14">
        <v>2</v>
      </c>
      <c r="H13" s="14">
        <v>16000</v>
      </c>
      <c r="I13" s="14">
        <v>32000</v>
      </c>
      <c r="J13" s="14">
        <v>27000</v>
      </c>
      <c r="K13" s="14">
        <v>5000</v>
      </c>
      <c r="L13" s="14" t="s">
        <v>33</v>
      </c>
      <c r="M13" s="16"/>
    </row>
    <row r="14" spans="1:13" x14ac:dyDescent="0.3">
      <c r="A14" s="12" t="s">
        <v>50</v>
      </c>
      <c r="B14" s="13">
        <v>46030</v>
      </c>
      <c r="C14" s="14" t="s">
        <v>14</v>
      </c>
      <c r="D14" s="14" t="s">
        <v>15</v>
      </c>
      <c r="E14" s="14" t="s">
        <v>26</v>
      </c>
      <c r="F14" s="14" t="s">
        <v>17</v>
      </c>
      <c r="G14" s="14">
        <v>6</v>
      </c>
      <c r="H14" s="14">
        <v>15000</v>
      </c>
      <c r="I14" s="14">
        <v>90000</v>
      </c>
      <c r="J14" s="14">
        <v>73000</v>
      </c>
      <c r="K14" s="14">
        <v>17000</v>
      </c>
      <c r="L14" s="15">
        <v>0.1</v>
      </c>
      <c r="M14" s="16" t="s">
        <v>18</v>
      </c>
    </row>
    <row r="15" spans="1:13" x14ac:dyDescent="0.3">
      <c r="A15" s="12" t="s">
        <v>51</v>
      </c>
      <c r="B15" s="13">
        <v>46030</v>
      </c>
      <c r="C15" s="14" t="s">
        <v>20</v>
      </c>
      <c r="D15" s="14" t="s">
        <v>21</v>
      </c>
      <c r="E15" s="14" t="s">
        <v>31</v>
      </c>
      <c r="F15" s="14" t="s">
        <v>32</v>
      </c>
      <c r="G15" s="14">
        <v>12</v>
      </c>
      <c r="H15" s="14">
        <v>2400</v>
      </c>
      <c r="I15" s="14">
        <v>28800</v>
      </c>
      <c r="J15" s="14">
        <v>20500</v>
      </c>
      <c r="K15" s="14">
        <v>8300</v>
      </c>
      <c r="L15" s="15">
        <v>0</v>
      </c>
      <c r="M15" s="16" t="s">
        <v>18</v>
      </c>
    </row>
    <row r="16" spans="1:13" x14ac:dyDescent="0.3">
      <c r="A16" s="17" t="s">
        <v>52</v>
      </c>
      <c r="B16" s="18">
        <v>46031</v>
      </c>
      <c r="C16" s="19" t="s">
        <v>24</v>
      </c>
      <c r="D16" s="19" t="s">
        <v>25</v>
      </c>
      <c r="E16" s="19" t="s">
        <v>35</v>
      </c>
      <c r="F16" s="19" t="s">
        <v>22</v>
      </c>
      <c r="G16" s="19">
        <v>25</v>
      </c>
      <c r="H16" s="19">
        <v>950</v>
      </c>
      <c r="I16" s="19">
        <v>23750</v>
      </c>
      <c r="J16" s="19">
        <v>17000</v>
      </c>
      <c r="K16" s="19">
        <v>6750</v>
      </c>
      <c r="L16" s="20">
        <v>0.05</v>
      </c>
      <c r="M16" s="21" t="s">
        <v>18</v>
      </c>
    </row>
    <row r="18" spans="1:6" x14ac:dyDescent="0.3">
      <c r="A18" s="6" t="s">
        <v>53</v>
      </c>
      <c r="B18" s="6"/>
      <c r="C18" s="6"/>
      <c r="D18" s="6"/>
      <c r="E18" s="7" t="s">
        <v>55</v>
      </c>
      <c r="F18" s="7"/>
    </row>
    <row r="19" spans="1:6" x14ac:dyDescent="0.3">
      <c r="A19" s="5" t="s">
        <v>54</v>
      </c>
      <c r="B19" s="6"/>
      <c r="C19" s="6"/>
      <c r="D19" s="6"/>
      <c r="E19" s="7"/>
      <c r="F19" s="7"/>
    </row>
    <row r="20" spans="1:6" x14ac:dyDescent="0.3">
      <c r="A20" s="6"/>
      <c r="B20" s="6"/>
      <c r="C20" s="6"/>
      <c r="D20" s="6"/>
      <c r="E20" s="7"/>
      <c r="F20" s="7"/>
    </row>
    <row r="21" spans="1:6" x14ac:dyDescent="0.3">
      <c r="A21" s="6"/>
      <c r="B21" s="6"/>
      <c r="C21" s="6"/>
      <c r="D21" s="6"/>
      <c r="E21" s="8">
        <f>SUM(I2:I16)</f>
        <v>816550</v>
      </c>
      <c r="F21" s="8"/>
    </row>
    <row r="22" spans="1:6" x14ac:dyDescent="0.3">
      <c r="A22" s="6"/>
      <c r="B22" s="6"/>
      <c r="C22" s="6"/>
      <c r="D22" s="6"/>
      <c r="E22" s="8">
        <f>AVERAGE(I2:I16)</f>
        <v>54436.666666666664</v>
      </c>
      <c r="F22" s="8"/>
    </row>
    <row r="23" spans="1:6" x14ac:dyDescent="0.3">
      <c r="A23" s="6"/>
      <c r="B23" s="6"/>
      <c r="C23" s="6"/>
      <c r="D23" s="6"/>
      <c r="E23" s="8">
        <f>MAX(I2:I16)</f>
        <v>144000</v>
      </c>
      <c r="F23" s="8"/>
    </row>
    <row r="24" spans="1:6" x14ac:dyDescent="0.3">
      <c r="A24" s="6"/>
      <c r="B24" s="6"/>
      <c r="C24" s="6"/>
      <c r="D24" s="6"/>
      <c r="E24" s="8">
        <f>MIN(I2:I16)</f>
        <v>18000</v>
      </c>
      <c r="F24" s="8"/>
    </row>
    <row r="25" spans="1:6" x14ac:dyDescent="0.3">
      <c r="A25" s="6"/>
      <c r="B25" s="6"/>
      <c r="C25" s="6"/>
      <c r="D25" s="6"/>
      <c r="E25" s="8">
        <f>COUNT(I2:I16)</f>
        <v>15</v>
      </c>
      <c r="F25" s="8"/>
    </row>
  </sheetData>
  <mergeCells count="8">
    <mergeCell ref="A18:D18"/>
    <mergeCell ref="A19:D25"/>
    <mergeCell ref="E18:F20"/>
    <mergeCell ref="E21:F21"/>
    <mergeCell ref="E22:F22"/>
    <mergeCell ref="E23:F23"/>
    <mergeCell ref="E24:F24"/>
    <mergeCell ref="E25:F25"/>
  </mergeCells>
  <pageMargins left="0.25" right="0.25" top="0.75" bottom="0.75" header="0.3" footer="0.3"/>
  <pageSetup paperSize="9"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BE84-253C-46C7-967A-5FBC040E20C7}">
  <dimension ref="A1:N28"/>
  <sheetViews>
    <sheetView zoomScale="145" zoomScaleNormal="145" workbookViewId="0">
      <selection sqref="A1:N26"/>
    </sheetView>
  </sheetViews>
  <sheetFormatPr defaultRowHeight="14.4" x14ac:dyDescent="0.3"/>
  <cols>
    <col min="1" max="1" width="9.44140625" customWidth="1"/>
    <col min="2" max="2" width="9" bestFit="1" customWidth="1"/>
    <col min="3" max="3" width="7.77734375" customWidth="1"/>
    <col min="4" max="4" width="12.5546875" customWidth="1"/>
    <col min="5" max="5" width="9.44140625" customWidth="1"/>
    <col min="6" max="6" width="8.44140625" customWidth="1"/>
    <col min="7" max="7" width="6.44140625" customWidth="1"/>
    <col min="8" max="8" width="10.5546875" customWidth="1"/>
    <col min="9" max="10" width="7.21875" bestFit="1" customWidth="1"/>
    <col min="11" max="11" width="6.5546875" customWidth="1"/>
    <col min="12" max="12" width="9.44140625" customWidth="1"/>
    <col min="13" max="13" width="9.109375" bestFit="1" customWidth="1"/>
  </cols>
  <sheetData>
    <row r="1" spans="1:13" x14ac:dyDescent="0.3">
      <c r="A1" s="9" t="s">
        <v>0</v>
      </c>
      <c r="B1" s="10" t="s">
        <v>1</v>
      </c>
      <c r="C1" s="10" t="s">
        <v>2</v>
      </c>
      <c r="D1" s="10" t="s">
        <v>3</v>
      </c>
      <c r="E1" s="10" t="s">
        <v>4</v>
      </c>
      <c r="F1" s="10" t="s">
        <v>5</v>
      </c>
      <c r="G1" s="10" t="s">
        <v>6</v>
      </c>
      <c r="H1" s="10" t="s">
        <v>7</v>
      </c>
      <c r="I1" s="10" t="s">
        <v>8</v>
      </c>
      <c r="J1" s="10" t="s">
        <v>9</v>
      </c>
      <c r="K1" s="10" t="s">
        <v>10</v>
      </c>
      <c r="L1" s="10" t="s">
        <v>11</v>
      </c>
      <c r="M1" s="11" t="s">
        <v>12</v>
      </c>
    </row>
    <row r="2" spans="1:13" x14ac:dyDescent="0.3">
      <c r="A2" s="12" t="s">
        <v>13</v>
      </c>
      <c r="B2" s="13">
        <v>46023</v>
      </c>
      <c r="C2" s="14" t="s">
        <v>14</v>
      </c>
      <c r="D2" s="14" t="s">
        <v>15</v>
      </c>
      <c r="E2" s="14" t="s">
        <v>16</v>
      </c>
      <c r="F2" s="14" t="s">
        <v>17</v>
      </c>
      <c r="G2" s="14">
        <v>2</v>
      </c>
      <c r="H2" s="14">
        <v>50000</v>
      </c>
      <c r="I2" s="14">
        <v>100000</v>
      </c>
      <c r="J2" s="14">
        <v>86000</v>
      </c>
      <c r="K2" s="14">
        <v>14000</v>
      </c>
      <c r="L2" s="15">
        <v>0.05</v>
      </c>
      <c r="M2" s="16" t="s">
        <v>18</v>
      </c>
    </row>
    <row r="3" spans="1:13" x14ac:dyDescent="0.3">
      <c r="A3" s="12" t="s">
        <v>19</v>
      </c>
      <c r="B3" s="13">
        <v>46024</v>
      </c>
      <c r="C3" s="14" t="s">
        <v>20</v>
      </c>
      <c r="D3" s="14" t="s">
        <v>21</v>
      </c>
      <c r="E3" s="14" t="s">
        <v>16</v>
      </c>
      <c r="F3" s="14" t="s">
        <v>22</v>
      </c>
      <c r="G3" s="14">
        <v>1</v>
      </c>
      <c r="H3" s="14">
        <v>55000</v>
      </c>
      <c r="I3" s="14">
        <v>55000</v>
      </c>
      <c r="J3" s="14">
        <v>47000</v>
      </c>
      <c r="K3" s="14">
        <v>8000</v>
      </c>
      <c r="L3" s="15">
        <v>0.1</v>
      </c>
      <c r="M3" s="16" t="s">
        <v>18</v>
      </c>
    </row>
    <row r="4" spans="1:13" x14ac:dyDescent="0.3">
      <c r="A4" s="12" t="s">
        <v>23</v>
      </c>
      <c r="B4" s="13">
        <v>46024</v>
      </c>
      <c r="C4" s="14" t="s">
        <v>24</v>
      </c>
      <c r="D4" s="14" t="s">
        <v>25</v>
      </c>
      <c r="E4" s="14" t="s">
        <v>26</v>
      </c>
      <c r="F4" s="14" t="s">
        <v>27</v>
      </c>
      <c r="G4" s="14">
        <v>4</v>
      </c>
      <c r="H4" s="14">
        <v>12000</v>
      </c>
      <c r="I4" s="14">
        <v>48000</v>
      </c>
      <c r="J4" s="14">
        <v>39000</v>
      </c>
      <c r="K4" s="14">
        <v>9000</v>
      </c>
      <c r="L4" s="15">
        <v>0</v>
      </c>
      <c r="M4" s="16" t="s">
        <v>18</v>
      </c>
    </row>
    <row r="5" spans="1:13" x14ac:dyDescent="0.3">
      <c r="A5" s="12" t="s">
        <v>28</v>
      </c>
      <c r="B5" s="13">
        <v>46025</v>
      </c>
      <c r="C5" s="14" t="s">
        <v>29</v>
      </c>
      <c r="D5" s="14" t="s">
        <v>30</v>
      </c>
      <c r="E5" s="14" t="s">
        <v>31</v>
      </c>
      <c r="F5" s="14"/>
      <c r="G5" s="14">
        <v>10</v>
      </c>
      <c r="H5" s="14">
        <v>2500</v>
      </c>
      <c r="I5" s="14">
        <v>25000</v>
      </c>
      <c r="J5" s="14">
        <v>18000</v>
      </c>
      <c r="K5" s="14">
        <v>7000</v>
      </c>
      <c r="L5" s="15">
        <v>0.15</v>
      </c>
      <c r="M5" s="16" t="s">
        <v>33</v>
      </c>
    </row>
    <row r="6" spans="1:13" x14ac:dyDescent="0.3">
      <c r="A6" s="12" t="s">
        <v>34</v>
      </c>
      <c r="B6" s="13">
        <v>46025</v>
      </c>
      <c r="C6" s="14" t="s">
        <v>14</v>
      </c>
      <c r="D6" s="14" t="s">
        <v>15</v>
      </c>
      <c r="E6" s="14" t="s">
        <v>35</v>
      </c>
      <c r="F6" s="14" t="s">
        <v>22</v>
      </c>
      <c r="G6" s="14">
        <v>20</v>
      </c>
      <c r="H6" s="14">
        <v>900</v>
      </c>
      <c r="I6" s="14">
        <v>18000</v>
      </c>
      <c r="J6" s="14">
        <v>13000</v>
      </c>
      <c r="K6" s="14">
        <v>5000</v>
      </c>
      <c r="L6" s="15">
        <v>0.05</v>
      </c>
      <c r="M6" s="16" t="s">
        <v>18</v>
      </c>
    </row>
    <row r="7" spans="1:13" x14ac:dyDescent="0.3">
      <c r="A7" s="12" t="s">
        <v>36</v>
      </c>
      <c r="B7" s="13">
        <v>46026</v>
      </c>
      <c r="C7" s="14" t="s">
        <v>20</v>
      </c>
      <c r="D7" s="14" t="s">
        <v>21</v>
      </c>
      <c r="E7" s="14" t="s">
        <v>16</v>
      </c>
      <c r="F7" s="14" t="s">
        <v>37</v>
      </c>
      <c r="G7" s="14">
        <v>3</v>
      </c>
      <c r="H7" s="14">
        <v>48000</v>
      </c>
      <c r="I7" s="14">
        <v>144000</v>
      </c>
      <c r="J7" s="14">
        <v>120000</v>
      </c>
      <c r="K7" s="14">
        <v>24000</v>
      </c>
      <c r="L7" s="15">
        <v>0.08</v>
      </c>
      <c r="M7" s="16" t="s">
        <v>18</v>
      </c>
    </row>
    <row r="8" spans="1:13" x14ac:dyDescent="0.3">
      <c r="A8" s="12" t="s">
        <v>38</v>
      </c>
      <c r="B8" s="13">
        <v>46026</v>
      </c>
      <c r="C8" s="14" t="s">
        <v>24</v>
      </c>
      <c r="D8" s="14" t="s">
        <v>25</v>
      </c>
      <c r="E8" s="14" t="s">
        <v>39</v>
      </c>
      <c r="F8" s="14" t="s">
        <v>40</v>
      </c>
      <c r="G8" s="14">
        <v>2</v>
      </c>
      <c r="H8" s="14">
        <v>18000</v>
      </c>
      <c r="I8" s="14">
        <v>36000</v>
      </c>
      <c r="J8" s="14">
        <v>29000</v>
      </c>
      <c r="K8" s="14">
        <v>7000</v>
      </c>
      <c r="L8" s="15">
        <v>0.12</v>
      </c>
      <c r="M8" s="16" t="s">
        <v>41</v>
      </c>
    </row>
    <row r="9" spans="1:13" x14ac:dyDescent="0.3">
      <c r="A9" s="12" t="s">
        <v>42</v>
      </c>
      <c r="B9" s="13">
        <v>46027</v>
      </c>
      <c r="C9" s="14" t="s">
        <v>29</v>
      </c>
      <c r="D9" s="14" t="s">
        <v>30</v>
      </c>
      <c r="E9" s="14" t="s">
        <v>26</v>
      </c>
      <c r="F9" s="14" t="s">
        <v>43</v>
      </c>
      <c r="G9" s="14">
        <v>5</v>
      </c>
      <c r="H9" s="14">
        <v>14000</v>
      </c>
      <c r="I9" s="14">
        <v>70000</v>
      </c>
      <c r="J9" s="14">
        <v>56000</v>
      </c>
      <c r="K9" s="14">
        <v>14000</v>
      </c>
      <c r="L9" s="15">
        <v>0.1</v>
      </c>
      <c r="M9" s="16" t="s">
        <v>18</v>
      </c>
    </row>
    <row r="10" spans="1:13" x14ac:dyDescent="0.3">
      <c r="A10" s="12" t="s">
        <v>44</v>
      </c>
      <c r="B10" s="13">
        <v>46027</v>
      </c>
      <c r="C10" s="14" t="s">
        <v>14</v>
      </c>
      <c r="D10" s="14" t="s">
        <v>15</v>
      </c>
      <c r="E10" s="14" t="s">
        <v>31</v>
      </c>
      <c r="F10" s="14" t="s">
        <v>22</v>
      </c>
      <c r="G10" s="14">
        <v>15</v>
      </c>
      <c r="H10" s="14">
        <v>2300</v>
      </c>
      <c r="I10" s="14">
        <v>34500</v>
      </c>
      <c r="J10" s="14">
        <v>25000</v>
      </c>
      <c r="K10" s="14">
        <v>9500</v>
      </c>
      <c r="L10" s="15">
        <v>0.05</v>
      </c>
      <c r="M10" s="16" t="s">
        <v>18</v>
      </c>
    </row>
    <row r="11" spans="1:13" x14ac:dyDescent="0.3">
      <c r="A11" s="12" t="s">
        <v>45</v>
      </c>
      <c r="B11" s="13">
        <v>46028</v>
      </c>
      <c r="C11" s="14" t="s">
        <v>20</v>
      </c>
      <c r="D11" s="14" t="s">
        <v>21</v>
      </c>
      <c r="E11" s="14" t="s">
        <v>35</v>
      </c>
      <c r="F11" s="14" t="s">
        <v>17</v>
      </c>
      <c r="G11" s="14">
        <v>30</v>
      </c>
      <c r="H11" s="14">
        <v>850</v>
      </c>
      <c r="I11" s="14">
        <v>24400</v>
      </c>
      <c r="J11" s="14">
        <v>18000</v>
      </c>
      <c r="K11" s="14">
        <v>7500</v>
      </c>
      <c r="L11" s="15">
        <v>0</v>
      </c>
      <c r="M11" s="16" t="s">
        <v>18</v>
      </c>
    </row>
    <row r="12" spans="1:13" x14ac:dyDescent="0.3">
      <c r="A12" s="12" t="s">
        <v>46</v>
      </c>
      <c r="B12" s="13">
        <v>46028</v>
      </c>
      <c r="C12" s="14" t="s">
        <v>24</v>
      </c>
      <c r="D12" s="14" t="s">
        <v>25</v>
      </c>
      <c r="E12" s="14" t="s">
        <v>16</v>
      </c>
      <c r="F12" s="14" t="s">
        <v>47</v>
      </c>
      <c r="G12" s="14">
        <v>2</v>
      </c>
      <c r="H12" s="14">
        <v>43000</v>
      </c>
      <c r="I12" s="14">
        <v>86000</v>
      </c>
      <c r="J12" s="14">
        <v>72000</v>
      </c>
      <c r="K12" s="14">
        <v>14000</v>
      </c>
      <c r="L12" s="15">
        <v>0.05</v>
      </c>
      <c r="M12" s="16" t="s">
        <v>18</v>
      </c>
    </row>
    <row r="13" spans="1:13" x14ac:dyDescent="0.3">
      <c r="A13" s="12" t="s">
        <v>48</v>
      </c>
      <c r="B13" s="13">
        <v>46029</v>
      </c>
      <c r="C13" s="14" t="s">
        <v>29</v>
      </c>
      <c r="D13" s="14" t="s">
        <v>30</v>
      </c>
      <c r="E13" s="14" t="s">
        <v>39</v>
      </c>
      <c r="F13" s="14" t="s">
        <v>49</v>
      </c>
      <c r="G13" s="14">
        <v>2</v>
      </c>
      <c r="H13" s="14">
        <v>16000</v>
      </c>
      <c r="I13" s="14">
        <v>32000</v>
      </c>
      <c r="J13" s="14">
        <v>27000</v>
      </c>
      <c r="K13" s="14">
        <v>5000</v>
      </c>
      <c r="L13" s="14" t="s">
        <v>33</v>
      </c>
      <c r="M13" s="16"/>
    </row>
    <row r="14" spans="1:13" x14ac:dyDescent="0.3">
      <c r="A14" s="12" t="s">
        <v>50</v>
      </c>
      <c r="B14" s="13">
        <v>46030</v>
      </c>
      <c r="C14" s="14" t="s">
        <v>14</v>
      </c>
      <c r="D14" s="14" t="s">
        <v>15</v>
      </c>
      <c r="E14" s="14" t="s">
        <v>26</v>
      </c>
      <c r="F14" s="14" t="s">
        <v>17</v>
      </c>
      <c r="G14" s="14">
        <v>6</v>
      </c>
      <c r="H14" s="14">
        <v>15000</v>
      </c>
      <c r="I14" s="14">
        <v>90000</v>
      </c>
      <c r="J14" s="14">
        <v>73000</v>
      </c>
      <c r="K14" s="14">
        <v>17000</v>
      </c>
      <c r="L14" s="15">
        <v>0.1</v>
      </c>
      <c r="M14" s="16" t="s">
        <v>18</v>
      </c>
    </row>
    <row r="15" spans="1:13" x14ac:dyDescent="0.3">
      <c r="A15" s="12" t="s">
        <v>51</v>
      </c>
      <c r="B15" s="13">
        <v>46030</v>
      </c>
      <c r="C15" s="14" t="s">
        <v>20</v>
      </c>
      <c r="D15" s="14" t="s">
        <v>21</v>
      </c>
      <c r="E15" s="14" t="s">
        <v>31</v>
      </c>
      <c r="F15" s="14" t="s">
        <v>32</v>
      </c>
      <c r="G15" s="14">
        <v>12</v>
      </c>
      <c r="H15" s="14">
        <v>2400</v>
      </c>
      <c r="I15" s="14">
        <v>28800</v>
      </c>
      <c r="J15" s="14">
        <v>20500</v>
      </c>
      <c r="K15" s="14">
        <v>8300</v>
      </c>
      <c r="L15" s="15">
        <v>0</v>
      </c>
      <c r="M15" s="16" t="s">
        <v>18</v>
      </c>
    </row>
    <row r="16" spans="1:13" x14ac:dyDescent="0.3">
      <c r="A16" s="17" t="s">
        <v>52</v>
      </c>
      <c r="B16" s="18">
        <v>46031</v>
      </c>
      <c r="C16" s="19" t="s">
        <v>24</v>
      </c>
      <c r="D16" s="19" t="s">
        <v>25</v>
      </c>
      <c r="E16" s="19" t="s">
        <v>35</v>
      </c>
      <c r="F16" s="19" t="s">
        <v>22</v>
      </c>
      <c r="G16" s="19">
        <v>25</v>
      </c>
      <c r="H16" s="19">
        <v>950</v>
      </c>
      <c r="I16" s="19">
        <v>23750</v>
      </c>
      <c r="J16" s="19">
        <v>17000</v>
      </c>
      <c r="K16" s="19">
        <v>6750</v>
      </c>
      <c r="L16" s="20">
        <v>0.05</v>
      </c>
      <c r="M16" s="21" t="s">
        <v>18</v>
      </c>
    </row>
    <row r="18" spans="1:14" x14ac:dyDescent="0.3">
      <c r="A18" s="6" t="s">
        <v>56</v>
      </c>
      <c r="B18" s="6"/>
      <c r="C18" s="6"/>
      <c r="D18" s="6"/>
      <c r="E18" s="6"/>
      <c r="F18" s="6"/>
      <c r="G18" s="6"/>
      <c r="H18" s="26" t="s">
        <v>55</v>
      </c>
    </row>
    <row r="19" spans="1:14" ht="14.4" customHeight="1" x14ac:dyDescent="0.3">
      <c r="A19" s="23" t="s">
        <v>57</v>
      </c>
      <c r="B19" s="23"/>
      <c r="C19" s="23"/>
      <c r="D19" s="23"/>
      <c r="E19" s="23"/>
      <c r="F19" s="23"/>
      <c r="G19" s="23"/>
      <c r="H19" s="26"/>
    </row>
    <row r="20" spans="1:14" x14ac:dyDescent="0.3">
      <c r="A20" s="23"/>
      <c r="B20" s="23"/>
      <c r="C20" s="23"/>
      <c r="D20" s="23"/>
      <c r="E20" s="23"/>
      <c r="F20" s="23"/>
      <c r="G20" s="23"/>
      <c r="H20" s="26"/>
    </row>
    <row r="21" spans="1:14" x14ac:dyDescent="0.3">
      <c r="A21" s="23"/>
      <c r="B21" s="23"/>
      <c r="C21" s="23"/>
      <c r="D21" s="23"/>
      <c r="E21" s="23"/>
      <c r="F21" s="23"/>
      <c r="G21" s="23"/>
      <c r="H21" s="28">
        <f>COUNT(I2:I16)</f>
        <v>15</v>
      </c>
    </row>
    <row r="22" spans="1:14" x14ac:dyDescent="0.3">
      <c r="A22" s="23"/>
      <c r="B22" s="23"/>
      <c r="C22" s="23"/>
      <c r="D22" s="23"/>
      <c r="E22" s="23"/>
      <c r="F22" s="23"/>
      <c r="G22" s="23"/>
      <c r="H22" s="28">
        <f>COUNTA(F2:F16)</f>
        <v>14</v>
      </c>
    </row>
    <row r="23" spans="1:14" x14ac:dyDescent="0.3">
      <c r="A23" s="23"/>
      <c r="B23" s="23"/>
      <c r="C23" s="23"/>
      <c r="D23" s="23"/>
      <c r="E23" s="23"/>
      <c r="F23" s="23"/>
      <c r="G23" s="23"/>
      <c r="H23" s="28">
        <f>COUNTA(M2:M16)</f>
        <v>14</v>
      </c>
    </row>
    <row r="24" spans="1:14" x14ac:dyDescent="0.3">
      <c r="A24" s="23"/>
      <c r="B24" s="23"/>
      <c r="C24" s="23"/>
      <c r="D24" s="23"/>
      <c r="E24" s="23"/>
      <c r="F24" s="23"/>
      <c r="G24" s="23"/>
      <c r="H24" s="28">
        <f>COUNT(F2:F16)</f>
        <v>0</v>
      </c>
      <c r="I24" s="29">
        <f>COUNTA(F2:F16)</f>
        <v>14</v>
      </c>
    </row>
    <row r="25" spans="1:14" ht="14.4" customHeight="1" x14ac:dyDescent="0.3">
      <c r="A25" s="23"/>
      <c r="B25" s="23"/>
      <c r="C25" s="23"/>
      <c r="D25" s="23"/>
      <c r="E25" s="23"/>
      <c r="F25" s="23"/>
      <c r="G25" s="25"/>
      <c r="H25" s="48" t="s">
        <v>58</v>
      </c>
      <c r="I25" s="48"/>
      <c r="J25" s="48"/>
      <c r="K25" s="48"/>
      <c r="L25" s="48"/>
      <c r="M25" s="48"/>
      <c r="N25" s="48"/>
    </row>
    <row r="26" spans="1:14" x14ac:dyDescent="0.3">
      <c r="A26" s="22"/>
      <c r="B26" s="22"/>
      <c r="C26" s="22"/>
      <c r="D26" s="22"/>
      <c r="E26" s="22"/>
      <c r="F26" s="22"/>
      <c r="G26" s="22"/>
      <c r="H26" s="48"/>
      <c r="I26" s="48"/>
      <c r="J26" s="48"/>
      <c r="K26" s="48"/>
      <c r="L26" s="48"/>
      <c r="M26" s="48"/>
      <c r="N26" s="48"/>
    </row>
    <row r="27" spans="1:14" x14ac:dyDescent="0.3">
      <c r="A27" s="22"/>
      <c r="B27" s="22"/>
      <c r="C27" s="22"/>
      <c r="D27" s="22"/>
      <c r="E27" s="22"/>
      <c r="F27" s="22"/>
      <c r="G27" s="22"/>
      <c r="H27" s="24"/>
      <c r="I27" s="24"/>
      <c r="J27" s="24"/>
      <c r="K27" s="24"/>
      <c r="L27" s="24"/>
      <c r="M27" s="24"/>
      <c r="N27" s="24"/>
    </row>
    <row r="28" spans="1:14" x14ac:dyDescent="0.3">
      <c r="H28" s="24"/>
      <c r="I28" s="24"/>
      <c r="J28" s="24"/>
      <c r="K28" s="24"/>
      <c r="L28" s="24"/>
      <c r="M28" s="24"/>
    </row>
  </sheetData>
  <mergeCells count="4">
    <mergeCell ref="H25:N26"/>
    <mergeCell ref="A19:G25"/>
    <mergeCell ref="A18:G18"/>
    <mergeCell ref="H18:H20"/>
  </mergeCells>
  <pageMargins left="0.25" right="0.25" top="0.75" bottom="0.75" header="0.3" footer="0.3"/>
  <pageSetup paperSize="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7FB0-D506-440A-9C3E-960AC20C6994}">
  <dimension ref="A1:M31"/>
  <sheetViews>
    <sheetView zoomScale="115" zoomScaleNormal="115" workbookViewId="0">
      <selection activeCell="M17" sqref="M17"/>
    </sheetView>
  </sheetViews>
  <sheetFormatPr defaultRowHeight="14.4" x14ac:dyDescent="0.3"/>
  <cols>
    <col min="1" max="1" width="10.33203125" customWidth="1"/>
    <col min="2" max="2" width="9" bestFit="1" customWidth="1"/>
    <col min="3" max="3" width="8.44140625" customWidth="1"/>
    <col min="4" max="4" width="13.33203125" customWidth="1"/>
    <col min="5" max="5" width="10.33203125" customWidth="1"/>
    <col min="6" max="6" width="9.21875" customWidth="1"/>
    <col min="7" max="7" width="7" customWidth="1"/>
    <col min="8" max="8" width="11.21875" customWidth="1"/>
    <col min="9" max="9" width="7.6640625" bestFit="1" customWidth="1"/>
    <col min="10" max="10" width="7.109375" bestFit="1" customWidth="1"/>
    <col min="11" max="11" width="7.109375" customWidth="1"/>
    <col min="12" max="12" width="10.109375" customWidth="1"/>
    <col min="13" max="13" width="9.109375" bestFit="1" customWidth="1"/>
  </cols>
  <sheetData>
    <row r="1" spans="1:13" x14ac:dyDescent="0.3">
      <c r="A1" s="9" t="s">
        <v>0</v>
      </c>
      <c r="B1" s="10" t="s">
        <v>1</v>
      </c>
      <c r="C1" s="10" t="s">
        <v>2</v>
      </c>
      <c r="D1" s="10" t="s">
        <v>3</v>
      </c>
      <c r="E1" s="10" t="s">
        <v>4</v>
      </c>
      <c r="F1" s="10" t="s">
        <v>5</v>
      </c>
      <c r="G1" s="10" t="s">
        <v>6</v>
      </c>
      <c r="H1" s="10" t="s">
        <v>7</v>
      </c>
      <c r="I1" s="10" t="s">
        <v>8</v>
      </c>
      <c r="J1" s="10" t="s">
        <v>9</v>
      </c>
      <c r="K1" s="10" t="s">
        <v>10</v>
      </c>
      <c r="L1" s="10" t="s">
        <v>11</v>
      </c>
      <c r="M1" s="11" t="s">
        <v>12</v>
      </c>
    </row>
    <row r="2" spans="1:13" x14ac:dyDescent="0.3">
      <c r="A2" s="12" t="s">
        <v>13</v>
      </c>
      <c r="B2" s="13">
        <v>46023</v>
      </c>
      <c r="C2" s="14" t="s">
        <v>14</v>
      </c>
      <c r="D2" s="14" t="s">
        <v>15</v>
      </c>
      <c r="E2" s="14" t="s">
        <v>16</v>
      </c>
      <c r="F2" s="14" t="s">
        <v>17</v>
      </c>
      <c r="G2" s="14">
        <v>2</v>
      </c>
      <c r="H2" s="14">
        <v>50000</v>
      </c>
      <c r="I2" s="14">
        <v>100000</v>
      </c>
      <c r="J2" s="14">
        <v>86000</v>
      </c>
      <c r="K2" s="14">
        <v>14000</v>
      </c>
      <c r="L2" s="15">
        <v>0.05</v>
      </c>
      <c r="M2" s="16" t="s">
        <v>18</v>
      </c>
    </row>
    <row r="3" spans="1:13" x14ac:dyDescent="0.3">
      <c r="A3" s="12" t="s">
        <v>19</v>
      </c>
      <c r="B3" s="13">
        <v>46024</v>
      </c>
      <c r="C3" s="14" t="s">
        <v>20</v>
      </c>
      <c r="D3" s="14" t="s">
        <v>21</v>
      </c>
      <c r="E3" s="14" t="s">
        <v>16</v>
      </c>
      <c r="F3" s="14" t="s">
        <v>22</v>
      </c>
      <c r="G3" s="14">
        <v>1</v>
      </c>
      <c r="H3" s="14">
        <v>55000</v>
      </c>
      <c r="I3" s="14">
        <v>55000</v>
      </c>
      <c r="J3" s="14">
        <v>47000</v>
      </c>
      <c r="K3" s="14">
        <v>8000</v>
      </c>
      <c r="L3" s="15">
        <v>0.1</v>
      </c>
      <c r="M3" s="16" t="s">
        <v>18</v>
      </c>
    </row>
    <row r="4" spans="1:13" x14ac:dyDescent="0.3">
      <c r="A4" s="12" t="s">
        <v>23</v>
      </c>
      <c r="B4" s="13">
        <v>46024</v>
      </c>
      <c r="C4" s="14" t="s">
        <v>24</v>
      </c>
      <c r="D4" s="14" t="s">
        <v>25</v>
      </c>
      <c r="E4" s="14" t="s">
        <v>26</v>
      </c>
      <c r="F4" s="14" t="s">
        <v>27</v>
      </c>
      <c r="G4" s="14">
        <v>4</v>
      </c>
      <c r="H4" s="14">
        <v>12000</v>
      </c>
      <c r="I4" s="14">
        <v>48000</v>
      </c>
      <c r="J4" s="14">
        <v>39000</v>
      </c>
      <c r="K4" s="14">
        <v>9000</v>
      </c>
      <c r="L4" s="15">
        <v>0</v>
      </c>
      <c r="M4" s="16" t="s">
        <v>18</v>
      </c>
    </row>
    <row r="5" spans="1:13" x14ac:dyDescent="0.3">
      <c r="A5" s="12" t="s">
        <v>28</v>
      </c>
      <c r="B5" s="13">
        <v>46025</v>
      </c>
      <c r="C5" s="14" t="s">
        <v>29</v>
      </c>
      <c r="D5" s="14" t="s">
        <v>30</v>
      </c>
      <c r="E5" s="14" t="s">
        <v>31</v>
      </c>
      <c r="F5" s="14" t="s">
        <v>32</v>
      </c>
      <c r="G5" s="14">
        <v>10</v>
      </c>
      <c r="H5" s="14">
        <v>2500</v>
      </c>
      <c r="I5" s="14">
        <v>25000</v>
      </c>
      <c r="J5" s="14">
        <v>18000</v>
      </c>
      <c r="K5" s="14">
        <v>7000</v>
      </c>
      <c r="L5" s="15">
        <v>0.15</v>
      </c>
      <c r="M5" s="16" t="s">
        <v>33</v>
      </c>
    </row>
    <row r="6" spans="1:13" x14ac:dyDescent="0.3">
      <c r="A6" s="12" t="s">
        <v>34</v>
      </c>
      <c r="B6" s="13">
        <v>46025</v>
      </c>
      <c r="C6" s="14" t="s">
        <v>14</v>
      </c>
      <c r="D6" s="14" t="s">
        <v>15</v>
      </c>
      <c r="E6" s="14" t="s">
        <v>35</v>
      </c>
      <c r="F6" s="14" t="s">
        <v>22</v>
      </c>
      <c r="G6" s="14">
        <v>20</v>
      </c>
      <c r="H6" s="14">
        <v>900</v>
      </c>
      <c r="I6" s="14">
        <v>18000</v>
      </c>
      <c r="J6" s="14">
        <v>13000</v>
      </c>
      <c r="K6" s="14">
        <v>5000</v>
      </c>
      <c r="L6" s="15">
        <v>0.05</v>
      </c>
      <c r="M6" s="16" t="s">
        <v>18</v>
      </c>
    </row>
    <row r="7" spans="1:13" x14ac:dyDescent="0.3">
      <c r="A7" s="12" t="s">
        <v>36</v>
      </c>
      <c r="B7" s="13">
        <v>46026</v>
      </c>
      <c r="C7" s="14" t="s">
        <v>20</v>
      </c>
      <c r="D7" s="14" t="s">
        <v>21</v>
      </c>
      <c r="E7" s="14" t="s">
        <v>16</v>
      </c>
      <c r="F7" s="14" t="s">
        <v>37</v>
      </c>
      <c r="G7" s="14">
        <v>3</v>
      </c>
      <c r="H7" s="14">
        <v>48000</v>
      </c>
      <c r="I7" s="14">
        <v>144000</v>
      </c>
      <c r="J7" s="14">
        <v>120000</v>
      </c>
      <c r="K7" s="14">
        <v>24000</v>
      </c>
      <c r="L7" s="15">
        <v>0.08</v>
      </c>
      <c r="M7" s="16" t="s">
        <v>18</v>
      </c>
    </row>
    <row r="8" spans="1:13" x14ac:dyDescent="0.3">
      <c r="A8" s="12" t="s">
        <v>38</v>
      </c>
      <c r="B8" s="13">
        <v>46026</v>
      </c>
      <c r="C8" s="14" t="s">
        <v>24</v>
      </c>
      <c r="D8" s="14" t="s">
        <v>25</v>
      </c>
      <c r="E8" s="14" t="s">
        <v>39</v>
      </c>
      <c r="F8" s="14" t="s">
        <v>40</v>
      </c>
      <c r="G8" s="14">
        <v>2</v>
      </c>
      <c r="H8" s="14">
        <v>18000</v>
      </c>
      <c r="I8" s="14">
        <v>36000</v>
      </c>
      <c r="J8" s="14">
        <v>29000</v>
      </c>
      <c r="K8" s="14">
        <v>7000</v>
      </c>
      <c r="L8" s="15">
        <v>0.12</v>
      </c>
      <c r="M8" s="16" t="s">
        <v>41</v>
      </c>
    </row>
    <row r="9" spans="1:13" x14ac:dyDescent="0.3">
      <c r="A9" s="12" t="s">
        <v>42</v>
      </c>
      <c r="B9" s="13">
        <v>46027</v>
      </c>
      <c r="C9" s="14" t="s">
        <v>29</v>
      </c>
      <c r="D9" s="14" t="s">
        <v>30</v>
      </c>
      <c r="E9" s="14" t="s">
        <v>26</v>
      </c>
      <c r="F9" s="14" t="s">
        <v>43</v>
      </c>
      <c r="G9" s="14">
        <v>5</v>
      </c>
      <c r="H9" s="14">
        <v>14000</v>
      </c>
      <c r="I9" s="14">
        <v>70000</v>
      </c>
      <c r="J9" s="14">
        <v>56000</v>
      </c>
      <c r="K9" s="14">
        <v>14000</v>
      </c>
      <c r="L9" s="15">
        <v>0.1</v>
      </c>
      <c r="M9" s="16" t="s">
        <v>18</v>
      </c>
    </row>
    <row r="10" spans="1:13" x14ac:dyDescent="0.3">
      <c r="A10" s="12" t="s">
        <v>44</v>
      </c>
      <c r="B10" s="13">
        <v>46027</v>
      </c>
      <c r="C10" s="14" t="s">
        <v>14</v>
      </c>
      <c r="D10" s="14" t="s">
        <v>15</v>
      </c>
      <c r="E10" s="14" t="s">
        <v>31</v>
      </c>
      <c r="F10" s="14" t="s">
        <v>22</v>
      </c>
      <c r="G10" s="14">
        <v>15</v>
      </c>
      <c r="H10" s="14">
        <v>2300</v>
      </c>
      <c r="I10" s="14">
        <v>34500</v>
      </c>
      <c r="J10" s="14">
        <v>25000</v>
      </c>
      <c r="K10" s="14">
        <v>9500</v>
      </c>
      <c r="L10" s="15">
        <v>0.05</v>
      </c>
      <c r="M10" s="16" t="s">
        <v>18</v>
      </c>
    </row>
    <row r="11" spans="1:13" x14ac:dyDescent="0.3">
      <c r="A11" s="12" t="s">
        <v>45</v>
      </c>
      <c r="B11" s="13">
        <v>46028</v>
      </c>
      <c r="C11" s="14" t="s">
        <v>20</v>
      </c>
      <c r="D11" s="14" t="s">
        <v>21</v>
      </c>
      <c r="E11" s="14" t="s">
        <v>35</v>
      </c>
      <c r="F11" s="14" t="s">
        <v>17</v>
      </c>
      <c r="G11" s="14">
        <v>30</v>
      </c>
      <c r="H11" s="14">
        <v>850</v>
      </c>
      <c r="I11" s="14">
        <v>25500</v>
      </c>
      <c r="J11" s="14">
        <v>18000</v>
      </c>
      <c r="K11" s="14">
        <v>7500</v>
      </c>
      <c r="L11" s="15">
        <v>0</v>
      </c>
      <c r="M11" s="16" t="s">
        <v>18</v>
      </c>
    </row>
    <row r="12" spans="1:13" x14ac:dyDescent="0.3">
      <c r="A12" s="12" t="s">
        <v>46</v>
      </c>
      <c r="B12" s="13">
        <v>46028</v>
      </c>
      <c r="C12" s="14" t="s">
        <v>24</v>
      </c>
      <c r="D12" s="14" t="s">
        <v>25</v>
      </c>
      <c r="E12" s="14" t="s">
        <v>16</v>
      </c>
      <c r="F12" s="14" t="s">
        <v>47</v>
      </c>
      <c r="G12" s="14">
        <v>2</v>
      </c>
      <c r="H12" s="14">
        <v>43000</v>
      </c>
      <c r="I12" s="14">
        <v>86000</v>
      </c>
      <c r="J12" s="14">
        <v>72000</v>
      </c>
      <c r="K12" s="14">
        <v>14000</v>
      </c>
      <c r="L12" s="15">
        <v>0.05</v>
      </c>
      <c r="M12" s="16" t="s">
        <v>18</v>
      </c>
    </row>
    <row r="13" spans="1:13" x14ac:dyDescent="0.3">
      <c r="A13" s="12" t="s">
        <v>48</v>
      </c>
      <c r="B13" s="13">
        <v>46029</v>
      </c>
      <c r="C13" s="14" t="s">
        <v>29</v>
      </c>
      <c r="D13" s="14" t="s">
        <v>30</v>
      </c>
      <c r="E13" s="14" t="s">
        <v>39</v>
      </c>
      <c r="F13" s="14" t="s">
        <v>49</v>
      </c>
      <c r="G13" s="14">
        <v>2</v>
      </c>
      <c r="H13" s="14">
        <v>16000</v>
      </c>
      <c r="I13" s="14">
        <v>32000</v>
      </c>
      <c r="J13" s="14">
        <v>27000</v>
      </c>
      <c r="K13" s="14">
        <v>5000</v>
      </c>
      <c r="L13" s="14" t="s">
        <v>33</v>
      </c>
      <c r="M13" s="16"/>
    </row>
    <row r="14" spans="1:13" x14ac:dyDescent="0.3">
      <c r="A14" s="12" t="s">
        <v>50</v>
      </c>
      <c r="B14" s="13">
        <v>46030</v>
      </c>
      <c r="C14" s="14" t="s">
        <v>14</v>
      </c>
      <c r="D14" s="14" t="s">
        <v>15</v>
      </c>
      <c r="E14" s="14" t="s">
        <v>26</v>
      </c>
      <c r="F14" s="14" t="s">
        <v>17</v>
      </c>
      <c r="G14" s="14">
        <v>6</v>
      </c>
      <c r="H14" s="14">
        <v>15000</v>
      </c>
      <c r="I14" s="14">
        <v>90000</v>
      </c>
      <c r="J14" s="14">
        <v>73000</v>
      </c>
      <c r="K14" s="14">
        <v>17000</v>
      </c>
      <c r="L14" s="15">
        <v>0.1</v>
      </c>
      <c r="M14" s="16" t="s">
        <v>18</v>
      </c>
    </row>
    <row r="15" spans="1:13" x14ac:dyDescent="0.3">
      <c r="A15" s="12" t="s">
        <v>51</v>
      </c>
      <c r="B15" s="13">
        <v>46030</v>
      </c>
      <c r="C15" s="14" t="s">
        <v>20</v>
      </c>
      <c r="D15" s="14" t="s">
        <v>21</v>
      </c>
      <c r="E15" s="14" t="s">
        <v>31</v>
      </c>
      <c r="F15" s="14" t="s">
        <v>32</v>
      </c>
      <c r="G15" s="14">
        <v>12</v>
      </c>
      <c r="H15" s="14">
        <v>2400</v>
      </c>
      <c r="I15" s="14">
        <v>28800</v>
      </c>
      <c r="J15" s="14">
        <v>20500</v>
      </c>
      <c r="K15" s="14">
        <v>8300</v>
      </c>
      <c r="L15" s="15">
        <v>0</v>
      </c>
      <c r="M15" s="16" t="s">
        <v>18</v>
      </c>
    </row>
    <row r="16" spans="1:13" x14ac:dyDescent="0.3">
      <c r="A16" s="17" t="s">
        <v>52</v>
      </c>
      <c r="B16" s="18">
        <v>46031</v>
      </c>
      <c r="C16" s="19" t="s">
        <v>24</v>
      </c>
      <c r="D16" s="19" t="s">
        <v>25</v>
      </c>
      <c r="E16" s="19" t="s">
        <v>35</v>
      </c>
      <c r="F16" s="19" t="s">
        <v>22</v>
      </c>
      <c r="G16" s="19">
        <v>25</v>
      </c>
      <c r="H16" s="19">
        <v>950</v>
      </c>
      <c r="I16" s="19">
        <v>23750</v>
      </c>
      <c r="J16" s="19">
        <v>17000</v>
      </c>
      <c r="K16" s="19">
        <v>6750</v>
      </c>
      <c r="L16" s="20">
        <v>0.05</v>
      </c>
      <c r="M16" s="21" t="s">
        <v>18</v>
      </c>
    </row>
    <row r="18" spans="1:10" x14ac:dyDescent="0.3">
      <c r="A18" s="30" t="s">
        <v>59</v>
      </c>
      <c r="B18" s="30"/>
      <c r="C18" s="30"/>
      <c r="D18" s="30"/>
      <c r="E18" s="31" t="s">
        <v>55</v>
      </c>
    </row>
    <row r="19" spans="1:10" ht="14.4" customHeight="1" x14ac:dyDescent="0.3">
      <c r="A19" s="5" t="s">
        <v>60</v>
      </c>
      <c r="B19" s="5"/>
      <c r="C19" s="5"/>
      <c r="D19" s="5"/>
    </row>
    <row r="20" spans="1:10" x14ac:dyDescent="0.3">
      <c r="A20" s="5"/>
      <c r="B20" s="5"/>
      <c r="C20" s="5"/>
      <c r="D20" s="5"/>
    </row>
    <row r="21" spans="1:10" x14ac:dyDescent="0.3">
      <c r="A21" s="5"/>
      <c r="B21" s="5"/>
      <c r="C21" s="5"/>
      <c r="D21" s="5"/>
    </row>
    <row r="22" spans="1:10" x14ac:dyDescent="0.3">
      <c r="A22" s="5"/>
      <c r="B22" s="5"/>
      <c r="C22" s="5"/>
      <c r="D22" s="5"/>
    </row>
    <row r="23" spans="1:10" x14ac:dyDescent="0.3">
      <c r="A23" s="5"/>
      <c r="B23" s="5"/>
      <c r="C23" s="5"/>
      <c r="D23" s="5"/>
      <c r="E23" s="31">
        <f>SUM(I2:I16)</f>
        <v>816550</v>
      </c>
    </row>
    <row r="24" spans="1:10" x14ac:dyDescent="0.3">
      <c r="A24" s="5"/>
      <c r="B24" s="5"/>
      <c r="C24" s="5"/>
      <c r="D24" s="5"/>
      <c r="E24" s="32">
        <f>SUBTOTAL(9,I2:I16)</f>
        <v>816550</v>
      </c>
      <c r="F24" s="8" t="s">
        <v>62</v>
      </c>
      <c r="G24" s="8"/>
      <c r="H24" s="8"/>
      <c r="I24" s="8"/>
      <c r="J24" s="8"/>
    </row>
    <row r="25" spans="1:10" x14ac:dyDescent="0.3">
      <c r="A25" s="5"/>
      <c r="B25" s="5"/>
      <c r="C25" s="5"/>
      <c r="D25" s="5"/>
      <c r="E25" s="33" t="s">
        <v>61</v>
      </c>
      <c r="F25" s="34"/>
      <c r="G25" s="34"/>
      <c r="H25" s="34"/>
      <c r="I25" s="34"/>
      <c r="J25" s="34"/>
    </row>
    <row r="26" spans="1:10" x14ac:dyDescent="0.3">
      <c r="A26" s="5"/>
      <c r="B26" s="5"/>
      <c r="C26" s="5"/>
      <c r="D26" s="5"/>
      <c r="E26" s="34"/>
      <c r="F26" s="34"/>
      <c r="G26" s="34"/>
      <c r="H26" s="34"/>
      <c r="I26" s="34"/>
      <c r="J26" s="34"/>
    </row>
    <row r="27" spans="1:10" x14ac:dyDescent="0.3">
      <c r="A27" s="5"/>
      <c r="B27" s="5"/>
      <c r="C27" s="5"/>
      <c r="D27" s="5"/>
    </row>
    <row r="28" spans="1:10" x14ac:dyDescent="0.3">
      <c r="A28" s="5"/>
      <c r="B28" s="5"/>
      <c r="C28" s="5"/>
      <c r="D28" s="5"/>
    </row>
    <row r="29" spans="1:10" x14ac:dyDescent="0.3">
      <c r="A29" s="5"/>
      <c r="B29" s="5"/>
      <c r="C29" s="5"/>
      <c r="D29" s="5"/>
      <c r="E29" s="27">
        <f>SUM(I2:I16)</f>
        <v>816550</v>
      </c>
    </row>
    <row r="30" spans="1:10" x14ac:dyDescent="0.3">
      <c r="A30" s="5"/>
      <c r="B30" s="5"/>
      <c r="C30" s="5"/>
      <c r="D30" s="5"/>
      <c r="E30" s="27">
        <f>SUBTOTAL(9,I2:I16)</f>
        <v>816550</v>
      </c>
      <c r="F30" s="8" t="s">
        <v>63</v>
      </c>
      <c r="G30" s="8"/>
      <c r="H30" s="8"/>
      <c r="I30" s="8"/>
      <c r="J30" s="8"/>
    </row>
    <row r="31" spans="1:10" x14ac:dyDescent="0.3">
      <c r="A31" s="5"/>
      <c r="B31" s="5"/>
      <c r="C31" s="5"/>
      <c r="D31" s="5"/>
    </row>
  </sheetData>
  <mergeCells count="5">
    <mergeCell ref="A19:D31"/>
    <mergeCell ref="A18:D18"/>
    <mergeCell ref="E25:J26"/>
    <mergeCell ref="F24:J24"/>
    <mergeCell ref="F30:J30"/>
  </mergeCells>
  <pageMargins left="0.25" right="0.25" top="0.75" bottom="0.75" header="0.3" footer="0.3"/>
  <pageSetup paperSize="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8005-5C2E-4E1A-8ACA-AD868D47087D}">
  <dimension ref="A1:O31"/>
  <sheetViews>
    <sheetView zoomScale="130" zoomScaleNormal="130" workbookViewId="0">
      <selection sqref="A1:O31"/>
    </sheetView>
  </sheetViews>
  <sheetFormatPr defaultRowHeight="14.4" x14ac:dyDescent="0.3"/>
  <cols>
    <col min="1" max="1" width="9.77734375" customWidth="1"/>
    <col min="2" max="2" width="9.109375" bestFit="1" customWidth="1"/>
    <col min="3" max="3" width="8.109375" customWidth="1"/>
    <col min="4" max="4" width="12.77734375" customWidth="1"/>
    <col min="5" max="5" width="9.77734375" customWidth="1"/>
    <col min="6" max="6" width="8.77734375" customWidth="1"/>
    <col min="7" max="7" width="6.6640625" customWidth="1"/>
    <col min="8" max="8" width="10.88671875" customWidth="1"/>
    <col min="9" max="10" width="7.33203125" bestFit="1" customWidth="1"/>
    <col min="11" max="11" width="6.77734375" customWidth="1"/>
    <col min="12" max="12" width="9.88671875" customWidth="1"/>
    <col min="13" max="13" width="9.33203125" bestFit="1" customWidth="1"/>
  </cols>
  <sheetData>
    <row r="1" spans="1:13" x14ac:dyDescent="0.3">
      <c r="A1" s="9" t="s">
        <v>0</v>
      </c>
      <c r="B1" s="10" t="s">
        <v>1</v>
      </c>
      <c r="C1" s="10" t="s">
        <v>2</v>
      </c>
      <c r="D1" s="10" t="s">
        <v>3</v>
      </c>
      <c r="E1" s="10" t="s">
        <v>4</v>
      </c>
      <c r="F1" s="10" t="s">
        <v>5</v>
      </c>
      <c r="G1" s="10" t="s">
        <v>6</v>
      </c>
      <c r="H1" s="10" t="s">
        <v>7</v>
      </c>
      <c r="I1" s="10" t="s">
        <v>8</v>
      </c>
      <c r="J1" s="10" t="s">
        <v>9</v>
      </c>
      <c r="K1" s="10" t="s">
        <v>10</v>
      </c>
      <c r="L1" s="10" t="s">
        <v>11</v>
      </c>
      <c r="M1" s="11" t="s">
        <v>12</v>
      </c>
    </row>
    <row r="2" spans="1:13" x14ac:dyDescent="0.3">
      <c r="A2" s="12" t="s">
        <v>13</v>
      </c>
      <c r="B2" s="13">
        <v>46023</v>
      </c>
      <c r="C2" s="14" t="s">
        <v>14</v>
      </c>
      <c r="D2" s="14" t="s">
        <v>15</v>
      </c>
      <c r="E2" s="14" t="s">
        <v>16</v>
      </c>
      <c r="F2" s="14" t="s">
        <v>17</v>
      </c>
      <c r="G2" s="14">
        <v>2</v>
      </c>
      <c r="H2" s="14">
        <v>50000</v>
      </c>
      <c r="I2" s="14">
        <v>100000</v>
      </c>
      <c r="J2" s="14">
        <v>86000</v>
      </c>
      <c r="K2" s="14">
        <v>14000</v>
      </c>
      <c r="L2" s="15">
        <v>0.05</v>
      </c>
      <c r="M2" s="16" t="s">
        <v>18</v>
      </c>
    </row>
    <row r="3" spans="1:13" x14ac:dyDescent="0.3">
      <c r="A3" s="12" t="s">
        <v>19</v>
      </c>
      <c r="B3" s="13">
        <v>46024</v>
      </c>
      <c r="C3" s="14" t="s">
        <v>20</v>
      </c>
      <c r="D3" s="14" t="s">
        <v>21</v>
      </c>
      <c r="E3" s="14" t="s">
        <v>16</v>
      </c>
      <c r="F3" s="14" t="s">
        <v>22</v>
      </c>
      <c r="G3" s="14">
        <v>1</v>
      </c>
      <c r="H3" s="14">
        <v>55000</v>
      </c>
      <c r="I3" s="14">
        <v>55000</v>
      </c>
      <c r="J3" s="14">
        <v>47000</v>
      </c>
      <c r="K3" s="14">
        <v>8000</v>
      </c>
      <c r="L3" s="15">
        <v>0.1</v>
      </c>
      <c r="M3" s="16" t="s">
        <v>18</v>
      </c>
    </row>
    <row r="4" spans="1:13" x14ac:dyDescent="0.3">
      <c r="A4" s="12" t="s">
        <v>23</v>
      </c>
      <c r="B4" s="13">
        <v>46024</v>
      </c>
      <c r="C4" s="14" t="s">
        <v>24</v>
      </c>
      <c r="D4" s="14" t="s">
        <v>25</v>
      </c>
      <c r="E4" s="14" t="s">
        <v>26</v>
      </c>
      <c r="F4" s="14" t="s">
        <v>27</v>
      </c>
      <c r="G4" s="14">
        <v>4</v>
      </c>
      <c r="H4" s="14">
        <v>12000</v>
      </c>
      <c r="I4" s="14">
        <v>48000</v>
      </c>
      <c r="J4" s="14">
        <v>39000</v>
      </c>
      <c r="K4" s="14">
        <v>9000</v>
      </c>
      <c r="L4" s="15">
        <v>0</v>
      </c>
      <c r="M4" s="16" t="s">
        <v>18</v>
      </c>
    </row>
    <row r="5" spans="1:13" hidden="1" x14ac:dyDescent="0.3">
      <c r="A5" s="12" t="s">
        <v>28</v>
      </c>
      <c r="B5" s="13">
        <v>46025</v>
      </c>
      <c r="C5" s="14" t="s">
        <v>29</v>
      </c>
      <c r="D5" s="14" t="s">
        <v>30</v>
      </c>
      <c r="E5" s="14" t="s">
        <v>31</v>
      </c>
      <c r="F5" s="14" t="s">
        <v>32</v>
      </c>
      <c r="G5" s="14">
        <v>10</v>
      </c>
      <c r="H5" s="14">
        <v>2500</v>
      </c>
      <c r="I5" s="14">
        <v>25000</v>
      </c>
      <c r="J5" s="14">
        <v>18000</v>
      </c>
      <c r="K5" s="14">
        <v>7000</v>
      </c>
      <c r="L5" s="15">
        <v>0.15</v>
      </c>
      <c r="M5" s="16" t="s">
        <v>33</v>
      </c>
    </row>
    <row r="6" spans="1:13" hidden="1" x14ac:dyDescent="0.3">
      <c r="A6" s="12" t="s">
        <v>34</v>
      </c>
      <c r="B6" s="13">
        <v>46025</v>
      </c>
      <c r="C6" s="14" t="s">
        <v>14</v>
      </c>
      <c r="D6" s="14" t="s">
        <v>15</v>
      </c>
      <c r="E6" s="14" t="s">
        <v>35</v>
      </c>
      <c r="F6" s="14" t="s">
        <v>22</v>
      </c>
      <c r="G6" s="14">
        <v>20</v>
      </c>
      <c r="H6" s="14">
        <v>900</v>
      </c>
      <c r="I6" s="14">
        <v>18000</v>
      </c>
      <c r="J6" s="14">
        <v>13000</v>
      </c>
      <c r="K6" s="14">
        <v>5000</v>
      </c>
      <c r="L6" s="15">
        <v>0.05</v>
      </c>
      <c r="M6" s="16" t="s">
        <v>18</v>
      </c>
    </row>
    <row r="7" spans="1:13" hidden="1" x14ac:dyDescent="0.3">
      <c r="A7" s="12" t="s">
        <v>36</v>
      </c>
      <c r="B7" s="13">
        <v>46026</v>
      </c>
      <c r="C7" s="14" t="s">
        <v>20</v>
      </c>
      <c r="D7" s="14" t="s">
        <v>21</v>
      </c>
      <c r="E7" s="14" t="s">
        <v>16</v>
      </c>
      <c r="F7" s="14" t="s">
        <v>37</v>
      </c>
      <c r="G7" s="14">
        <v>3</v>
      </c>
      <c r="H7" s="14">
        <v>48000</v>
      </c>
      <c r="I7" s="14">
        <v>144000</v>
      </c>
      <c r="J7" s="14">
        <v>120000</v>
      </c>
      <c r="K7" s="14">
        <v>24000</v>
      </c>
      <c r="L7" s="15">
        <v>0.08</v>
      </c>
      <c r="M7" s="16" t="s">
        <v>18</v>
      </c>
    </row>
    <row r="8" spans="1:13" hidden="1" x14ac:dyDescent="0.3">
      <c r="A8" s="12" t="s">
        <v>38</v>
      </c>
      <c r="B8" s="13">
        <v>46026</v>
      </c>
      <c r="C8" s="14" t="s">
        <v>24</v>
      </c>
      <c r="D8" s="14" t="s">
        <v>25</v>
      </c>
      <c r="E8" s="14" t="s">
        <v>39</v>
      </c>
      <c r="F8" s="14" t="s">
        <v>40</v>
      </c>
      <c r="G8" s="14">
        <v>2</v>
      </c>
      <c r="H8" s="14">
        <v>18000</v>
      </c>
      <c r="I8" s="14">
        <v>36000</v>
      </c>
      <c r="J8" s="14">
        <v>29000</v>
      </c>
      <c r="K8" s="14">
        <v>7000</v>
      </c>
      <c r="L8" s="15">
        <v>0.12</v>
      </c>
      <c r="M8" s="16" t="s">
        <v>41</v>
      </c>
    </row>
    <row r="9" spans="1:13" x14ac:dyDescent="0.3">
      <c r="A9" s="12" t="s">
        <v>42</v>
      </c>
      <c r="B9" s="13">
        <v>46027</v>
      </c>
      <c r="C9" s="14" t="s">
        <v>29</v>
      </c>
      <c r="D9" s="14" t="s">
        <v>30</v>
      </c>
      <c r="E9" s="14" t="s">
        <v>26</v>
      </c>
      <c r="F9" s="14" t="s">
        <v>43</v>
      </c>
      <c r="G9" s="14">
        <v>5</v>
      </c>
      <c r="H9" s="14">
        <v>14000</v>
      </c>
      <c r="I9" s="14">
        <v>70000</v>
      </c>
      <c r="J9" s="14">
        <v>56000</v>
      </c>
      <c r="K9" s="14">
        <v>14000</v>
      </c>
      <c r="L9" s="15">
        <v>0.1</v>
      </c>
      <c r="M9" s="16" t="s">
        <v>18</v>
      </c>
    </row>
    <row r="10" spans="1:13" x14ac:dyDescent="0.3">
      <c r="A10" s="12" t="s">
        <v>44</v>
      </c>
      <c r="B10" s="13">
        <v>46027</v>
      </c>
      <c r="C10" s="14" t="s">
        <v>14</v>
      </c>
      <c r="D10" s="14" t="s">
        <v>15</v>
      </c>
      <c r="E10" s="14" t="s">
        <v>31</v>
      </c>
      <c r="F10" s="14" t="s">
        <v>22</v>
      </c>
      <c r="G10" s="14">
        <v>15</v>
      </c>
      <c r="H10" s="14">
        <v>2300</v>
      </c>
      <c r="I10" s="14">
        <v>34500</v>
      </c>
      <c r="J10" s="14">
        <v>25000</v>
      </c>
      <c r="K10" s="14">
        <v>9500</v>
      </c>
      <c r="L10" s="15">
        <v>0.05</v>
      </c>
      <c r="M10" s="16" t="s">
        <v>18</v>
      </c>
    </row>
    <row r="11" spans="1:13" x14ac:dyDescent="0.3">
      <c r="A11" s="12" t="s">
        <v>45</v>
      </c>
      <c r="B11" s="13">
        <v>46028</v>
      </c>
      <c r="C11" s="14" t="s">
        <v>20</v>
      </c>
      <c r="D11" s="14" t="s">
        <v>21</v>
      </c>
      <c r="E11" s="14" t="s">
        <v>35</v>
      </c>
      <c r="F11" s="14" t="s">
        <v>17</v>
      </c>
      <c r="G11" s="14">
        <v>30</v>
      </c>
      <c r="H11" s="14">
        <v>850</v>
      </c>
      <c r="I11" s="14">
        <v>25500</v>
      </c>
      <c r="J11" s="14">
        <v>18000</v>
      </c>
      <c r="K11" s="14">
        <v>7500</v>
      </c>
      <c r="L11" s="15">
        <v>0</v>
      </c>
      <c r="M11" s="16" t="s">
        <v>18</v>
      </c>
    </row>
    <row r="12" spans="1:13" x14ac:dyDescent="0.3">
      <c r="A12" s="12" t="s">
        <v>46</v>
      </c>
      <c r="B12" s="13">
        <v>46028</v>
      </c>
      <c r="C12" s="14" t="s">
        <v>24</v>
      </c>
      <c r="D12" s="14" t="s">
        <v>25</v>
      </c>
      <c r="E12" s="14" t="s">
        <v>16</v>
      </c>
      <c r="F12" s="14" t="s">
        <v>47</v>
      </c>
      <c r="G12" s="14">
        <v>2</v>
      </c>
      <c r="H12" s="14">
        <v>43000</v>
      </c>
      <c r="I12" s="14">
        <v>86000</v>
      </c>
      <c r="J12" s="14">
        <v>72000</v>
      </c>
      <c r="K12" s="14">
        <v>14000</v>
      </c>
      <c r="L12" s="15">
        <v>0.05</v>
      </c>
      <c r="M12" s="16" t="s">
        <v>18</v>
      </c>
    </row>
    <row r="13" spans="1:13" x14ac:dyDescent="0.3">
      <c r="A13" s="12" t="s">
        <v>48</v>
      </c>
      <c r="B13" s="13">
        <v>46029</v>
      </c>
      <c r="C13" s="14" t="s">
        <v>29</v>
      </c>
      <c r="D13" s="14" t="s">
        <v>30</v>
      </c>
      <c r="E13" s="14" t="s">
        <v>39</v>
      </c>
      <c r="F13" s="14" t="s">
        <v>49</v>
      </c>
      <c r="G13" s="14">
        <v>2</v>
      </c>
      <c r="H13" s="14">
        <v>16000</v>
      </c>
      <c r="I13" s="14">
        <v>32000</v>
      </c>
      <c r="J13" s="14">
        <v>27000</v>
      </c>
      <c r="K13" s="14">
        <v>5000</v>
      </c>
      <c r="L13" s="14" t="s">
        <v>33</v>
      </c>
      <c r="M13" s="16"/>
    </row>
    <row r="14" spans="1:13" x14ac:dyDescent="0.3">
      <c r="A14" s="12" t="s">
        <v>50</v>
      </c>
      <c r="B14" s="13">
        <v>46030</v>
      </c>
      <c r="C14" s="14" t="s">
        <v>14</v>
      </c>
      <c r="D14" s="14" t="s">
        <v>15</v>
      </c>
      <c r="E14" s="14" t="s">
        <v>26</v>
      </c>
      <c r="F14" s="14" t="s">
        <v>17</v>
      </c>
      <c r="G14" s="14">
        <v>6</v>
      </c>
      <c r="H14" s="14">
        <v>15000</v>
      </c>
      <c r="I14" s="14">
        <v>90000</v>
      </c>
      <c r="J14" s="14">
        <v>73000</v>
      </c>
      <c r="K14" s="14">
        <v>17000</v>
      </c>
      <c r="L14" s="15">
        <v>0.1</v>
      </c>
      <c r="M14" s="16" t="s">
        <v>18</v>
      </c>
    </row>
    <row r="15" spans="1:13" x14ac:dyDescent="0.3">
      <c r="A15" s="12" t="s">
        <v>51</v>
      </c>
      <c r="B15" s="13">
        <v>46030</v>
      </c>
      <c r="C15" s="14" t="s">
        <v>20</v>
      </c>
      <c r="D15" s="14" t="s">
        <v>21</v>
      </c>
      <c r="E15" s="14" t="s">
        <v>31</v>
      </c>
      <c r="F15" s="14" t="s">
        <v>32</v>
      </c>
      <c r="G15" s="14">
        <v>12</v>
      </c>
      <c r="H15" s="14">
        <v>2400</v>
      </c>
      <c r="I15" s="14">
        <v>28800</v>
      </c>
      <c r="J15" s="14">
        <v>20500</v>
      </c>
      <c r="K15" s="14">
        <v>8300</v>
      </c>
      <c r="L15" s="15">
        <v>0</v>
      </c>
      <c r="M15" s="16" t="s">
        <v>18</v>
      </c>
    </row>
    <row r="16" spans="1:13" x14ac:dyDescent="0.3">
      <c r="A16" s="17" t="s">
        <v>52</v>
      </c>
      <c r="B16" s="18">
        <v>46031</v>
      </c>
      <c r="C16" s="19" t="s">
        <v>24</v>
      </c>
      <c r="D16" s="19" t="s">
        <v>25</v>
      </c>
      <c r="E16" s="19" t="s">
        <v>35</v>
      </c>
      <c r="F16" s="19" t="s">
        <v>22</v>
      </c>
      <c r="G16" s="19">
        <v>25</v>
      </c>
      <c r="H16" s="19">
        <v>950</v>
      </c>
      <c r="I16" s="19">
        <v>23750</v>
      </c>
      <c r="J16" s="19">
        <v>17000</v>
      </c>
      <c r="K16" s="19">
        <v>6750</v>
      </c>
      <c r="L16" s="20">
        <v>0.05</v>
      </c>
      <c r="M16" s="21" t="s">
        <v>18</v>
      </c>
    </row>
    <row r="17" spans="1:15" ht="15" thickBot="1" x14ac:dyDescent="0.35"/>
    <row r="18" spans="1:15" ht="15" thickBot="1" x14ac:dyDescent="0.35">
      <c r="A18" s="36" t="s">
        <v>65</v>
      </c>
      <c r="B18" s="37"/>
      <c r="C18" s="37"/>
      <c r="D18" s="37"/>
      <c r="E18" s="38"/>
    </row>
    <row r="19" spans="1:15" ht="14.4" customHeight="1" x14ac:dyDescent="0.3">
      <c r="A19" s="39" t="s">
        <v>64</v>
      </c>
      <c r="B19" s="40"/>
      <c r="C19" s="40"/>
      <c r="D19" s="40"/>
      <c r="E19" s="41"/>
    </row>
    <row r="20" spans="1:15" x14ac:dyDescent="0.3">
      <c r="A20" s="42"/>
      <c r="B20" s="43"/>
      <c r="C20" s="43"/>
      <c r="D20" s="43"/>
      <c r="E20" s="44"/>
    </row>
    <row r="21" spans="1:15" x14ac:dyDescent="0.3">
      <c r="A21" s="42"/>
      <c r="B21" s="43"/>
      <c r="C21" s="43"/>
      <c r="D21" s="43"/>
      <c r="E21" s="44"/>
    </row>
    <row r="22" spans="1:15" x14ac:dyDescent="0.3">
      <c r="A22" s="42"/>
      <c r="B22" s="43"/>
      <c r="C22" s="43"/>
      <c r="D22" s="43"/>
      <c r="E22" s="44"/>
    </row>
    <row r="23" spans="1:15" x14ac:dyDescent="0.3">
      <c r="A23" s="42"/>
      <c r="B23" s="43"/>
      <c r="C23" s="43"/>
      <c r="D23" s="43"/>
      <c r="E23" s="43"/>
      <c r="F23" s="27">
        <f>SUM(I2:I16)</f>
        <v>816550</v>
      </c>
    </row>
    <row r="24" spans="1:15" x14ac:dyDescent="0.3">
      <c r="A24" s="42"/>
      <c r="B24" s="43"/>
      <c r="C24" s="43"/>
      <c r="D24" s="43"/>
      <c r="E24" s="43"/>
      <c r="F24" s="27">
        <f>SUBTOTAL(9,I2:I16)</f>
        <v>816550</v>
      </c>
      <c r="G24" s="34" t="s">
        <v>66</v>
      </c>
      <c r="H24" s="34"/>
      <c r="I24" s="34"/>
      <c r="J24" s="34"/>
      <c r="K24" s="34"/>
      <c r="L24" s="34"/>
      <c r="M24" s="34"/>
      <c r="N24" s="34"/>
      <c r="O24" s="34"/>
    </row>
    <row r="25" spans="1:15" x14ac:dyDescent="0.3">
      <c r="A25" s="42"/>
      <c r="B25" s="43"/>
      <c r="C25" s="43"/>
      <c r="D25" s="43"/>
      <c r="E25" s="43"/>
      <c r="F25" s="27">
        <f>SUBTOTAL(109,I2:I16)</f>
        <v>593550</v>
      </c>
      <c r="G25" s="34" t="s">
        <v>67</v>
      </c>
      <c r="H25" s="34"/>
      <c r="I25" s="34"/>
      <c r="J25" s="34"/>
      <c r="K25" s="34"/>
      <c r="L25" s="34"/>
      <c r="M25" s="34"/>
      <c r="N25" s="34"/>
      <c r="O25" s="34"/>
    </row>
    <row r="26" spans="1:15" x14ac:dyDescent="0.3">
      <c r="A26" s="42"/>
      <c r="B26" s="43"/>
      <c r="C26" s="43"/>
      <c r="D26" s="43"/>
      <c r="E26" s="44"/>
    </row>
    <row r="27" spans="1:15" x14ac:dyDescent="0.3">
      <c r="A27" s="42"/>
      <c r="B27" s="43"/>
      <c r="C27" s="43"/>
      <c r="D27" s="43"/>
      <c r="E27" s="44"/>
    </row>
    <row r="28" spans="1:15" x14ac:dyDescent="0.3">
      <c r="A28" s="42"/>
      <c r="B28" s="43"/>
      <c r="C28" s="43"/>
      <c r="D28" s="43"/>
      <c r="E28" s="44"/>
    </row>
    <row r="29" spans="1:15" x14ac:dyDescent="0.3">
      <c r="A29" s="42"/>
      <c r="B29" s="43"/>
      <c r="C29" s="43"/>
      <c r="D29" s="43"/>
      <c r="E29" s="43"/>
      <c r="F29" s="8" t="s">
        <v>68</v>
      </c>
      <c r="G29" s="8"/>
      <c r="H29" s="8"/>
    </row>
    <row r="30" spans="1:15" x14ac:dyDescent="0.3">
      <c r="A30" s="42"/>
      <c r="B30" s="43"/>
      <c r="C30" s="43"/>
      <c r="D30" s="43"/>
      <c r="E30" s="43"/>
      <c r="F30" s="8" t="s">
        <v>69</v>
      </c>
      <c r="G30" s="8"/>
      <c r="H30" s="8"/>
    </row>
    <row r="31" spans="1:15" ht="15" thickBot="1" x14ac:dyDescent="0.35">
      <c r="A31" s="45"/>
      <c r="B31" s="46"/>
      <c r="C31" s="46"/>
      <c r="D31" s="46"/>
      <c r="E31" s="47"/>
    </row>
  </sheetData>
  <mergeCells count="6">
    <mergeCell ref="A19:E31"/>
    <mergeCell ref="A18:E18"/>
    <mergeCell ref="G24:O24"/>
    <mergeCell ref="G25:O25"/>
    <mergeCell ref="F29:H29"/>
    <mergeCell ref="F30:H30"/>
  </mergeCells>
  <pageMargins left="0.25" right="0.25" top="0.75" bottom="0.75" header="0.3" footer="0.3"/>
  <pageSetup paperSize="9"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865-744C-4A47-BAB1-669F036A770B}">
  <sheetPr>
    <pageSetUpPr fitToPage="1"/>
  </sheetPr>
  <dimension ref="A1:M38"/>
  <sheetViews>
    <sheetView tabSelected="1" zoomScale="115" zoomScaleNormal="115" workbookViewId="0">
      <selection activeCell="G24" sqref="G24"/>
    </sheetView>
  </sheetViews>
  <sheetFormatPr defaultRowHeight="14.4" x14ac:dyDescent="0.3"/>
  <cols>
    <col min="1" max="1" width="10.33203125" customWidth="1"/>
    <col min="2" max="2" width="9.33203125" bestFit="1" customWidth="1"/>
    <col min="3" max="3" width="8.44140625" customWidth="1"/>
    <col min="4" max="4" width="13.33203125" customWidth="1"/>
    <col min="5" max="5" width="10.33203125" customWidth="1"/>
    <col min="6" max="6" width="10.44140625" customWidth="1"/>
    <col min="7" max="7" width="7" customWidth="1"/>
    <col min="8" max="8" width="11.21875" customWidth="1"/>
    <col min="9" max="10" width="7.6640625" bestFit="1" customWidth="1"/>
    <col min="11" max="11" width="7.109375" customWidth="1"/>
    <col min="12" max="12" width="10.109375" customWidth="1"/>
    <col min="13" max="13" width="9.44140625" bestFit="1" customWidth="1"/>
  </cols>
  <sheetData>
    <row r="1" spans="1:13" x14ac:dyDescent="0.3">
      <c r="A1" s="9" t="s">
        <v>0</v>
      </c>
      <c r="B1" s="10" t="s">
        <v>1</v>
      </c>
      <c r="C1" s="10" t="s">
        <v>2</v>
      </c>
      <c r="D1" s="10" t="s">
        <v>3</v>
      </c>
      <c r="E1" s="10" t="s">
        <v>4</v>
      </c>
      <c r="F1" s="10" t="s">
        <v>5</v>
      </c>
      <c r="G1" s="10" t="s">
        <v>6</v>
      </c>
      <c r="H1" s="10" t="s">
        <v>7</v>
      </c>
      <c r="I1" s="10" t="s">
        <v>8</v>
      </c>
      <c r="J1" s="10" t="s">
        <v>9</v>
      </c>
      <c r="K1" s="10" t="s">
        <v>10</v>
      </c>
      <c r="L1" s="10" t="s">
        <v>11</v>
      </c>
      <c r="M1" s="11" t="s">
        <v>12</v>
      </c>
    </row>
    <row r="2" spans="1:13" x14ac:dyDescent="0.3">
      <c r="A2" s="12" t="s">
        <v>13</v>
      </c>
      <c r="B2" s="13">
        <v>46023</v>
      </c>
      <c r="C2" s="14" t="s">
        <v>14</v>
      </c>
      <c r="D2" s="14" t="s">
        <v>15</v>
      </c>
      <c r="E2" s="14" t="s">
        <v>16</v>
      </c>
      <c r="F2" s="14" t="s">
        <v>17</v>
      </c>
      <c r="G2" s="14">
        <v>2</v>
      </c>
      <c r="H2" s="14">
        <v>50000</v>
      </c>
      <c r="I2" s="14">
        <v>100000</v>
      </c>
      <c r="J2" s="14">
        <v>86000</v>
      </c>
      <c r="K2" s="14">
        <v>14000</v>
      </c>
      <c r="L2" s="15">
        <v>0.05</v>
      </c>
      <c r="M2" s="16" t="s">
        <v>18</v>
      </c>
    </row>
    <row r="3" spans="1:13" x14ac:dyDescent="0.3">
      <c r="A3" s="12" t="s">
        <v>19</v>
      </c>
      <c r="B3" s="13">
        <v>46024</v>
      </c>
      <c r="C3" s="14" t="s">
        <v>20</v>
      </c>
      <c r="D3" s="14" t="s">
        <v>21</v>
      </c>
      <c r="E3" s="14" t="s">
        <v>16</v>
      </c>
      <c r="F3" s="14" t="s">
        <v>22</v>
      </c>
      <c r="G3" s="14">
        <v>1</v>
      </c>
      <c r="H3" s="14">
        <v>55000</v>
      </c>
      <c r="I3" s="14">
        <v>55000</v>
      </c>
      <c r="J3" s="14">
        <v>47000</v>
      </c>
      <c r="K3" s="14">
        <v>8000</v>
      </c>
      <c r="L3" s="15">
        <v>0.1</v>
      </c>
      <c r="M3" s="16" t="s">
        <v>18</v>
      </c>
    </row>
    <row r="4" spans="1:13" x14ac:dyDescent="0.3">
      <c r="A4" s="12" t="s">
        <v>23</v>
      </c>
      <c r="B4" s="13">
        <v>46024</v>
      </c>
      <c r="C4" s="14" t="s">
        <v>24</v>
      </c>
      <c r="D4" s="14" t="s">
        <v>25</v>
      </c>
      <c r="E4" s="14" t="s">
        <v>26</v>
      </c>
      <c r="F4" s="14" t="s">
        <v>27</v>
      </c>
      <c r="G4" s="14">
        <v>4</v>
      </c>
      <c r="H4" s="14">
        <v>12000</v>
      </c>
      <c r="I4" s="14">
        <v>48000</v>
      </c>
      <c r="J4" s="14">
        <v>39000</v>
      </c>
      <c r="K4" s="14">
        <v>9000</v>
      </c>
      <c r="L4" s="15">
        <v>0</v>
      </c>
      <c r="M4" s="16" t="s">
        <v>18</v>
      </c>
    </row>
    <row r="5" spans="1:13" x14ac:dyDescent="0.3">
      <c r="A5" s="12" t="s">
        <v>28</v>
      </c>
      <c r="B5" s="13">
        <v>46025</v>
      </c>
      <c r="C5" s="14" t="s">
        <v>29</v>
      </c>
      <c r="D5" s="14" t="s">
        <v>30</v>
      </c>
      <c r="E5" s="14" t="s">
        <v>31</v>
      </c>
      <c r="F5" s="14" t="s">
        <v>32</v>
      </c>
      <c r="G5" s="14">
        <v>10</v>
      </c>
      <c r="H5" s="14">
        <v>2500</v>
      </c>
      <c r="I5" s="14">
        <v>25000</v>
      </c>
      <c r="J5" s="14">
        <v>18000</v>
      </c>
      <c r="K5" s="14">
        <v>7000</v>
      </c>
      <c r="L5" s="15">
        <v>0.15</v>
      </c>
      <c r="M5" s="16" t="s">
        <v>33</v>
      </c>
    </row>
    <row r="6" spans="1:13" x14ac:dyDescent="0.3">
      <c r="A6" s="12" t="s">
        <v>34</v>
      </c>
      <c r="B6" s="13">
        <v>46025</v>
      </c>
      <c r="C6" s="14" t="s">
        <v>14</v>
      </c>
      <c r="D6" s="14" t="s">
        <v>15</v>
      </c>
      <c r="E6" s="14" t="s">
        <v>35</v>
      </c>
      <c r="F6" s="14" t="s">
        <v>22</v>
      </c>
      <c r="G6" s="14">
        <v>20</v>
      </c>
      <c r="H6" s="14">
        <v>900</v>
      </c>
      <c r="I6" s="14">
        <v>18000</v>
      </c>
      <c r="J6" s="14">
        <v>13000</v>
      </c>
      <c r="K6" s="14">
        <v>5000</v>
      </c>
      <c r="L6" s="15">
        <v>0.05</v>
      </c>
      <c r="M6" s="16" t="s">
        <v>18</v>
      </c>
    </row>
    <row r="7" spans="1:13" x14ac:dyDescent="0.3">
      <c r="A7" s="12" t="s">
        <v>36</v>
      </c>
      <c r="B7" s="13">
        <v>46026</v>
      </c>
      <c r="C7" s="14" t="s">
        <v>20</v>
      </c>
      <c r="D7" s="14" t="s">
        <v>21</v>
      </c>
      <c r="E7" s="14" t="s">
        <v>16</v>
      </c>
      <c r="F7" s="14" t="s">
        <v>37</v>
      </c>
      <c r="G7" s="14">
        <v>3</v>
      </c>
      <c r="H7" s="14">
        <v>48000</v>
      </c>
      <c r="I7" s="14">
        <v>144000</v>
      </c>
      <c r="J7" s="14">
        <v>120000</v>
      </c>
      <c r="K7" s="14">
        <v>24000</v>
      </c>
      <c r="L7" s="15">
        <v>0.08</v>
      </c>
      <c r="M7" s="16" t="s">
        <v>18</v>
      </c>
    </row>
    <row r="8" spans="1:13" x14ac:dyDescent="0.3">
      <c r="A8" s="12" t="s">
        <v>38</v>
      </c>
      <c r="B8" s="13">
        <v>46026</v>
      </c>
      <c r="C8" s="14" t="s">
        <v>24</v>
      </c>
      <c r="D8" s="14" t="s">
        <v>25</v>
      </c>
      <c r="E8" s="14" t="s">
        <v>39</v>
      </c>
      <c r="F8" s="14" t="s">
        <v>40</v>
      </c>
      <c r="G8" s="14">
        <v>2</v>
      </c>
      <c r="H8" s="14">
        <v>18000</v>
      </c>
      <c r="I8" s="14">
        <v>36000</v>
      </c>
      <c r="J8" s="14">
        <v>29000</v>
      </c>
      <c r="K8" s="14">
        <v>7000</v>
      </c>
      <c r="L8" s="15">
        <v>0.12</v>
      </c>
      <c r="M8" s="16" t="s">
        <v>41</v>
      </c>
    </row>
    <row r="9" spans="1:13" x14ac:dyDescent="0.3">
      <c r="A9" s="12" t="s">
        <v>42</v>
      </c>
      <c r="B9" s="13">
        <v>46027</v>
      </c>
      <c r="C9" s="14" t="s">
        <v>29</v>
      </c>
      <c r="D9" s="14" t="s">
        <v>30</v>
      </c>
      <c r="E9" s="14" t="s">
        <v>26</v>
      </c>
      <c r="F9" s="14" t="s">
        <v>43</v>
      </c>
      <c r="G9" s="14">
        <v>5</v>
      </c>
      <c r="H9" s="14">
        <v>14000</v>
      </c>
      <c r="I9" s="14">
        <v>70000</v>
      </c>
      <c r="J9" s="14">
        <v>56000</v>
      </c>
      <c r="K9" s="14">
        <v>14000</v>
      </c>
      <c r="L9" s="15">
        <v>0.1</v>
      </c>
      <c r="M9" s="16" t="s">
        <v>18</v>
      </c>
    </row>
    <row r="10" spans="1:13" x14ac:dyDescent="0.3">
      <c r="A10" s="12" t="s">
        <v>44</v>
      </c>
      <c r="B10" s="13">
        <v>46027</v>
      </c>
      <c r="C10" s="14" t="s">
        <v>14</v>
      </c>
      <c r="D10" s="14" t="s">
        <v>15</v>
      </c>
      <c r="E10" s="14" t="s">
        <v>31</v>
      </c>
      <c r="F10" s="14" t="s">
        <v>22</v>
      </c>
      <c r="G10" s="14">
        <v>15</v>
      </c>
      <c r="H10" s="14">
        <v>2300</v>
      </c>
      <c r="I10" s="14">
        <v>34500</v>
      </c>
      <c r="J10" s="14">
        <v>25000</v>
      </c>
      <c r="K10" s="14">
        <v>9500</v>
      </c>
      <c r="L10" s="15">
        <v>0.05</v>
      </c>
      <c r="M10" s="16" t="s">
        <v>18</v>
      </c>
    </row>
    <row r="11" spans="1:13" x14ac:dyDescent="0.3">
      <c r="A11" s="12" t="s">
        <v>45</v>
      </c>
      <c r="B11" s="13">
        <v>46028</v>
      </c>
      <c r="C11" s="14" t="s">
        <v>20</v>
      </c>
      <c r="D11" s="14" t="s">
        <v>21</v>
      </c>
      <c r="E11" s="14" t="s">
        <v>35</v>
      </c>
      <c r="F11" s="14" t="s">
        <v>17</v>
      </c>
      <c r="G11" s="14">
        <v>30</v>
      </c>
      <c r="H11" s="14">
        <v>850</v>
      </c>
      <c r="I11" s="14">
        <v>25500</v>
      </c>
      <c r="J11" s="14">
        <v>18000</v>
      </c>
      <c r="K11" s="14">
        <v>7500</v>
      </c>
      <c r="L11" s="15">
        <v>0</v>
      </c>
      <c r="M11" s="16" t="s">
        <v>18</v>
      </c>
    </row>
    <row r="12" spans="1:13" x14ac:dyDescent="0.3">
      <c r="A12" s="12" t="s">
        <v>46</v>
      </c>
      <c r="B12" s="13">
        <v>46028</v>
      </c>
      <c r="C12" s="14" t="s">
        <v>24</v>
      </c>
      <c r="D12" s="14" t="s">
        <v>25</v>
      </c>
      <c r="E12" s="14" t="s">
        <v>16</v>
      </c>
      <c r="F12" s="14" t="s">
        <v>47</v>
      </c>
      <c r="G12" s="14">
        <v>2</v>
      </c>
      <c r="H12" s="14">
        <v>43000</v>
      </c>
      <c r="I12" s="14">
        <v>86000</v>
      </c>
      <c r="J12" s="14">
        <v>72000</v>
      </c>
      <c r="K12" s="14">
        <v>14000</v>
      </c>
      <c r="L12" s="15">
        <v>0.05</v>
      </c>
      <c r="M12" s="16" t="s">
        <v>18</v>
      </c>
    </row>
    <row r="13" spans="1:13" x14ac:dyDescent="0.3">
      <c r="A13" s="12" t="s">
        <v>48</v>
      </c>
      <c r="B13" s="13">
        <v>46029</v>
      </c>
      <c r="C13" s="14" t="s">
        <v>29</v>
      </c>
      <c r="D13" s="14" t="s">
        <v>30</v>
      </c>
      <c r="E13" s="14" t="s">
        <v>39</v>
      </c>
      <c r="F13" s="14" t="s">
        <v>49</v>
      </c>
      <c r="G13" s="14">
        <v>2</v>
      </c>
      <c r="H13" s="14">
        <v>16000</v>
      </c>
      <c r="I13" s="14">
        <v>32000</v>
      </c>
      <c r="J13" s="14">
        <v>27000</v>
      </c>
      <c r="K13" s="14">
        <v>5000</v>
      </c>
      <c r="L13" s="14" t="s">
        <v>33</v>
      </c>
      <c r="M13" s="16"/>
    </row>
    <row r="14" spans="1:13" x14ac:dyDescent="0.3">
      <c r="A14" s="12" t="s">
        <v>50</v>
      </c>
      <c r="B14" s="13">
        <v>46030</v>
      </c>
      <c r="C14" s="14" t="s">
        <v>14</v>
      </c>
      <c r="D14" s="14" t="s">
        <v>15</v>
      </c>
      <c r="E14" s="14" t="s">
        <v>26</v>
      </c>
      <c r="F14" s="14" t="s">
        <v>17</v>
      </c>
      <c r="G14" s="14">
        <v>6</v>
      </c>
      <c r="H14" s="14">
        <v>15000</v>
      </c>
      <c r="I14" s="14">
        <v>90000</v>
      </c>
      <c r="J14" s="14">
        <v>73000</v>
      </c>
      <c r="K14" s="14">
        <v>17000</v>
      </c>
      <c r="L14" s="15">
        <v>0.1</v>
      </c>
      <c r="M14" s="16" t="s">
        <v>18</v>
      </c>
    </row>
    <row r="15" spans="1:13" x14ac:dyDescent="0.3">
      <c r="A15" s="12" t="s">
        <v>51</v>
      </c>
      <c r="B15" s="13">
        <v>46030</v>
      </c>
      <c r="C15" s="14" t="s">
        <v>20</v>
      </c>
      <c r="D15" s="14" t="s">
        <v>21</v>
      </c>
      <c r="E15" s="14" t="s">
        <v>31</v>
      </c>
      <c r="F15" s="14" t="s">
        <v>32</v>
      </c>
      <c r="G15" s="14">
        <v>12</v>
      </c>
      <c r="H15" s="14">
        <v>2400</v>
      </c>
      <c r="I15" s="14">
        <v>28800</v>
      </c>
      <c r="J15" s="14">
        <v>20500</v>
      </c>
      <c r="K15" s="14">
        <v>8300</v>
      </c>
      <c r="L15" s="15">
        <v>0</v>
      </c>
      <c r="M15" s="16" t="s">
        <v>18</v>
      </c>
    </row>
    <row r="16" spans="1:13" x14ac:dyDescent="0.3">
      <c r="A16" s="17" t="s">
        <v>52</v>
      </c>
      <c r="B16" s="18">
        <v>46031</v>
      </c>
      <c r="C16" s="19" t="s">
        <v>24</v>
      </c>
      <c r="D16" s="19" t="s">
        <v>25</v>
      </c>
      <c r="E16" s="19" t="s">
        <v>35</v>
      </c>
      <c r="F16" s="19" t="s">
        <v>22</v>
      </c>
      <c r="G16" s="19">
        <v>25</v>
      </c>
      <c r="H16" s="19">
        <v>950</v>
      </c>
      <c r="I16" s="19">
        <v>23750</v>
      </c>
      <c r="J16" s="19">
        <v>17000</v>
      </c>
      <c r="K16" s="19">
        <v>6750</v>
      </c>
      <c r="L16" s="20">
        <v>0.05</v>
      </c>
      <c r="M16" s="21" t="s">
        <v>18</v>
      </c>
    </row>
    <row r="18" spans="1:6" x14ac:dyDescent="0.3">
      <c r="A18" s="6" t="s">
        <v>70</v>
      </c>
      <c r="B18" s="6"/>
      <c r="C18" s="6"/>
      <c r="D18" s="6"/>
      <c r="E18" s="35" t="s">
        <v>55</v>
      </c>
      <c r="F18" s="35"/>
    </row>
    <row r="19" spans="1:6" ht="14.4" customHeight="1" x14ac:dyDescent="0.3">
      <c r="A19" s="5" t="s">
        <v>71</v>
      </c>
      <c r="B19" s="5"/>
      <c r="C19" s="5"/>
      <c r="D19" s="5"/>
      <c r="E19" s="49" t="s">
        <v>73</v>
      </c>
      <c r="F19" s="49" t="s">
        <v>72</v>
      </c>
    </row>
    <row r="20" spans="1:6" x14ac:dyDescent="0.3">
      <c r="A20" s="5"/>
      <c r="B20" s="5"/>
      <c r="C20" s="5"/>
      <c r="D20" s="5"/>
      <c r="E20" s="49"/>
      <c r="F20" s="49"/>
    </row>
    <row r="21" spans="1:6" x14ac:dyDescent="0.3">
      <c r="A21" s="5"/>
      <c r="B21" s="5"/>
      <c r="C21" s="5"/>
      <c r="D21" s="5"/>
      <c r="E21" s="49"/>
      <c r="F21" s="49"/>
    </row>
    <row r="22" spans="1:6" x14ac:dyDescent="0.3">
      <c r="A22" s="5"/>
      <c r="B22" s="5"/>
      <c r="C22" s="5"/>
      <c r="D22" s="5"/>
      <c r="E22" s="49"/>
      <c r="F22" s="49"/>
    </row>
    <row r="23" spans="1:6" x14ac:dyDescent="0.3">
      <c r="A23" s="5"/>
      <c r="B23" s="5"/>
      <c r="C23" s="5"/>
      <c r="D23" s="5"/>
      <c r="E23" s="49"/>
      <c r="F23" s="49"/>
    </row>
    <row r="24" spans="1:6" x14ac:dyDescent="0.3">
      <c r="A24" s="5"/>
      <c r="B24" s="5"/>
      <c r="C24" s="5"/>
      <c r="D24" s="5"/>
      <c r="E24" s="27">
        <f>SUM(I2:I16)</f>
        <v>816550</v>
      </c>
      <c r="F24" s="27">
        <f>SUBTOTAL(109,I2:I16)</f>
        <v>816550</v>
      </c>
    </row>
    <row r="25" spans="1:6" x14ac:dyDescent="0.3">
      <c r="A25" s="5"/>
      <c r="B25" s="5"/>
      <c r="C25" s="5"/>
      <c r="D25" s="5"/>
      <c r="E25" s="27">
        <f>AVERAGE(K2:K16)</f>
        <v>10403.333333333334</v>
      </c>
      <c r="F25" s="27">
        <f>SUBTOTAL(101,K2:K16)</f>
        <v>10403.333333333334</v>
      </c>
    </row>
    <row r="26" spans="1:6" x14ac:dyDescent="0.3">
      <c r="A26" s="5"/>
      <c r="B26" s="5"/>
      <c r="C26" s="5"/>
      <c r="D26" s="5"/>
      <c r="E26" s="27">
        <f>MAX(K2:K16)</f>
        <v>24000</v>
      </c>
      <c r="F26" s="27">
        <f>SUBTOTAL(4,K2:K16)</f>
        <v>24000</v>
      </c>
    </row>
    <row r="27" spans="1:6" x14ac:dyDescent="0.3">
      <c r="A27" s="5"/>
      <c r="B27" s="5"/>
      <c r="C27" s="5"/>
      <c r="D27" s="5"/>
      <c r="E27" s="27">
        <f>MIN(K2:K16)</f>
        <v>5000</v>
      </c>
      <c r="F27" s="27">
        <f>SUBTOTAL(5,K2:K16)</f>
        <v>5000</v>
      </c>
    </row>
    <row r="28" spans="1:6" x14ac:dyDescent="0.3">
      <c r="A28" s="5"/>
      <c r="B28" s="5"/>
      <c r="C28" s="5"/>
      <c r="D28" s="5"/>
      <c r="E28" s="27">
        <f>COUNTA(A2:A16)</f>
        <v>15</v>
      </c>
      <c r="F28" s="27">
        <f>SUBTOTAL(3,A2:A16)</f>
        <v>15</v>
      </c>
    </row>
    <row r="29" spans="1:6" x14ac:dyDescent="0.3">
      <c r="A29" s="5"/>
      <c r="B29" s="5"/>
      <c r="C29" s="5"/>
      <c r="D29" s="5"/>
      <c r="E29" s="27">
        <f>COUNTIF(M2:M16,"Delivered")</f>
        <v>12</v>
      </c>
      <c r="F29" s="27"/>
    </row>
    <row r="30" spans="1:6" x14ac:dyDescent="0.3">
      <c r="A30" s="5"/>
      <c r="B30" s="5"/>
      <c r="C30" s="5"/>
      <c r="D30" s="5"/>
      <c r="E30" s="27">
        <f>COUNTIF(M2:M16,"Pending")</f>
        <v>1</v>
      </c>
      <c r="F30" s="27"/>
    </row>
    <row r="31" spans="1:6" x14ac:dyDescent="0.3">
      <c r="A31" s="5"/>
      <c r="B31" s="5"/>
      <c r="C31" s="5"/>
      <c r="D31" s="5"/>
      <c r="E31" s="27">
        <f>COUNTIF(M2:M16,"Cancelled")</f>
        <v>1</v>
      </c>
      <c r="F31" s="27"/>
    </row>
    <row r="32" spans="1:6" x14ac:dyDescent="0.3">
      <c r="A32" s="5"/>
      <c r="B32" s="5"/>
      <c r="C32" s="5"/>
      <c r="D32" s="5"/>
    </row>
    <row r="33" spans="1:13" x14ac:dyDescent="0.3">
      <c r="A33" s="5"/>
      <c r="B33" s="5"/>
      <c r="C33" s="5"/>
      <c r="D33" s="5"/>
    </row>
    <row r="34" spans="1:13" x14ac:dyDescent="0.3">
      <c r="A34" s="5"/>
      <c r="B34" s="5"/>
      <c r="C34" s="5"/>
      <c r="D34" s="5"/>
    </row>
    <row r="35" spans="1:13" x14ac:dyDescent="0.3">
      <c r="A35" s="5"/>
      <c r="B35" s="5"/>
      <c r="C35" s="5"/>
      <c r="D35" s="5"/>
    </row>
    <row r="36" spans="1:13" x14ac:dyDescent="0.3">
      <c r="A36" s="5"/>
      <c r="B36" s="5"/>
      <c r="C36" s="5"/>
      <c r="D36" s="5"/>
    </row>
    <row r="37" spans="1:13" x14ac:dyDescent="0.3">
      <c r="A37" s="5"/>
      <c r="B37" s="5"/>
      <c r="C37" s="5"/>
      <c r="D37" s="5"/>
      <c r="E37" s="33" t="s">
        <v>74</v>
      </c>
      <c r="F37" s="33"/>
      <c r="G37" s="33"/>
      <c r="H37" s="33"/>
      <c r="I37" s="33"/>
      <c r="J37" s="33"/>
      <c r="K37" s="33"/>
      <c r="L37" s="33"/>
      <c r="M37" s="33"/>
    </row>
    <row r="38" spans="1:13" x14ac:dyDescent="0.3">
      <c r="A38" s="5"/>
      <c r="B38" s="5"/>
      <c r="C38" s="5"/>
      <c r="D38" s="5"/>
      <c r="E38" s="33"/>
      <c r="F38" s="33"/>
      <c r="G38" s="33"/>
      <c r="H38" s="33"/>
      <c r="I38" s="33"/>
      <c r="J38" s="33"/>
      <c r="K38" s="33"/>
      <c r="L38" s="33"/>
      <c r="M38" s="33"/>
    </row>
  </sheetData>
  <mergeCells count="6">
    <mergeCell ref="A18:D18"/>
    <mergeCell ref="A19:D38"/>
    <mergeCell ref="E19:E23"/>
    <mergeCell ref="F19:F23"/>
    <mergeCell ref="E18:F18"/>
    <mergeCell ref="E37:M38"/>
  </mergeCells>
  <pageMargins left="0.25" right="0.25" top="0.75" bottom="0.75" header="0.3" footer="0.3"/>
  <pageSetup paperSize="9" scale="83" fitToWidth="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RAW-DATA</vt:lpstr>
      <vt:lpstr>Problem 1</vt:lpstr>
      <vt:lpstr>Problem 2</vt:lpstr>
      <vt:lpstr>Problem 3</vt:lpstr>
      <vt:lpstr>Problem 4</vt:lpstr>
      <vt:lpstr>Problem 5</vt:lpstr>
      <vt:lpstr>'Problem 1'!Print_Area</vt:lpstr>
      <vt:lpstr>'Problem 2'!Print_Area</vt:lpstr>
      <vt:lpstr>'Problem 3'!Print_Area</vt:lpstr>
      <vt:lpstr>'Problem 4'!Print_Area</vt:lpstr>
      <vt:lpstr>'Problem 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Souptik Bej</dc:creator>
  <cp:lastModifiedBy>Souptik Bej</cp:lastModifiedBy>
  <cp:lastPrinted>2026-08-04T08:22:40Z</cp:lastPrinted>
  <dcterms:created xsi:type="dcterms:W3CDTF">2026-08-04T05:37:54Z</dcterms:created>
  <dcterms:modified xsi:type="dcterms:W3CDTF">2026-08-04T08:23:35Z</dcterms:modified>
</cp:coreProperties>
</file>