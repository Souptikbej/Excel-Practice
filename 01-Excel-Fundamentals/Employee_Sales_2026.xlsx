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2B081D0-1D05-402F-B938-BA02A21940A6}" xr6:coauthVersionLast="47" xr6:coauthVersionMax="47" xr10:uidLastSave="{00000000-0000-0000-0000-000000000000}"/>
  <bookViews>
    <workbookView xWindow="3420" yWindow="3420" windowWidth="17280" windowHeight="9420" xr2:uid="{5C010742-0D1E-4B81-84DF-4C0EBDAA81F1}"/>
  </bookViews>
  <sheets>
    <sheet name="Employee Report" sheetId="1" r:id="rId1"/>
  </sheets>
  <definedNames>
    <definedName name="_xlnm.Print_Area" localSheetId="0">'Employee Report'!$A$1:$S$23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2" i="1"/>
  <c r="C20" i="1"/>
  <c r="N2" i="1" s="1"/>
  <c r="O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22" i="1"/>
  <c r="G21" i="1"/>
  <c r="G20" i="1"/>
  <c r="E23" i="1"/>
  <c r="E22" i="1"/>
  <c r="E21" i="1"/>
  <c r="E20" i="1"/>
  <c r="N13" i="1" l="1"/>
  <c r="O13" i="1" s="1"/>
  <c r="N16" i="1"/>
  <c r="O16" i="1" s="1"/>
  <c r="N15" i="1"/>
  <c r="O15" i="1" s="1"/>
  <c r="N14" i="1"/>
  <c r="O14" i="1" s="1"/>
  <c r="N12" i="1"/>
  <c r="O12" i="1" s="1"/>
  <c r="N11" i="1"/>
  <c r="O11" i="1" s="1"/>
  <c r="N10" i="1"/>
  <c r="O10" i="1" s="1"/>
  <c r="N9" i="1"/>
  <c r="O9" i="1" s="1"/>
  <c r="N8" i="1"/>
  <c r="O8" i="1" s="1"/>
  <c r="N7" i="1"/>
  <c r="O7" i="1" s="1"/>
  <c r="N6" i="1"/>
  <c r="O6" i="1" s="1"/>
  <c r="N5" i="1"/>
  <c r="O5" i="1" s="1"/>
  <c r="N4" i="1"/>
  <c r="O4" i="1" s="1"/>
  <c r="N3" i="1"/>
  <c r="O3" i="1" s="1"/>
</calcChain>
</file>

<file path=xl/sharedStrings.xml><?xml version="1.0" encoding="utf-8"?>
<sst xmlns="http://schemas.openxmlformats.org/spreadsheetml/2006/main" count="148" uniqueCount="119">
  <si>
    <t>Name</t>
  </si>
  <si>
    <t>City</t>
  </si>
  <si>
    <t>Salary</t>
  </si>
  <si>
    <t>Bonus %</t>
  </si>
  <si>
    <t>HR</t>
  </si>
  <si>
    <t>Delhi</t>
  </si>
  <si>
    <t>IT</t>
  </si>
  <si>
    <t>Mumbai</t>
  </si>
  <si>
    <t>Finance</t>
  </si>
  <si>
    <t>Bangalore</t>
  </si>
  <si>
    <t>Sales</t>
  </si>
  <si>
    <t>Pune</t>
  </si>
  <si>
    <t>Hyderabad</t>
  </si>
  <si>
    <t>Chennai</t>
  </si>
  <si>
    <t>Jaipur</t>
  </si>
  <si>
    <t>Emp ID</t>
  </si>
  <si>
    <t>Department</t>
  </si>
  <si>
    <t>Joining Date</t>
  </si>
  <si>
    <t>Rating</t>
  </si>
  <si>
    <t>Phone</t>
  </si>
  <si>
    <t>Status</t>
  </si>
  <si>
    <t>Rahul Sharma</t>
  </si>
  <si>
    <t>Active</t>
  </si>
  <si>
    <t>Priya Das</t>
  </si>
  <si>
    <t>Kolkata</t>
  </si>
  <si>
    <t>Amit Roy</t>
  </si>
  <si>
    <t>Sneha Paul</t>
  </si>
  <si>
    <t>Leave</t>
  </si>
  <si>
    <t>Arjun Singh</t>
  </si>
  <si>
    <t>Neha Gupta</t>
  </si>
  <si>
    <t>Marketing</t>
  </si>
  <si>
    <t>Vikram Jain</t>
  </si>
  <si>
    <t>Pooja Sen</t>
  </si>
  <si>
    <t>Ankit Kumar</t>
  </si>
  <si>
    <t>Probation</t>
  </si>
  <si>
    <t>Riya Bose</t>
  </si>
  <si>
    <t>Karan Mehta</t>
  </si>
  <si>
    <t>Ahmedabad</t>
  </si>
  <si>
    <t>Meera Patel</t>
  </si>
  <si>
    <t>Surat</t>
  </si>
  <si>
    <t>Suman Ghosh</t>
  </si>
  <si>
    <t>Deepak Yadav</t>
  </si>
  <si>
    <t>Lucknow</t>
  </si>
  <si>
    <t>Ananya Roy</t>
  </si>
  <si>
    <t>Bonus Amount</t>
  </si>
  <si>
    <t>EMP-101</t>
  </si>
  <si>
    <t>EMP-102</t>
  </si>
  <si>
    <t>EMP-103</t>
  </si>
  <si>
    <t>EMP-104</t>
  </si>
  <si>
    <t>EMP-105</t>
  </si>
  <si>
    <t>EMP-106</t>
  </si>
  <si>
    <t>EMP-107</t>
  </si>
  <si>
    <t>EMP-108</t>
  </si>
  <si>
    <t>EMP-109</t>
  </si>
  <si>
    <t>EMP-110</t>
  </si>
  <si>
    <t>EMP-111</t>
  </si>
  <si>
    <t>EMP-112</t>
  </si>
  <si>
    <t>EMP-113</t>
  </si>
  <si>
    <t>EMP-114</t>
  </si>
  <si>
    <t>EMP-115</t>
  </si>
  <si>
    <t>Total Salary</t>
  </si>
  <si>
    <t>Average Salary</t>
  </si>
  <si>
    <t>Highest Salary</t>
  </si>
  <si>
    <t>Lowest Salary</t>
  </si>
  <si>
    <t>Employees Exist</t>
  </si>
  <si>
    <t>Total Sales</t>
  </si>
  <si>
    <t>Average Rating</t>
  </si>
  <si>
    <t>Tax Rate</t>
  </si>
  <si>
    <t>Tax</t>
  </si>
  <si>
    <t>Today's Date</t>
  </si>
  <si>
    <t>Worings Days</t>
  </si>
  <si>
    <t>Experience(Y)</t>
  </si>
  <si>
    <t>F_Name</t>
  </si>
  <si>
    <t>L_Name</t>
  </si>
  <si>
    <t>Rahul</t>
  </si>
  <si>
    <t>Priya</t>
  </si>
  <si>
    <t>Amit</t>
  </si>
  <si>
    <t>Sneha</t>
  </si>
  <si>
    <t>Arjun</t>
  </si>
  <si>
    <t>Neha</t>
  </si>
  <si>
    <t>Vikram</t>
  </si>
  <si>
    <t>Pooja</t>
  </si>
  <si>
    <t>Ankit</t>
  </si>
  <si>
    <t>Riya</t>
  </si>
  <si>
    <t>Karan</t>
  </si>
  <si>
    <t>Meera</t>
  </si>
  <si>
    <t>Suman</t>
  </si>
  <si>
    <t>Deepak</t>
  </si>
  <si>
    <t>Ananya</t>
  </si>
  <si>
    <t>Sharma</t>
  </si>
  <si>
    <t>Das</t>
  </si>
  <si>
    <t>Roy</t>
  </si>
  <si>
    <t>Paul</t>
  </si>
  <si>
    <t>Singh</t>
  </si>
  <si>
    <t>Gupta</t>
  </si>
  <si>
    <t>Jain</t>
  </si>
  <si>
    <t>Sen</t>
  </si>
  <si>
    <t>Kumar</t>
  </si>
  <si>
    <t>Bose</t>
  </si>
  <si>
    <t>Mehta</t>
  </si>
  <si>
    <t>Patel</t>
  </si>
  <si>
    <t>Ghosh</t>
  </si>
  <si>
    <t>Yadav</t>
  </si>
  <si>
    <t>Emil_Id</t>
  </si>
  <si>
    <t>Emp_code</t>
  </si>
  <si>
    <t>RS</t>
  </si>
  <si>
    <t>PD</t>
  </si>
  <si>
    <t>AR</t>
  </si>
  <si>
    <t>SP</t>
  </si>
  <si>
    <t>AS</t>
  </si>
  <si>
    <t>NG</t>
  </si>
  <si>
    <t>VJ</t>
  </si>
  <si>
    <t>PS</t>
  </si>
  <si>
    <t>AK</t>
  </si>
  <si>
    <t>RB</t>
  </si>
  <si>
    <t>KM</t>
  </si>
  <si>
    <t>MP</t>
  </si>
  <si>
    <t>SG</t>
  </si>
  <si>
    <t>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</si>
</sst>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9" formatCode="&quot;₹&quot;\ #,##0.00"/>
    <numFmt numFmtId="170" formatCode="dd/mmm/yyyy"/>
    <numFmt numFmtId="171" formatCode="0.0"/>
    <numFmt numFmtId="172" formatCode="#####\-#####"/>
    <numFmt numFmtId="173" formatCode="&quot;EMP-&quot;000"/>
  </numFmts>
  <fonts count="3" x14ac:knownFonts="1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9" fontId="0" fillId="0" borderId="1" xfId="0" applyNumberFormat="1" applyBorder="1" applyAlignment="1">
      <alignment horizontal="right" vertical="center" wrapText="1"/>
    </xf>
    <xf numFmtId="43" fontId="0" fillId="0" borderId="1" xfId="1" applyFont="1" applyBorder="1" applyAlignment="1">
      <alignment horizontal="right" vertical="center" wrapText="1"/>
    </xf>
    <xf numFmtId="10" fontId="0" fillId="0" borderId="1" xfId="0" applyNumberFormat="1" applyBorder="1" applyAlignment="1">
      <alignment horizontal="right" vertical="center" wrapText="1"/>
    </xf>
    <xf numFmtId="170" fontId="0" fillId="0" borderId="1" xfId="0" applyNumberFormat="1" applyBorder="1" applyAlignment="1">
      <alignment vertical="center" wrapText="1"/>
    </xf>
    <xf numFmtId="171" fontId="0" fillId="0" borderId="1" xfId="0" applyNumberFormat="1" applyBorder="1" applyAlignment="1">
      <alignment horizontal="right" vertical="center" wrapText="1"/>
    </xf>
    <xf numFmtId="172" fontId="0" fillId="0" borderId="1" xfId="0" applyNumberFormat="1" applyBorder="1" applyAlignment="1">
      <alignment vertical="center" wrapText="1"/>
    </xf>
    <xf numFmtId="169" fontId="0" fillId="0" borderId="0" xfId="0" applyNumberFormat="1" applyAlignment="1">
      <alignment vertical="center" wrapText="1"/>
    </xf>
    <xf numFmtId="169" fontId="0" fillId="0" borderId="0" xfId="0" applyNumberFormat="1"/>
    <xf numFmtId="0" fontId="2" fillId="2" borderId="0" xfId="0" applyFont="1" applyFill="1" applyAlignment="1">
      <alignment vertical="center" wrapText="1"/>
    </xf>
    <xf numFmtId="43" fontId="0" fillId="0" borderId="0" xfId="0" applyNumberFormat="1" applyAlignment="1">
      <alignment vertical="center" wrapText="1"/>
    </xf>
    <xf numFmtId="171" fontId="0" fillId="0" borderId="0" xfId="0" applyNumberFormat="1"/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wrapText="1"/>
    </xf>
    <xf numFmtId="15" fontId="2" fillId="2" borderId="0" xfId="0" applyNumberFormat="1" applyFont="1" applyFill="1" applyAlignment="1">
      <alignment horizontal="left" vertical="center"/>
    </xf>
    <xf numFmtId="15" fontId="2" fillId="2" borderId="0" xfId="0" applyNumberFormat="1" applyFont="1" applyFill="1" applyAlignment="1">
      <alignment horizontal="left" vertical="center" wrapText="1"/>
    </xf>
    <xf numFmtId="14" fontId="0" fillId="0" borderId="0" xfId="0" applyNumberFormat="1" applyAlignment="1">
      <alignment vertical="center" wrapText="1"/>
    </xf>
    <xf numFmtId="0" fontId="0" fillId="0" borderId="1" xfId="0" applyBorder="1"/>
    <xf numFmtId="171" fontId="0" fillId="0" borderId="1" xfId="0" applyNumberForma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73" fontId="0" fillId="0" borderId="5" xfId="0" applyNumberFormat="1" applyBorder="1" applyAlignment="1">
      <alignment vertical="center" wrapText="1"/>
    </xf>
    <xf numFmtId="173" fontId="0" fillId="0" borderId="7" xfId="0" applyNumberForma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170" fontId="0" fillId="0" borderId="8" xfId="0" applyNumberFormat="1" applyBorder="1" applyAlignment="1">
      <alignment vertical="center" wrapText="1"/>
    </xf>
    <xf numFmtId="169" fontId="0" fillId="0" borderId="8" xfId="0" applyNumberFormat="1" applyBorder="1" applyAlignment="1">
      <alignment horizontal="right" vertical="center" wrapText="1"/>
    </xf>
    <xf numFmtId="10" fontId="0" fillId="0" borderId="8" xfId="0" applyNumberFormat="1" applyBorder="1" applyAlignment="1">
      <alignment horizontal="right" vertical="center" wrapText="1"/>
    </xf>
    <xf numFmtId="43" fontId="0" fillId="0" borderId="8" xfId="1" applyFont="1" applyBorder="1" applyAlignment="1">
      <alignment horizontal="right" vertical="center" wrapText="1"/>
    </xf>
    <xf numFmtId="171" fontId="0" fillId="0" borderId="8" xfId="0" applyNumberFormat="1" applyBorder="1" applyAlignment="1">
      <alignment horizontal="right" vertical="center" wrapText="1"/>
    </xf>
    <xf numFmtId="172" fontId="0" fillId="0" borderId="8" xfId="0" applyNumberFormat="1" applyBorder="1" applyAlignment="1">
      <alignment vertical="center" wrapText="1"/>
    </xf>
    <xf numFmtId="0" fontId="0" fillId="0" borderId="8" xfId="0" applyBorder="1"/>
    <xf numFmtId="0" fontId="0" fillId="0" borderId="6" xfId="0" applyBorder="1"/>
    <xf numFmtId="171" fontId="0" fillId="0" borderId="8" xfId="0" applyNumberFormat="1" applyBorder="1"/>
    <xf numFmtId="0" fontId="0" fillId="0" borderId="9" xfId="0" applyBorder="1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D4C5C-D03E-4B7A-A44B-431478AFBB18}">
  <sheetPr>
    <pageSetUpPr fitToPage="1"/>
  </sheetPr>
  <dimension ref="A1:S23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21" sqref="L21"/>
    </sheetView>
  </sheetViews>
  <sheetFormatPr defaultRowHeight="21" x14ac:dyDescent="0.4"/>
  <cols>
    <col min="1" max="1" width="8" bestFit="1" customWidth="1"/>
    <col min="2" max="2" width="11.640625" bestFit="1" customWidth="1"/>
    <col min="3" max="3" width="10.42578125" bestFit="1" customWidth="1"/>
    <col min="4" max="4" width="10.0703125" bestFit="1" customWidth="1"/>
    <col min="5" max="5" width="12" bestFit="1" customWidth="1"/>
    <col min="6" max="6" width="14.0703125" bestFit="1" customWidth="1"/>
    <col min="7" max="7" width="12.42578125" bestFit="1" customWidth="1"/>
    <col min="8" max="8" width="12.35546875" bestFit="1" customWidth="1"/>
    <col min="9" max="9" width="7.5" bestFit="1" customWidth="1"/>
    <col min="10" max="10" width="11.42578125" bestFit="1" customWidth="1"/>
    <col min="11" max="11" width="5.78515625" bestFit="1" customWidth="1"/>
    <col min="12" max="12" width="11.7109375" bestFit="1" customWidth="1"/>
    <col min="13" max="13" width="8.28515625" bestFit="1" customWidth="1"/>
    <col min="14" max="14" width="11.5" bestFit="1" customWidth="1"/>
    <col min="15" max="15" width="11.85546875" bestFit="1" customWidth="1"/>
    <col min="16" max="16" width="7.2109375" bestFit="1" customWidth="1"/>
    <col min="17" max="17" width="7.140625" bestFit="1" customWidth="1"/>
    <col min="18" max="18" width="24.2109375" bestFit="1" customWidth="1"/>
    <col min="19" max="19" width="9.0703125" bestFit="1" customWidth="1"/>
  </cols>
  <sheetData>
    <row r="1" spans="1:19" ht="42" x14ac:dyDescent="0.4">
      <c r="A1" s="24" t="s">
        <v>15</v>
      </c>
      <c r="B1" s="25" t="s">
        <v>0</v>
      </c>
      <c r="C1" s="25" t="s">
        <v>16</v>
      </c>
      <c r="D1" s="25" t="s">
        <v>1</v>
      </c>
      <c r="E1" s="25" t="s">
        <v>17</v>
      </c>
      <c r="F1" s="25" t="s">
        <v>2</v>
      </c>
      <c r="G1" s="25" t="s">
        <v>68</v>
      </c>
      <c r="H1" s="25" t="s">
        <v>44</v>
      </c>
      <c r="I1" s="25" t="s">
        <v>3</v>
      </c>
      <c r="J1" s="25" t="s">
        <v>10</v>
      </c>
      <c r="K1" s="25" t="s">
        <v>18</v>
      </c>
      <c r="L1" s="25" t="s">
        <v>19</v>
      </c>
      <c r="M1" s="25" t="s">
        <v>20</v>
      </c>
      <c r="N1" s="39" t="s">
        <v>70</v>
      </c>
      <c r="O1" s="39" t="s">
        <v>71</v>
      </c>
      <c r="P1" s="39" t="s">
        <v>72</v>
      </c>
      <c r="Q1" s="39" t="s">
        <v>73</v>
      </c>
      <c r="R1" s="39" t="s">
        <v>103</v>
      </c>
      <c r="S1" s="40" t="s">
        <v>104</v>
      </c>
    </row>
    <row r="2" spans="1:19" x14ac:dyDescent="0.4">
      <c r="A2" s="26" t="s">
        <v>45</v>
      </c>
      <c r="B2" s="5" t="s">
        <v>21</v>
      </c>
      <c r="C2" s="5" t="s">
        <v>10</v>
      </c>
      <c r="D2" s="5" t="s">
        <v>5</v>
      </c>
      <c r="E2" s="9">
        <v>44573</v>
      </c>
      <c r="F2" s="6">
        <v>45000</v>
      </c>
      <c r="G2" s="6">
        <f>F2*$K$20</f>
        <v>8100</v>
      </c>
      <c r="H2" s="6">
        <f>F2*I2</f>
        <v>3600</v>
      </c>
      <c r="I2" s="8">
        <v>0.08</v>
      </c>
      <c r="J2" s="7">
        <v>185000</v>
      </c>
      <c r="K2" s="10">
        <v>4.5</v>
      </c>
      <c r="L2" s="11">
        <v>9876543210</v>
      </c>
      <c r="M2" s="5" t="s">
        <v>22</v>
      </c>
      <c r="N2" s="22">
        <f ca="1">$C$20-E2</f>
        <v>1642</v>
      </c>
      <c r="O2" s="23">
        <f ca="1">N2/365</f>
        <v>4.4986301369863018</v>
      </c>
      <c r="P2" s="22" t="s">
        <v>74</v>
      </c>
      <c r="Q2" s="22" t="s">
        <v>89</v>
      </c>
      <c r="R2" s="22" t="str">
        <f>LOWER(P2)&amp;"."&amp;LOWER(Q2)&amp;"@company.com"</f>
        <v>rahul.sharma@company.com</v>
      </c>
      <c r="S2" s="36" t="s">
        <v>105</v>
      </c>
    </row>
    <row r="3" spans="1:19" x14ac:dyDescent="0.4">
      <c r="A3" s="26" t="s">
        <v>46</v>
      </c>
      <c r="B3" s="5" t="s">
        <v>23</v>
      </c>
      <c r="C3" s="5" t="s">
        <v>4</v>
      </c>
      <c r="D3" s="5" t="s">
        <v>24</v>
      </c>
      <c r="E3" s="9">
        <v>44280</v>
      </c>
      <c r="F3" s="6">
        <v>38000</v>
      </c>
      <c r="G3" s="6">
        <f>F3*$K$20</f>
        <v>6840</v>
      </c>
      <c r="H3" s="6">
        <f>F3*I3</f>
        <v>1900</v>
      </c>
      <c r="I3" s="8">
        <v>0.05</v>
      </c>
      <c r="J3" s="7">
        <v>0</v>
      </c>
      <c r="K3" s="10">
        <v>4.2</v>
      </c>
      <c r="L3" s="11">
        <v>9123456789</v>
      </c>
      <c r="M3" s="5" t="s">
        <v>22</v>
      </c>
      <c r="N3" s="22">
        <f ca="1">$C$20-E3</f>
        <v>1935</v>
      </c>
      <c r="O3" s="23">
        <f t="shared" ref="O3:O16" ca="1" si="0">N3/365</f>
        <v>5.3013698630136989</v>
      </c>
      <c r="P3" s="22" t="s">
        <v>75</v>
      </c>
      <c r="Q3" s="22" t="s">
        <v>90</v>
      </c>
      <c r="R3" s="22" t="str">
        <f t="shared" ref="R3:R16" si="1">LOWER(P3)&amp;"."&amp;LOWER(Q3)&amp;"@company.com"</f>
        <v>priya.das@company.com</v>
      </c>
      <c r="S3" s="36" t="s">
        <v>106</v>
      </c>
    </row>
    <row r="4" spans="1:19" x14ac:dyDescent="0.4">
      <c r="A4" s="26" t="s">
        <v>47</v>
      </c>
      <c r="B4" s="5" t="s">
        <v>25</v>
      </c>
      <c r="C4" s="5" t="s">
        <v>8</v>
      </c>
      <c r="D4" s="5" t="s">
        <v>7</v>
      </c>
      <c r="E4" s="9">
        <v>44030</v>
      </c>
      <c r="F4" s="6">
        <v>55000</v>
      </c>
      <c r="G4" s="6">
        <f>F4*$K$20</f>
        <v>9900</v>
      </c>
      <c r="H4" s="6">
        <f>F4*I4</f>
        <v>5500</v>
      </c>
      <c r="I4" s="8">
        <v>0.1</v>
      </c>
      <c r="J4" s="7">
        <v>75000</v>
      </c>
      <c r="K4" s="10">
        <v>4.8</v>
      </c>
      <c r="L4" s="11">
        <v>9988776655</v>
      </c>
      <c r="M4" s="5" t="s">
        <v>22</v>
      </c>
      <c r="N4" s="22">
        <f ca="1">$C$20-E4</f>
        <v>2185</v>
      </c>
      <c r="O4" s="23">
        <f t="shared" ca="1" si="0"/>
        <v>5.9863013698630141</v>
      </c>
      <c r="P4" s="22" t="s">
        <v>76</v>
      </c>
      <c r="Q4" s="22" t="s">
        <v>91</v>
      </c>
      <c r="R4" s="22" t="str">
        <f t="shared" si="1"/>
        <v>amit.roy@company.com</v>
      </c>
      <c r="S4" s="36" t="s">
        <v>107</v>
      </c>
    </row>
    <row r="5" spans="1:19" x14ac:dyDescent="0.4">
      <c r="A5" s="26" t="s">
        <v>48</v>
      </c>
      <c r="B5" s="5" t="s">
        <v>26</v>
      </c>
      <c r="C5" s="5" t="s">
        <v>6</v>
      </c>
      <c r="D5" s="5" t="s">
        <v>9</v>
      </c>
      <c r="E5" s="9">
        <v>44960</v>
      </c>
      <c r="F5" s="6">
        <v>47000</v>
      </c>
      <c r="G5" s="6">
        <f>F5*$K$20</f>
        <v>8460</v>
      </c>
      <c r="H5" s="6">
        <f>F5*I5</f>
        <v>3290.0000000000005</v>
      </c>
      <c r="I5" s="8">
        <v>7.0000000000000007E-2</v>
      </c>
      <c r="J5" s="7">
        <v>120000</v>
      </c>
      <c r="K5" s="10">
        <v>4.3</v>
      </c>
      <c r="L5" s="11">
        <v>9090909090</v>
      </c>
      <c r="M5" s="5" t="s">
        <v>27</v>
      </c>
      <c r="N5" s="22">
        <f ca="1">$C$20-E5</f>
        <v>1255</v>
      </c>
      <c r="O5" s="23">
        <f t="shared" ca="1" si="0"/>
        <v>3.4383561643835616</v>
      </c>
      <c r="P5" s="22" t="s">
        <v>77</v>
      </c>
      <c r="Q5" s="22" t="s">
        <v>92</v>
      </c>
      <c r="R5" s="22" t="str">
        <f t="shared" si="1"/>
        <v>sneha.paul@company.com</v>
      </c>
      <c r="S5" s="36" t="s">
        <v>108</v>
      </c>
    </row>
    <row r="6" spans="1:19" x14ac:dyDescent="0.4">
      <c r="A6" s="26" t="s">
        <v>49</v>
      </c>
      <c r="B6" s="5" t="s">
        <v>28</v>
      </c>
      <c r="C6" s="5" t="s">
        <v>10</v>
      </c>
      <c r="D6" s="5" t="s">
        <v>14</v>
      </c>
      <c r="E6" s="9">
        <v>43692</v>
      </c>
      <c r="F6" s="6">
        <v>51000</v>
      </c>
      <c r="G6" s="6">
        <f>F6*$K$20</f>
        <v>9180</v>
      </c>
      <c r="H6" s="6">
        <f>F6*I6</f>
        <v>6120</v>
      </c>
      <c r="I6" s="8">
        <v>0.12</v>
      </c>
      <c r="J6" s="7">
        <v>260000</v>
      </c>
      <c r="K6" s="10">
        <v>4.9000000000000004</v>
      </c>
      <c r="L6" s="11">
        <v>9871234567</v>
      </c>
      <c r="M6" s="5" t="s">
        <v>22</v>
      </c>
      <c r="N6" s="22">
        <f ca="1">$C$20-E6</f>
        <v>2523</v>
      </c>
      <c r="O6" s="23">
        <f t="shared" ca="1" si="0"/>
        <v>6.912328767123288</v>
      </c>
      <c r="P6" s="22" t="s">
        <v>78</v>
      </c>
      <c r="Q6" s="22" t="s">
        <v>93</v>
      </c>
      <c r="R6" s="22" t="str">
        <f t="shared" si="1"/>
        <v>arjun.singh@company.com</v>
      </c>
      <c r="S6" s="36" t="s">
        <v>109</v>
      </c>
    </row>
    <row r="7" spans="1:19" x14ac:dyDescent="0.4">
      <c r="A7" s="26" t="s">
        <v>50</v>
      </c>
      <c r="B7" s="5" t="s">
        <v>29</v>
      </c>
      <c r="C7" s="5" t="s">
        <v>30</v>
      </c>
      <c r="D7" s="5" t="s">
        <v>11</v>
      </c>
      <c r="E7" s="9">
        <v>44844</v>
      </c>
      <c r="F7" s="6">
        <v>44000</v>
      </c>
      <c r="G7" s="6">
        <f>F7*$K$20</f>
        <v>7920</v>
      </c>
      <c r="H7" s="6">
        <f>F7*I7</f>
        <v>2640</v>
      </c>
      <c r="I7" s="8">
        <v>0.06</v>
      </c>
      <c r="J7" s="7">
        <v>145000</v>
      </c>
      <c r="K7" s="10">
        <v>4.0999999999999996</v>
      </c>
      <c r="L7" s="11">
        <v>8765432109</v>
      </c>
      <c r="M7" s="5" t="s">
        <v>22</v>
      </c>
      <c r="N7" s="22">
        <f ca="1">$C$20-E7</f>
        <v>1371</v>
      </c>
      <c r="O7" s="23">
        <f t="shared" ca="1" si="0"/>
        <v>3.7561643835616438</v>
      </c>
      <c r="P7" s="22" t="s">
        <v>79</v>
      </c>
      <c r="Q7" s="22" t="s">
        <v>94</v>
      </c>
      <c r="R7" s="22" t="str">
        <f t="shared" si="1"/>
        <v>neha.gupta@company.com</v>
      </c>
      <c r="S7" s="36" t="s">
        <v>110</v>
      </c>
    </row>
    <row r="8" spans="1:19" x14ac:dyDescent="0.4">
      <c r="A8" s="26" t="s">
        <v>51</v>
      </c>
      <c r="B8" s="5" t="s">
        <v>31</v>
      </c>
      <c r="C8" s="5" t="s">
        <v>6</v>
      </c>
      <c r="D8" s="5" t="s">
        <v>13</v>
      </c>
      <c r="E8" s="9">
        <v>44321</v>
      </c>
      <c r="F8" s="6">
        <v>62000</v>
      </c>
      <c r="G8" s="6">
        <f>F8*$K$20</f>
        <v>11160</v>
      </c>
      <c r="H8" s="6">
        <f>F8*I8</f>
        <v>5580</v>
      </c>
      <c r="I8" s="8">
        <v>0.09</v>
      </c>
      <c r="J8" s="7">
        <v>98000</v>
      </c>
      <c r="K8" s="10">
        <v>4.5999999999999996</v>
      </c>
      <c r="L8" s="11">
        <v>7896541230</v>
      </c>
      <c r="M8" s="5" t="s">
        <v>22</v>
      </c>
      <c r="N8" s="22">
        <f ca="1">$C$20-E8</f>
        <v>1894</v>
      </c>
      <c r="O8" s="23">
        <f t="shared" ca="1" si="0"/>
        <v>5.1890410958904107</v>
      </c>
      <c r="P8" s="22" t="s">
        <v>80</v>
      </c>
      <c r="Q8" s="22" t="s">
        <v>95</v>
      </c>
      <c r="R8" s="22" t="str">
        <f t="shared" si="1"/>
        <v>vikram.jain@company.com</v>
      </c>
      <c r="S8" s="36" t="s">
        <v>111</v>
      </c>
    </row>
    <row r="9" spans="1:19" x14ac:dyDescent="0.4">
      <c r="A9" s="26" t="s">
        <v>52</v>
      </c>
      <c r="B9" s="5" t="s">
        <v>32</v>
      </c>
      <c r="C9" s="5" t="s">
        <v>8</v>
      </c>
      <c r="D9" s="5" t="s">
        <v>24</v>
      </c>
      <c r="E9" s="9">
        <v>44187</v>
      </c>
      <c r="F9" s="6">
        <v>57000</v>
      </c>
      <c r="G9" s="6">
        <f>F9*$K$20</f>
        <v>10260</v>
      </c>
      <c r="H9" s="6">
        <f>F9*I9</f>
        <v>5700</v>
      </c>
      <c r="I9" s="8">
        <v>0.1</v>
      </c>
      <c r="J9" s="7">
        <v>89000</v>
      </c>
      <c r="K9" s="10">
        <v>4.7</v>
      </c>
      <c r="L9" s="11">
        <v>9012345678</v>
      </c>
      <c r="M9" s="5" t="s">
        <v>22</v>
      </c>
      <c r="N9" s="22">
        <f ca="1">$C$20-E9</f>
        <v>2028</v>
      </c>
      <c r="O9" s="23">
        <f t="shared" ca="1" si="0"/>
        <v>5.5561643835616437</v>
      </c>
      <c r="P9" s="22" t="s">
        <v>81</v>
      </c>
      <c r="Q9" s="22" t="s">
        <v>96</v>
      </c>
      <c r="R9" s="22" t="str">
        <f t="shared" si="1"/>
        <v>pooja.sen@company.com</v>
      </c>
      <c r="S9" s="36" t="s">
        <v>112</v>
      </c>
    </row>
    <row r="10" spans="1:19" x14ac:dyDescent="0.4">
      <c r="A10" s="26" t="s">
        <v>53</v>
      </c>
      <c r="B10" s="5" t="s">
        <v>33</v>
      </c>
      <c r="C10" s="5" t="s">
        <v>10</v>
      </c>
      <c r="D10" s="5" t="s">
        <v>5</v>
      </c>
      <c r="E10" s="9">
        <v>45460</v>
      </c>
      <c r="F10" s="6">
        <v>39000</v>
      </c>
      <c r="G10" s="6">
        <f>F10*$K$20</f>
        <v>7020</v>
      </c>
      <c r="H10" s="6">
        <f>F10*I10</f>
        <v>1950</v>
      </c>
      <c r="I10" s="8">
        <v>0.05</v>
      </c>
      <c r="J10" s="7">
        <v>70000</v>
      </c>
      <c r="K10" s="10">
        <v>3.9</v>
      </c>
      <c r="L10" s="11">
        <v>8889997777</v>
      </c>
      <c r="M10" s="5" t="s">
        <v>34</v>
      </c>
      <c r="N10" s="22">
        <f ca="1">$C$20-E10</f>
        <v>755</v>
      </c>
      <c r="O10" s="23">
        <f t="shared" ca="1" si="0"/>
        <v>2.0684931506849313</v>
      </c>
      <c r="P10" s="22" t="s">
        <v>82</v>
      </c>
      <c r="Q10" s="22" t="s">
        <v>97</v>
      </c>
      <c r="R10" s="22" t="str">
        <f t="shared" si="1"/>
        <v>ankit.kumar@company.com</v>
      </c>
      <c r="S10" s="36" t="s">
        <v>113</v>
      </c>
    </row>
    <row r="11" spans="1:19" x14ac:dyDescent="0.4">
      <c r="A11" s="26" t="s">
        <v>54</v>
      </c>
      <c r="B11" s="5" t="s">
        <v>35</v>
      </c>
      <c r="C11" s="5" t="s">
        <v>30</v>
      </c>
      <c r="D11" s="5" t="s">
        <v>12</v>
      </c>
      <c r="E11" s="9">
        <v>45025</v>
      </c>
      <c r="F11" s="6">
        <v>46000</v>
      </c>
      <c r="G11" s="6">
        <f>F11*$K$20</f>
        <v>8280</v>
      </c>
      <c r="H11" s="6">
        <f>F11*I11</f>
        <v>3220.0000000000005</v>
      </c>
      <c r="I11" s="8">
        <v>7.0000000000000007E-2</v>
      </c>
      <c r="J11" s="7">
        <v>135000</v>
      </c>
      <c r="K11" s="10">
        <v>4.4000000000000004</v>
      </c>
      <c r="L11" s="11">
        <v>7654321098</v>
      </c>
      <c r="M11" s="5" t="s">
        <v>22</v>
      </c>
      <c r="N11" s="22">
        <f ca="1">$C$20-E11</f>
        <v>1190</v>
      </c>
      <c r="O11" s="23">
        <f t="shared" ca="1" si="0"/>
        <v>3.2602739726027399</v>
      </c>
      <c r="P11" s="22" t="s">
        <v>83</v>
      </c>
      <c r="Q11" s="22" t="s">
        <v>98</v>
      </c>
      <c r="R11" s="22" t="str">
        <f t="shared" si="1"/>
        <v>riya.bose@company.com</v>
      </c>
      <c r="S11" s="36" t="s">
        <v>114</v>
      </c>
    </row>
    <row r="12" spans="1:19" x14ac:dyDescent="0.4">
      <c r="A12" s="26" t="s">
        <v>55</v>
      </c>
      <c r="B12" s="5" t="s">
        <v>36</v>
      </c>
      <c r="C12" s="5" t="s">
        <v>4</v>
      </c>
      <c r="D12" s="5" t="s">
        <v>37</v>
      </c>
      <c r="E12" s="9">
        <v>44878</v>
      </c>
      <c r="F12" s="6">
        <v>41000</v>
      </c>
      <c r="G12" s="6">
        <f>F12*$K$20</f>
        <v>7380</v>
      </c>
      <c r="H12" s="6">
        <f>F12*I12</f>
        <v>2050</v>
      </c>
      <c r="I12" s="8">
        <v>0.05</v>
      </c>
      <c r="J12" s="7">
        <v>0</v>
      </c>
      <c r="K12" s="10">
        <v>4</v>
      </c>
      <c r="L12" s="11">
        <v>9988001122</v>
      </c>
      <c r="M12" s="5" t="s">
        <v>22</v>
      </c>
      <c r="N12" s="22">
        <f ca="1">$C$20-E12</f>
        <v>1337</v>
      </c>
      <c r="O12" s="23">
        <f t="shared" ca="1" si="0"/>
        <v>3.6630136986301371</v>
      </c>
      <c r="P12" s="22" t="s">
        <v>84</v>
      </c>
      <c r="Q12" s="22" t="s">
        <v>99</v>
      </c>
      <c r="R12" s="22" t="str">
        <f t="shared" si="1"/>
        <v>karan.mehta@company.com</v>
      </c>
      <c r="S12" s="36" t="s">
        <v>115</v>
      </c>
    </row>
    <row r="13" spans="1:19" x14ac:dyDescent="0.4">
      <c r="A13" s="26" t="s">
        <v>56</v>
      </c>
      <c r="B13" s="5" t="s">
        <v>38</v>
      </c>
      <c r="C13" s="5" t="s">
        <v>10</v>
      </c>
      <c r="D13" s="5" t="s">
        <v>39</v>
      </c>
      <c r="E13" s="9">
        <v>44197</v>
      </c>
      <c r="F13" s="6">
        <v>53000</v>
      </c>
      <c r="G13" s="6">
        <f>F13*$K$20</f>
        <v>9540</v>
      </c>
      <c r="H13" s="6">
        <f>F13*I13</f>
        <v>5830</v>
      </c>
      <c r="I13" s="8">
        <v>0.11</v>
      </c>
      <c r="J13" s="7">
        <v>225000</v>
      </c>
      <c r="K13" s="10">
        <v>4.8</v>
      </c>
      <c r="L13" s="11">
        <v>9111222333</v>
      </c>
      <c r="M13" s="5" t="s">
        <v>22</v>
      </c>
      <c r="N13" s="22">
        <f ca="1">$C$20-E13</f>
        <v>2018</v>
      </c>
      <c r="O13" s="23">
        <f t="shared" ca="1" si="0"/>
        <v>5.5287671232876709</v>
      </c>
      <c r="P13" s="22" t="s">
        <v>85</v>
      </c>
      <c r="Q13" s="22" t="s">
        <v>100</v>
      </c>
      <c r="R13" s="22" t="str">
        <f t="shared" si="1"/>
        <v>meera.patel@company.com</v>
      </c>
      <c r="S13" s="36" t="s">
        <v>116</v>
      </c>
    </row>
    <row r="14" spans="1:19" x14ac:dyDescent="0.4">
      <c r="A14" s="26" t="s">
        <v>57</v>
      </c>
      <c r="B14" s="5" t="s">
        <v>40</v>
      </c>
      <c r="C14" s="5" t="s">
        <v>6</v>
      </c>
      <c r="D14" s="5" t="s">
        <v>24</v>
      </c>
      <c r="E14" s="9">
        <v>43889</v>
      </c>
      <c r="F14" s="6">
        <v>68000</v>
      </c>
      <c r="G14" s="6">
        <f>F14*$K$20</f>
        <v>12240</v>
      </c>
      <c r="H14" s="6">
        <f>F14*I14</f>
        <v>6800</v>
      </c>
      <c r="I14" s="8">
        <v>0.1</v>
      </c>
      <c r="J14" s="7">
        <v>110000</v>
      </c>
      <c r="K14" s="10">
        <v>4.9000000000000004</v>
      </c>
      <c r="L14" s="11">
        <v>9333444555</v>
      </c>
      <c r="M14" s="5" t="s">
        <v>22</v>
      </c>
      <c r="N14" s="22">
        <f ca="1">$C$20-E14</f>
        <v>2326</v>
      </c>
      <c r="O14" s="23">
        <f t="shared" ca="1" si="0"/>
        <v>6.3726027397260276</v>
      </c>
      <c r="P14" s="22" t="s">
        <v>86</v>
      </c>
      <c r="Q14" s="22" t="s">
        <v>101</v>
      </c>
      <c r="R14" s="22" t="str">
        <f t="shared" si="1"/>
        <v>suman.ghosh@company.com</v>
      </c>
      <c r="S14" s="36" t="s">
        <v>117</v>
      </c>
    </row>
    <row r="15" spans="1:19" x14ac:dyDescent="0.4">
      <c r="A15" s="26" t="s">
        <v>58</v>
      </c>
      <c r="B15" s="5" t="s">
        <v>41</v>
      </c>
      <c r="C15" s="5" t="s">
        <v>8</v>
      </c>
      <c r="D15" s="5" t="s">
        <v>42</v>
      </c>
      <c r="E15" s="9">
        <v>45185</v>
      </c>
      <c r="F15" s="6">
        <v>45000</v>
      </c>
      <c r="G15" s="6">
        <f>F15*$K$20</f>
        <v>8100</v>
      </c>
      <c r="H15" s="6">
        <f>F15*I15</f>
        <v>2700</v>
      </c>
      <c r="I15" s="8">
        <v>0.06</v>
      </c>
      <c r="J15" s="7">
        <v>65000</v>
      </c>
      <c r="K15" s="10">
        <v>4.0999999999999996</v>
      </c>
      <c r="L15" s="11">
        <v>9555666777</v>
      </c>
      <c r="M15" s="5" t="s">
        <v>22</v>
      </c>
      <c r="N15" s="22">
        <f ca="1">$C$20-E15</f>
        <v>1030</v>
      </c>
      <c r="O15" s="23">
        <f t="shared" ca="1" si="0"/>
        <v>2.8219178082191783</v>
      </c>
      <c r="P15" s="22" t="s">
        <v>87</v>
      </c>
      <c r="Q15" s="22" t="s">
        <v>102</v>
      </c>
      <c r="R15" s="22" t="str">
        <f t="shared" si="1"/>
        <v>deepak.yadav@company.com</v>
      </c>
      <c r="S15" s="36" t="s">
        <v>118</v>
      </c>
    </row>
    <row r="16" spans="1:19" ht="21.6" thickBot="1" x14ac:dyDescent="0.45">
      <c r="A16" s="27" t="s">
        <v>59</v>
      </c>
      <c r="B16" s="28" t="s">
        <v>43</v>
      </c>
      <c r="C16" s="28" t="s">
        <v>30</v>
      </c>
      <c r="D16" s="28" t="s">
        <v>5</v>
      </c>
      <c r="E16" s="29">
        <v>44762</v>
      </c>
      <c r="F16" s="30">
        <v>48000</v>
      </c>
      <c r="G16" s="30">
        <f>F16*$K$20</f>
        <v>8640</v>
      </c>
      <c r="H16" s="30">
        <f>F16*I16</f>
        <v>3840</v>
      </c>
      <c r="I16" s="31">
        <v>0.08</v>
      </c>
      <c r="J16" s="32">
        <v>155000</v>
      </c>
      <c r="K16" s="33">
        <v>4.5</v>
      </c>
      <c r="L16" s="34">
        <v>9222333444</v>
      </c>
      <c r="M16" s="28" t="s">
        <v>27</v>
      </c>
      <c r="N16" s="35">
        <f ca="1">$C$20-E16</f>
        <v>1453</v>
      </c>
      <c r="O16" s="37">
        <f t="shared" ca="1" si="0"/>
        <v>3.9808219178082194</v>
      </c>
      <c r="P16" s="35" t="s">
        <v>88</v>
      </c>
      <c r="Q16" s="35" t="s">
        <v>91</v>
      </c>
      <c r="R16" s="35" t="str">
        <f t="shared" si="1"/>
        <v>ananya.roy@company.com</v>
      </c>
      <c r="S16" s="38" t="s">
        <v>107</v>
      </c>
    </row>
    <row r="17" spans="1:12" x14ac:dyDescent="0.4">
      <c r="A17" s="1"/>
      <c r="B17" s="1"/>
      <c r="C17" s="1"/>
      <c r="D17" s="2"/>
      <c r="E17" s="1"/>
      <c r="F17" s="1"/>
      <c r="G17" s="1"/>
      <c r="H17" s="1"/>
      <c r="I17" s="1"/>
      <c r="J17" s="3"/>
      <c r="K17" s="1"/>
      <c r="L17" s="1"/>
    </row>
    <row r="18" spans="1:12" x14ac:dyDescent="0.4">
      <c r="A18" s="1"/>
      <c r="B18" s="1"/>
      <c r="C18" s="1"/>
      <c r="D18" s="2"/>
      <c r="E18" s="1"/>
      <c r="F18" s="1"/>
      <c r="G18" s="1"/>
      <c r="H18" s="1"/>
      <c r="I18" s="1"/>
      <c r="J18" s="3"/>
      <c r="K18" s="1"/>
      <c r="L18" s="1"/>
    </row>
    <row r="19" spans="1:12" x14ac:dyDescent="0.4">
      <c r="A19" s="1"/>
      <c r="B19" s="1"/>
      <c r="C19" s="1"/>
      <c r="D19" s="2"/>
      <c r="E19" s="1"/>
      <c r="F19" s="1"/>
      <c r="G19" s="1"/>
      <c r="H19" s="1"/>
      <c r="I19" s="1"/>
      <c r="J19" s="3"/>
      <c r="K19" s="1"/>
      <c r="L19" s="1"/>
    </row>
    <row r="20" spans="1:12" x14ac:dyDescent="0.4">
      <c r="A20" s="1"/>
      <c r="B20" s="14" t="s">
        <v>69</v>
      </c>
      <c r="C20" s="21">
        <f ca="1">TODAY()</f>
        <v>46215</v>
      </c>
      <c r="D20" s="19" t="s">
        <v>60</v>
      </c>
      <c r="E20" s="12">
        <f>SUM(F2:F16)</f>
        <v>739000</v>
      </c>
      <c r="F20" s="17" t="s">
        <v>64</v>
      </c>
      <c r="G20" s="1">
        <f>COUNTA(A2:A16)</f>
        <v>15</v>
      </c>
      <c r="J20" s="4" t="s">
        <v>67</v>
      </c>
      <c r="K20" s="3">
        <v>0.18</v>
      </c>
      <c r="L20" s="1"/>
    </row>
    <row r="21" spans="1:12" ht="42" x14ac:dyDescent="0.4">
      <c r="A21" s="1"/>
      <c r="B21" s="1"/>
      <c r="C21" s="1"/>
      <c r="D21" s="20" t="s">
        <v>61</v>
      </c>
      <c r="E21" s="12">
        <f>AVERAGE(F2:F16)</f>
        <v>49266.666666666664</v>
      </c>
      <c r="F21" s="17" t="s">
        <v>65</v>
      </c>
      <c r="G21" s="15">
        <f>SUM(J2:J16)</f>
        <v>1732000</v>
      </c>
      <c r="I21" s="1"/>
      <c r="J21" s="3"/>
      <c r="K21" s="1"/>
      <c r="L21" s="1"/>
    </row>
    <row r="22" spans="1:12" ht="42" x14ac:dyDescent="0.4">
      <c r="D22" s="18" t="s">
        <v>62</v>
      </c>
      <c r="E22" s="13">
        <f>MAX(F2:F16)</f>
        <v>68000</v>
      </c>
      <c r="F22" s="18" t="s">
        <v>66</v>
      </c>
      <c r="G22" s="16">
        <f>AVERAGE(K2:K16)</f>
        <v>4.4466666666666672</v>
      </c>
    </row>
    <row r="23" spans="1:12" ht="42" x14ac:dyDescent="0.4">
      <c r="D23" s="18" t="s">
        <v>63</v>
      </c>
      <c r="E23" s="13">
        <f>MIN(F2:F16)</f>
        <v>38000</v>
      </c>
    </row>
  </sheetData>
  <conditionalFormatting sqref="F2:G16">
    <cfRule type="cellIs" dxfId="0" priority="1" operator="greaterThan">
      <formula>55000</formula>
    </cfRule>
  </conditionalFormatting>
  <dataValidations count="3">
    <dataValidation type="list" allowBlank="1" showInputMessage="1" showErrorMessage="1" sqref="M2:M16" xr:uid="{71E1CD32-E47B-4751-B65A-8506A652E29B}">
      <formula1>"Active,Leave,Probation,Resigned"</formula1>
    </dataValidation>
    <dataValidation type="whole" allowBlank="1" showInputMessage="1" showErrorMessage="1" sqref="K2:K16" xr:uid="{26641B98-A72F-420C-AE86-8DE53F228E1E}">
      <formula1>1</formula1>
      <formula2>5</formula2>
    </dataValidation>
    <dataValidation type="whole" allowBlank="1" showInputMessage="1" showErrorMessage="1" sqref="F2:F16" xr:uid="{D1FB4B38-9975-4FF1-9BE1-AEF76404A4C8}">
      <formula1>30000</formula1>
      <formula2>100000</formula2>
    </dataValidation>
  </dataValidations>
  <pageMargins left="0.25" right="0.25" top="0.75" bottom="0.75" header="0.3" footer="0.3"/>
  <pageSetup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Employee Report</vt:lpstr>
      <vt:lpstr>'Employee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Souptik Bej</cp:lastModifiedBy>
  <cp:lastPrinted>2026-07-12T12:31:14Z</cp:lastPrinted>
  <dcterms:created xsi:type="dcterms:W3CDTF">2025-09-28T11:40:48Z</dcterms:created>
  <dcterms:modified xsi:type="dcterms:W3CDTF">2026-07-12T13:06:24Z</dcterms:modified>
</cp:coreProperties>
</file>