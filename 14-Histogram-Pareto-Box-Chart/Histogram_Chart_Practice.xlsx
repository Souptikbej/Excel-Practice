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Excel\"/>
    </mc:Choice>
  </mc:AlternateContent>
  <xr:revisionPtr revIDLastSave="0" documentId="13_ncr:1_{BDFB7ADA-A108-4228-B32D-761854C33C0E}" xr6:coauthVersionLast="47" xr6:coauthVersionMax="47" xr10:uidLastSave="{00000000-0000-0000-0000-000000000000}"/>
  <bookViews>
    <workbookView xWindow="-28920" yWindow="-90" windowWidth="29040" windowHeight="16440" activeTab="2" xr2:uid="{1ACD988D-D738-46E5-80E8-E6BFD7F85F00}"/>
  </bookViews>
  <sheets>
    <sheet name="HISTOGRAM-CHART" sheetId="1" r:id="rId1"/>
    <sheet name="PARETO-CHART" sheetId="2" r:id="rId2"/>
    <sheet name="BOX-PLOT-CHART" sheetId="3" r:id="rId3"/>
  </sheets>
  <definedNames>
    <definedName name="_xlchart.v1.0" hidden="1">'BOX-PLOT-CHART'!$B$2:$B$21</definedName>
    <definedName name="_xlchart.v1.1" hidden="1">'BOX-PLOT-CHART'!$B$2:$B$21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6" i="3" l="1"/>
  <c r="B25" i="3"/>
  <c r="B24" i="3"/>
  <c r="B23" i="3"/>
  <c r="B22" i="3"/>
  <c r="E3" i="2"/>
  <c r="E4" i="2"/>
  <c r="E5" i="2"/>
  <c r="E6" i="2"/>
  <c r="E7" i="2"/>
  <c r="E8" i="2"/>
  <c r="E9" i="2"/>
  <c r="E2" i="2"/>
  <c r="C10" i="2"/>
  <c r="D4" i="2" s="1"/>
  <c r="F6" i="1"/>
  <c r="G6" i="1" s="1"/>
  <c r="F5" i="1"/>
  <c r="G5" i="1" s="1"/>
  <c r="F4" i="1"/>
  <c r="G4" i="1" s="1"/>
  <c r="F3" i="1"/>
  <c r="G3" i="1" s="1"/>
  <c r="F2" i="1"/>
  <c r="G2" i="1" s="1"/>
  <c r="B27" i="3" l="1"/>
  <c r="B28" i="3" s="1"/>
  <c r="F7" i="2"/>
  <c r="F6" i="2"/>
  <c r="F5" i="2"/>
  <c r="F4" i="2"/>
  <c r="F3" i="2"/>
  <c r="D3" i="2"/>
  <c r="D2" i="2"/>
  <c r="F2" i="2"/>
  <c r="D9" i="2"/>
  <c r="F9" i="2"/>
  <c r="D8" i="2"/>
  <c r="F8" i="2"/>
  <c r="D7" i="2"/>
  <c r="D6" i="2"/>
  <c r="D5" i="2"/>
  <c r="B29" i="3" l="1"/>
  <c r="C19" i="3" s="1"/>
  <c r="C3" i="3" l="1"/>
  <c r="C8" i="3"/>
  <c r="C7" i="3"/>
  <c r="C18" i="3"/>
  <c r="C16" i="3"/>
  <c r="C14" i="3"/>
  <c r="C13" i="3"/>
  <c r="C12" i="3"/>
  <c r="C10" i="3"/>
  <c r="C9" i="3"/>
  <c r="C2" i="3"/>
  <c r="C6" i="3"/>
  <c r="C21" i="3"/>
  <c r="C5" i="3"/>
  <c r="C17" i="3"/>
  <c r="C20" i="3"/>
  <c r="C15" i="3"/>
  <c r="C4" i="3"/>
  <c r="C11" i="3"/>
</calcChain>
</file>

<file path=xl/sharedStrings.xml><?xml version="1.0" encoding="utf-8"?>
<sst xmlns="http://schemas.openxmlformats.org/spreadsheetml/2006/main" count="133" uniqueCount="133">
  <si>
    <t>Student ID</t>
  </si>
  <si>
    <t>Student Name</t>
  </si>
  <si>
    <t>Marks</t>
  </si>
  <si>
    <t>S001</t>
  </si>
  <si>
    <t>Amit</t>
  </si>
  <si>
    <t>S002</t>
  </si>
  <si>
    <t>Priya</t>
  </si>
  <si>
    <t>S003</t>
  </si>
  <si>
    <t>Rahul</t>
  </si>
  <si>
    <t>S004</t>
  </si>
  <si>
    <t>Neha</t>
  </si>
  <si>
    <t>S005</t>
  </si>
  <si>
    <t>Karan</t>
  </si>
  <si>
    <t>S006</t>
  </si>
  <si>
    <t>Sneha</t>
  </si>
  <si>
    <t>S007</t>
  </si>
  <si>
    <t>Riya</t>
  </si>
  <si>
    <t>S008</t>
  </si>
  <si>
    <t>Arjun</t>
  </si>
  <si>
    <t>S009</t>
  </si>
  <si>
    <t>Pooja</t>
  </si>
  <si>
    <t>S010</t>
  </si>
  <si>
    <t>Vivek</t>
  </si>
  <si>
    <t>S011</t>
  </si>
  <si>
    <t>Rohit</t>
  </si>
  <si>
    <t>S012</t>
  </si>
  <si>
    <t>Simran</t>
  </si>
  <si>
    <t>S013</t>
  </si>
  <si>
    <t>Mohit</t>
  </si>
  <si>
    <t>S014</t>
  </si>
  <si>
    <t>Anjali</t>
  </si>
  <si>
    <t>S015</t>
  </si>
  <si>
    <t>Nikhil</t>
  </si>
  <si>
    <t>S016</t>
  </si>
  <si>
    <t>Aditi</t>
  </si>
  <si>
    <t>S017</t>
  </si>
  <si>
    <t>Varun</t>
  </si>
  <si>
    <t>S018</t>
  </si>
  <si>
    <t>Meera</t>
  </si>
  <si>
    <t>S019</t>
  </si>
  <si>
    <t>Saurav</t>
  </si>
  <si>
    <t>S020</t>
  </si>
  <si>
    <t>Kavya</t>
  </si>
  <si>
    <t>S021</t>
  </si>
  <si>
    <t>Deepak</t>
  </si>
  <si>
    <t>S022</t>
  </si>
  <si>
    <t>Ishita</t>
  </si>
  <si>
    <t>S023</t>
  </si>
  <si>
    <t>Akash</t>
  </si>
  <si>
    <t>S024</t>
  </si>
  <si>
    <t>Tanya</t>
  </si>
  <si>
    <t>S025</t>
  </si>
  <si>
    <t>Harsh</t>
  </si>
  <si>
    <t>Employee</t>
  </si>
  <si>
    <t>Monthly Sales (₹ Thousand)</t>
  </si>
  <si>
    <t>E01</t>
  </si>
  <si>
    <t>E02</t>
  </si>
  <si>
    <t>E03</t>
  </si>
  <si>
    <t>E04</t>
  </si>
  <si>
    <t>E05</t>
  </si>
  <si>
    <t>E06</t>
  </si>
  <si>
    <t>E07</t>
  </si>
  <si>
    <t>E08</t>
  </si>
  <si>
    <t>E09</t>
  </si>
  <si>
    <t>E10</t>
  </si>
  <si>
    <t>E11</t>
  </si>
  <si>
    <t>E12</t>
  </si>
  <si>
    <t>E13</t>
  </si>
  <si>
    <t>E14</t>
  </si>
  <si>
    <t>E15</t>
  </si>
  <si>
    <t>E16</t>
  </si>
  <si>
    <t>E17</t>
  </si>
  <si>
    <t>E18</t>
  </si>
  <si>
    <t>E19</t>
  </si>
  <si>
    <t>E20</t>
  </si>
  <si>
    <t>Defect ID</t>
  </si>
  <si>
    <t>Defect Type</t>
  </si>
  <si>
    <t>Count</t>
  </si>
  <si>
    <t>D01</t>
  </si>
  <si>
    <t>Scratch</t>
  </si>
  <si>
    <t>D02</t>
  </si>
  <si>
    <t>Dent</t>
  </si>
  <si>
    <t>D03</t>
  </si>
  <si>
    <t>Paint Issue</t>
  </si>
  <si>
    <t>D04</t>
  </si>
  <si>
    <t>Wrong Size</t>
  </si>
  <si>
    <t>D05</t>
  </si>
  <si>
    <t>Loose Part</t>
  </si>
  <si>
    <t>D06</t>
  </si>
  <si>
    <t>Crack</t>
  </si>
  <si>
    <t>D07</t>
  </si>
  <si>
    <t>Missing Label</t>
  </si>
  <si>
    <t>D08</t>
  </si>
  <si>
    <t>Other</t>
  </si>
  <si>
    <t>Frequency</t>
  </si>
  <si>
    <t>0-20</t>
  </si>
  <si>
    <t>21-40</t>
  </si>
  <si>
    <t>41-60</t>
  </si>
  <si>
    <t>61-80</t>
  </si>
  <si>
    <t>81-100</t>
  </si>
  <si>
    <t>Marks Range</t>
  </si>
  <si>
    <r>
      <rPr>
        <b/>
        <u/>
        <sz val="11"/>
        <color theme="1"/>
        <rFont val="Calibri"/>
        <family val="2"/>
        <scheme val="minor"/>
      </rPr>
      <t>Why was a Clustered Column Chart used instead of Excel's Histogram?</t>
    </r>
    <r>
      <rPr>
        <sz val="11"/>
        <color theme="1"/>
        <rFont val="Calibri"/>
        <family val="2"/>
        <scheme val="minor"/>
      </rPr>
      <t xml:space="preserve">
Excel's built-in Histogram automatically creates bins based on the minimum value in the dataset. In this dataset, the minimum mark is 12, so Excel generated bins like 12–32, 32–52, 52–72, etc. However, the question specifically requires the bins 0–20, 21–40, 41–60, 61–80, and 81–100.
Since Excel's Histogram does not allow complete control over custom bin ranges, a Clustered Column Chart was created using a manually calculated frequency table (using the COUNTIFS or FREQUENCY function). The Gap Width was then reduced to 0% so that the bars touch each other, making it visually similar to a histogram.
This approach accurately represents the required custom intervals and is commonly used in business reports and data analysis when predefined class intervals are required.</t>
    </r>
  </si>
  <si>
    <t>Which score range contains the highest number of students?</t>
  </si>
  <si>
    <t xml:space="preserve">Most students scored between 81 and 100, indicating that the overall performance of the class is high, with a large concentration of students achieving excellent marks.
Final Answer: 81–100 (Frequency = 7) </t>
  </si>
  <si>
    <t>Which score range contains the lowest number of students?</t>
  </si>
  <si>
    <t>Score Range: 0–20
Frequency: 2 students
Only 2 out of 25 students scored in the 0–20 range. This indicates that very few students performed poorly, suggesting the overall class performance is relatively good.</t>
  </si>
  <si>
    <t>% of std</t>
  </si>
  <si>
    <r>
      <rPr>
        <b/>
        <u/>
        <sz val="11"/>
        <color theme="1"/>
        <rFont val="Calibri"/>
        <family val="2"/>
        <scheme val="minor"/>
      </rPr>
      <t>Are the marks evenly distributed?</t>
    </r>
    <r>
      <rPr>
        <sz val="11"/>
        <color theme="1"/>
        <rFont val="Calibri"/>
        <family val="2"/>
        <scheme val="minor"/>
      </rPr>
      <t xml:space="preserve">
Answer: No.
The distribution is not perfectly even. The number of students generally increases as the score range increases. More students scored in the higher ranges than in the lower ranges.</t>
    </r>
  </si>
  <si>
    <r>
      <rPr>
        <b/>
        <u/>
        <sz val="11"/>
        <color theme="1"/>
        <rFont val="Calibri"/>
        <family val="2"/>
        <scheme val="minor"/>
      </rPr>
      <t>Which score range has the highest concentration?</t>
    </r>
    <r>
      <rPr>
        <sz val="11"/>
        <color theme="1"/>
        <rFont val="Calibri"/>
        <family val="2"/>
        <scheme val="minor"/>
      </rPr>
      <t xml:space="preserve">
Answer: 81–100
Frequency = 7 students
This is the highest among all score ranges.</t>
    </r>
  </si>
  <si>
    <r>
      <rPr>
        <b/>
        <u/>
        <sz val="11"/>
        <color theme="1"/>
        <rFont val="Calibri"/>
        <family val="2"/>
        <scheme val="minor"/>
      </rPr>
      <t>Would you say students generally scored Low, Medium, or High?</t>
    </r>
    <r>
      <rPr>
        <sz val="11"/>
        <color theme="1"/>
        <rFont val="Calibri"/>
        <family val="2"/>
        <scheme val="minor"/>
      </rPr>
      <t xml:space="preserve">
Answer: High
Reason:
13 out of 25 students (52%) scored above 60.
The highest frequency is in the 81–100 range.
Very few students (only 2) scored between 0–20.</t>
    </r>
  </si>
  <si>
    <t>Total Count</t>
  </si>
  <si>
    <t>Percentage</t>
  </si>
  <si>
    <t>Cumulative Count</t>
  </si>
  <si>
    <t>Cumulative Percentage</t>
  </si>
  <si>
    <r>
      <rPr>
        <b/>
        <u/>
        <sz val="11"/>
        <color theme="1"/>
        <rFont val="Calibri"/>
        <family val="2"/>
        <scheme val="minor"/>
      </rPr>
      <t>What is the 80/20 Rule?</t>
    </r>
    <r>
      <rPr>
        <sz val="11"/>
        <color theme="1"/>
        <rFont val="Calibri"/>
        <family val="2"/>
        <scheme val="minor"/>
      </rPr>
      <t xml:space="preserve">
The 80/20 Rule states: The Pareto Principle (80/20 Rule) states that approximately 80% of the effects are caused by 20% of the causes. It helps identify the most significant factors that should be prioritized for improvement.
It doesn't always have to be exactly 80% and 20%. These numbers are an approximation that helps identify the few most important causes.
In simple words, A small number of causes usually create most of the problems.</t>
    </r>
  </si>
  <si>
    <r>
      <rPr>
        <b/>
        <u/>
        <sz val="11"/>
        <color theme="1"/>
        <rFont val="Calibri"/>
        <family val="2"/>
        <scheme val="minor"/>
      </rPr>
      <t>Q2. Which defects contribute to approximately 80% of all issues?</t>
    </r>
    <r>
      <rPr>
        <sz val="11"/>
        <color theme="1"/>
        <rFont val="Calibri"/>
        <family val="2"/>
        <scheme val="minor"/>
      </rPr>
      <t xml:space="preserve">
| Defect          | Contribution|
| ---------------| -------------- |
| Scratch        |           31.2% |
| Dent            |           24.0% |
| Paint Issue  |           14.0% |
| Wrong Size |           10.0% |
| Total           | 79.2% ≈ 80% |
The first four defect categories (Scratch, Dent, Paint Issue, and Wrong Size) contribute 79.2% of the total defects, which is approximately 80%. According to the Pareto Principle, these are the "vital few" defects that should be addressed first. Notice that after the first 4 defects, you've already explained about 80% of all defects.
This means:
Total defect types = 8
Important defect types = 4
These are the vital few that deserve immediate attention.</t>
    </r>
  </si>
  <si>
    <r>
      <rPr>
        <b/>
        <u/>
        <sz val="11"/>
        <color theme="1"/>
        <rFont val="Calibri"/>
        <family val="2"/>
        <scheme val="minor"/>
      </rPr>
      <t>Q1. Which defects should management fix first?</t>
    </r>
    <r>
      <rPr>
        <sz val="11"/>
        <color theme="1"/>
        <rFont val="Calibri"/>
        <family val="2"/>
        <scheme val="minor"/>
      </rPr>
      <t xml:space="preserve">
Management should prioritize:
✅ Scratch
✅ Dent
✅ Paint Issue
✅ Wrong Size
These are the vital few defects contributing to the majority of quality issues.</t>
    </r>
  </si>
  <si>
    <t>Min</t>
  </si>
  <si>
    <t>Q1</t>
  </si>
  <si>
    <t>Median</t>
  </si>
  <si>
    <t>Q3</t>
  </si>
  <si>
    <t>Max</t>
  </si>
  <si>
    <t>IQR</t>
  </si>
  <si>
    <t>Lower fence</t>
  </si>
  <si>
    <t>Upper Fence</t>
  </si>
  <si>
    <t>Outliers</t>
  </si>
  <si>
    <t>The Box Plot shows that employee sales are concentrated between ₹28.5k and ₹48.5k, with a median of ₹37k. The distribution is right-skewed due to one exceptionally high sales value (₹95k), which is identified as an outlier. Most employees exhibit consistent sales performance, while one employee significantly exceeds the group's performance, warranting recognition and further analysis of their best practices.</t>
  </si>
  <si>
    <r>
      <rPr>
        <b/>
        <u/>
        <sz val="14"/>
        <color theme="1"/>
        <rFont val="Calibri"/>
        <family val="2"/>
        <scheme val="minor"/>
      </rPr>
      <t>Why is 95 an outlier?</t>
    </r>
    <r>
      <rPr>
        <sz val="14"/>
        <color theme="1"/>
        <rFont val="Calibri"/>
        <family val="2"/>
        <scheme val="minor"/>
      </rPr>
      <t xml:space="preserve">
The Interquartile Range (IQR) method defines any observation above the upper fence (Q3 + 1.5 × IQR) or below the lower fence (Q1 − 1.5 × IQR) as an outlier. Here, the upper fence is 77, and the value 95 exceeds it, so it is classified as an outlier.</t>
    </r>
  </si>
  <si>
    <t>Q1 = 28.5
This means
25% of employees have sales below ₹28.5 thousand.</t>
  </si>
  <si>
    <t>Median = 37
This means
50% of employees have sales below ₹37 thousand, and 50% have sales above ₹37 thousand.</t>
  </si>
  <si>
    <t>Q3 = 48.5
This means
75% of employees have sales below ₹48.5 thousand.</t>
  </si>
  <si>
    <t>Whiskers
Lower whisker extends to 22
Upper whisker extends to 60 (95 is shown separately as an outlier)</t>
  </si>
  <si>
    <r>
      <rPr>
        <b/>
        <u/>
        <sz val="11"/>
        <color theme="1"/>
        <rFont val="Calibri"/>
        <family val="2"/>
        <scheme val="minor"/>
      </rPr>
      <t>Q1. Is the data symmetric or skewed?</t>
    </r>
    <r>
      <rPr>
        <b/>
        <sz val="11"/>
        <color theme="1"/>
        <rFont val="Calibri"/>
        <family val="2"/>
        <scheme val="minor"/>
      </rPr>
      <t xml:space="preserve">
Answer: The data is positively (right) skewed.
Reason: One unusually high value (95) , Longer upper whisker , Outlier on the higher side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</si>
</sst>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0" x14ac:knownFonts="1">
    <font>
      <sz val="11"/>
      <color theme="1"/>
      <name val="Calibri"/>
      <family val="2"/>
      <scheme val="minor"/>
    </font>
    <font>
      <sz val="11"/>
      <color rgb="FF006100"/>
      <name val="Calibri"/>
      <family val="2"/>
      <scheme val="minor"/>
    </font>
    <font>
      <sz val="11"/>
      <color rgb="FF9C0006"/>
      <name val="Calibri"/>
      <family val="2"/>
      <scheme val="minor"/>
    </font>
    <font>
      <b/>
      <sz val="11"/>
      <color theme="1"/>
      <name val="Calibri"/>
      <family val="2"/>
      <scheme val="minor"/>
    </font>
    <font>
      <b/>
      <u/>
      <sz val="11"/>
      <color theme="1"/>
      <name val="Calibri"/>
      <family val="2"/>
      <scheme val="minor"/>
    </font>
    <font>
      <b/>
      <u/>
      <sz val="11"/>
      <color rgb="FF9C0006"/>
      <name val="Calibri"/>
      <family val="2"/>
      <scheme val="minor"/>
    </font>
    <font>
      <sz val="12"/>
      <color rgb="FF006100"/>
      <name val="Calibri"/>
      <family val="2"/>
      <scheme val="minor"/>
    </font>
    <font>
      <b/>
      <sz val="12"/>
      <color theme="1"/>
      <name val="Calibri"/>
      <family val="2"/>
      <scheme val="minor"/>
    </font>
    <font>
      <sz val="14"/>
      <color theme="1"/>
      <name val="Calibri"/>
      <family val="2"/>
      <scheme val="minor"/>
    </font>
    <font>
      <b/>
      <u/>
      <sz val="14"/>
      <color theme="1"/>
      <name val="Calibri"/>
      <family val="2"/>
      <scheme val="minor"/>
    </font>
  </fonts>
  <fills count="4">
    <fill>
      <patternFill patternType="none"/>
    </fill>
    <fill>
      <patternFill patternType="gray125"/>
    </fill>
    <fill>
      <patternFill patternType="solid">
        <fgColor rgb="FFC6EFCE"/>
      </patternFill>
    </fill>
    <fill>
      <patternFill patternType="solid">
        <fgColor rgb="FFFFC7CE"/>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43">
    <xf numFmtId="0" fontId="0" fillId="0" borderId="0" xfId="0"/>
    <xf numFmtId="0" fontId="3" fillId="0" borderId="1" xfId="0" applyFont="1" applyBorder="1" applyAlignment="1">
      <alignment horizontal="center" vertical="center"/>
    </xf>
    <xf numFmtId="0" fontId="0" fillId="0" borderId="1" xfId="0" applyBorder="1" applyAlignment="1">
      <alignment vertical="center"/>
    </xf>
    <xf numFmtId="0" fontId="0" fillId="0" borderId="1" xfId="0" applyBorder="1" applyAlignment="1">
      <alignment horizontal="right" vertical="center"/>
    </xf>
    <xf numFmtId="0" fontId="0" fillId="0" borderId="0" xfId="0" applyAlignment="1">
      <alignment vertical="top" wrapText="1"/>
    </xf>
    <xf numFmtId="0" fontId="0" fillId="0" borderId="1" xfId="0" applyBorder="1"/>
    <xf numFmtId="9" fontId="0" fillId="0" borderId="1" xfId="0" applyNumberFormat="1" applyBorder="1"/>
    <xf numFmtId="0" fontId="3" fillId="0" borderId="0" xfId="0" applyFont="1" applyAlignment="1">
      <alignment horizontal="center"/>
    </xf>
    <xf numFmtId="0" fontId="3" fillId="0" borderId="1" xfId="0" applyFont="1" applyBorder="1" applyAlignment="1">
      <alignment horizontal="center"/>
    </xf>
    <xf numFmtId="0" fontId="5" fillId="3" borderId="1" xfId="2" applyFont="1" applyBorder="1" applyAlignment="1">
      <alignment horizontal="left" vertical="top"/>
    </xf>
    <xf numFmtId="0" fontId="6" fillId="2" borderId="1" xfId="1" applyFont="1" applyBorder="1" applyAlignment="1">
      <alignment horizontal="left" vertical="top" wrapText="1"/>
    </xf>
    <xf numFmtId="0" fontId="6" fillId="2" borderId="1" xfId="1" applyFont="1" applyBorder="1" applyAlignment="1">
      <alignment horizontal="left" vertical="top"/>
    </xf>
    <xf numFmtId="0" fontId="0" fillId="0" borderId="1" xfId="0" applyFont="1" applyBorder="1" applyAlignment="1">
      <alignment horizontal="left" vertical="top" wrapText="1"/>
    </xf>
    <xf numFmtId="0" fontId="0" fillId="0" borderId="1" xfId="0" applyFont="1" applyBorder="1" applyAlignment="1">
      <alignment horizontal="left" vertical="top"/>
    </xf>
    <xf numFmtId="0" fontId="0" fillId="0" borderId="1" xfId="0" applyBorder="1" applyAlignment="1">
      <alignment horizontal="left" vertical="top" wrapText="1"/>
    </xf>
    <xf numFmtId="0" fontId="5" fillId="3" borderId="1" xfId="2" applyFont="1" applyBorder="1" applyAlignment="1">
      <alignment horizontal="left" vertical="top" wrapText="1"/>
    </xf>
    <xf numFmtId="165" fontId="0" fillId="0" borderId="1" xfId="0" applyNumberFormat="1" applyBorder="1"/>
    <xf numFmtId="0" fontId="0" fillId="0" borderId="1" xfId="0" applyFont="1" applyBorder="1"/>
    <xf numFmtId="0" fontId="3" fillId="0" borderId="1" xfId="0" applyFont="1" applyBorder="1"/>
    <xf numFmtId="0" fontId="3" fillId="0" borderId="0" xfId="0" applyFont="1" applyAlignment="1">
      <alignment horizontal="center" vertical="center"/>
    </xf>
    <xf numFmtId="0" fontId="3" fillId="0" borderId="1" xfId="0" applyFont="1" applyBorder="1" applyAlignment="1">
      <alignment horizontal="center" vertical="center" wrapText="1"/>
    </xf>
    <xf numFmtId="0" fontId="3" fillId="0" borderId="1" xfId="0" applyFont="1" applyFill="1" applyBorder="1" applyAlignment="1">
      <alignment horizontal="left" vertical="center"/>
    </xf>
    <xf numFmtId="0" fontId="0" fillId="0" borderId="0" xfId="0" applyAlignment="1">
      <alignment horizontal="center"/>
    </xf>
    <xf numFmtId="0" fontId="0" fillId="0" borderId="0" xfId="0" applyBorder="1" applyAlignment="1">
      <alignment horizontal="left" vertical="top" wrapText="1"/>
    </xf>
    <xf numFmtId="0" fontId="0" fillId="0" borderId="3" xfId="0" applyBorder="1" applyAlignment="1">
      <alignment horizontal="left" vertical="top" wrapText="1"/>
    </xf>
    <xf numFmtId="0" fontId="0" fillId="0" borderId="0" xfId="0" applyBorder="1" applyAlignment="1">
      <alignment horizontal="left" vertical="top"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3" fillId="0" borderId="1" xfId="0" applyFont="1" applyFill="1" applyBorder="1" applyAlignment="1">
      <alignment vertical="center"/>
    </xf>
    <xf numFmtId="0" fontId="0" fillId="0" borderId="0" xfId="0" applyFont="1" applyBorder="1"/>
    <xf numFmtId="0" fontId="3" fillId="0" borderId="0" xfId="0" applyFont="1" applyFill="1" applyBorder="1" applyAlignment="1">
      <alignment vertical="center"/>
    </xf>
    <xf numFmtId="0" fontId="3" fillId="0" borderId="0" xfId="0" applyFont="1" applyFill="1" applyBorder="1" applyAlignment="1">
      <alignment horizontal="left" vertical="top"/>
    </xf>
    <xf numFmtId="0" fontId="3" fillId="0" borderId="0" xfId="0" applyFont="1" applyFill="1" applyBorder="1" applyAlignment="1">
      <alignment horizontal="left" vertical="top" wrapText="1"/>
    </xf>
    <xf numFmtId="0" fontId="7" fillId="0" borderId="0" xfId="0" applyFont="1" applyFill="1" applyBorder="1" applyAlignment="1">
      <alignment horizontal="left" vertical="top" wrapText="1"/>
    </xf>
    <xf numFmtId="0" fontId="8" fillId="0" borderId="0" xfId="0" applyFont="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left" vertical="top"/>
    </xf>
    <xf numFmtId="0" fontId="3" fillId="0" borderId="0" xfId="0" applyFont="1" applyBorder="1" applyAlignment="1">
      <alignment horizontal="left" vertical="top"/>
    </xf>
  </cellXfs>
  <cellStyles count="3">
    <cellStyle name="Bad" xfId="2" builtinId="27"/>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'HISTOGRAM-CHART'!$F$1</c:f>
              <c:strCache>
                <c:ptCount val="1"/>
                <c:pt idx="0">
                  <c:v>Frequency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'HISTOGRAM-CHART'!$E$2:$E$6</c:f>
              <c:strCache>
                <c:ptCount val="5"/>
                <c:pt idx="0">
                  <c:v>0-20</c:v>
                </c:pt>
                <c:pt idx="1">
                  <c:v>21-40</c:v>
                </c:pt>
                <c:pt idx="2">
                  <c:v>41-60</c:v>
                </c:pt>
                <c:pt idx="3">
                  <c:v>61-80</c:v>
                </c:pt>
                <c:pt idx="4">
                  <c:v>81-100</c:v>
                </c:pt>
              </c:strCache>
            </c:strRef>
          </c:cat>
          <c:val>
            <c:numRef>
              <c:f>'HISTOGRAM-CHART'!$F$2:$F$6</c:f>
              <c:numCache>
                <c:formatCode>General</c:formatCode>
                <c:ptCount val="5"/>
                <c:pt idx="0">
                  <c:v>2</c:v>
                </c:pt>
                <c:pt idx="1">
                  <c:v>4</c:v>
                </c:pt>
                <c:pt idx="2">
                  <c:v>6</c:v>
                </c:pt>
                <c:pt idx="3">
                  <c:v>6</c:v>
                </c:pt>
                <c:pt idx="4">
                  <c:v>7</c:v>
                </c:pt>
              </c:numCache>
            </c:numRef>
          </c:val>
          <c:extLst>
            <c:ext xmlns:c16="http://schemas.microsoft.com/office/drawing/2014/chart" uri="{C3380CC4-5D6E-409C-BE32-E72D297353CC}">
              <c16:uniqueId val="{00000000-42D3-4E22-BA75-86ABE1F2FEB0}"/>
            </c:ext>
          </c:extLst>
        </c:ser>
        <c:dLbls>
          <c:dLblPos val="outEnd"/>
          <c:showLegendKey val="0"/>
          <c:showVal val="1"/>
          <c:showCatName val="0"/>
          <c:showSerName val="0"/>
          <c:showPercent val="0"/>
          <c:showBubbleSize val="0"/>
        </c:dLbls>
        <c:gapWidth val="219"/>
        <c:overlap val="-27"/>
        <c:axId val="1649374096"/>
        <c:axId val="1649371600"/>
      </c:barChart>
      <c:catAx>
        <c:axId val="164937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371600"/>
        <c:crosses val="autoZero"/>
        <c:auto val="1"/>
        <c:lblAlgn val="ctr"/>
        <c:lblOffset val="100"/>
        <c:noMultiLvlLbl val="0"/>
      </c:catAx>
      <c:valAx>
        <c:axId val="164937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3740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sng" strike="noStrike" baseline="0">
                <a:solidFill>
                  <a:schemeClr val="tx1">
                    <a:lumMod val="95000"/>
                    <a:lumOff val="5000"/>
                  </a:schemeClr>
                </a:solidFill>
              </a:rPr>
              <a:t>Pareto Analysis of Product Defects</a:t>
            </a:r>
            <a:endParaRPr lang="en-IN" b="1" u="sng">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'PARETO-CHART'!$C$1</c:f>
              <c:strCache>
                <c:ptCount val="1"/>
                <c:pt idx="0">
                  <c:v>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'PARETO-CHART'!$B$2:$B$9</c:f>
              <c:strCache>
                <c:ptCount val="8"/>
                <c:pt idx="0">
                  <c:v>Scratch</c:v>
                </c:pt>
                <c:pt idx="1">
                  <c:v>Dent</c:v>
                </c:pt>
                <c:pt idx="2">
                  <c:v>Paint Issue</c:v>
                </c:pt>
                <c:pt idx="3">
                  <c:v>Wrong Size</c:v>
                </c:pt>
                <c:pt idx="4">
                  <c:v>Loose Part</c:v>
                </c:pt>
                <c:pt idx="5">
                  <c:v>Crack</c:v>
                </c:pt>
                <c:pt idx="6">
                  <c:v>Missing Label</c:v>
                </c:pt>
                <c:pt idx="7">
                  <c:v>Other</c:v>
                </c:pt>
              </c:strCache>
            </c:strRef>
          </c:cat>
          <c:val>
            <c:numRef>
              <c:f>'PARETO-CHART'!$C$2:$C$9</c:f>
              <c:numCache>
                <c:formatCode>General</c:formatCode>
                <c:ptCount val="8"/>
                <c:pt idx="0">
                  <c:v>78</c:v>
                </c:pt>
                <c:pt idx="1">
                  <c:v>60</c:v>
                </c:pt>
                <c:pt idx="2">
                  <c:v>35</c:v>
                </c:pt>
                <c:pt idx="3">
                  <c:v>25</c:v>
                </c:pt>
                <c:pt idx="4">
                  <c:v>20</c:v>
                </c:pt>
                <c:pt idx="5">
                  <c:v>15</c:v>
                </c:pt>
                <c:pt idx="6">
                  <c:v>12</c:v>
                </c:pt>
                <c:pt idx="7">
                  <c:v>5</c:v>
                </c:pt>
              </c:numCache>
            </c:numRef>
          </c:val>
          <c:extLst>
            <c:ext xmlns:c16="http://schemas.microsoft.com/office/drawing/2014/chart" uri="{C3380CC4-5D6E-409C-BE32-E72D297353CC}">
              <c16:uniqueId val="{00000000-66F8-473C-9CA4-898ED729D542}"/>
            </c:ext>
          </c:extLst>
        </c:ser>
        <c:dLbls>
          <c:showLegendKey val="0"/>
          <c:showVal val="0"/>
          <c:showCatName val="0"/>
          <c:showSerName val="0"/>
          <c:showPercent val="0"/>
          <c:showBubbleSize val="0"/>
        </c:dLbls>
        <c:gapWidth val="219"/>
        <c:overlap val="-27"/>
        <c:axId val="659906592"/>
        <c:axId val="659905344"/>
      </c:barChart>
      <c:lineChart>
        <c:grouping val="standard"/>
        <c:varyColors val="0"/>
        <c:ser>
          <c:idx val="1"/>
          <c:order val="1"/>
          <c:tx>
            <c:strRef>
              <c:f>'PARETO-CHART'!$F$1</c:f>
              <c:strCache>
                <c:ptCount val="1"/>
                <c:pt idx="0">
                  <c:v>Cumulative Percentage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'PARETO-CHART'!$B$2:$B$9</c:f>
              <c:strCache>
                <c:ptCount val="8"/>
                <c:pt idx="0">
                  <c:v>Scratch</c:v>
                </c:pt>
                <c:pt idx="1">
                  <c:v>Dent</c:v>
                </c:pt>
                <c:pt idx="2">
                  <c:v>Paint Issue</c:v>
                </c:pt>
                <c:pt idx="3">
                  <c:v>Wrong Size</c:v>
                </c:pt>
                <c:pt idx="4">
                  <c:v>Loose Part</c:v>
                </c:pt>
                <c:pt idx="5">
                  <c:v>Crack</c:v>
                </c:pt>
                <c:pt idx="6">
                  <c:v>Missing Label</c:v>
                </c:pt>
                <c:pt idx="7">
                  <c:v>Other</c:v>
                </c:pt>
              </c:strCache>
            </c:strRef>
          </c:cat>
          <c:val>
            <c:numRef>
              <c:f>'PARETO-CHART'!$F$2:$F$9</c:f>
              <c:numCache>
                <c:formatCode>0.0%</c:formatCode>
                <c:ptCount val="8"/>
                <c:pt idx="0">
                  <c:v>0.312</c:v>
                </c:pt>
                <c:pt idx="1">
                  <c:v>0.55200000000000005</c:v>
                </c:pt>
                <c:pt idx="2">
                  <c:v>0.69199999999999995</c:v>
                </c:pt>
                <c:pt idx="3">
                  <c:v>0.79200000000000004</c:v>
                </c:pt>
                <c:pt idx="4">
                  <c:v>0.872</c:v>
                </c:pt>
                <c:pt idx="5">
                  <c:v>0.93200000000000005</c:v>
                </c:pt>
                <c:pt idx="6">
                  <c:v>0.98</c:v>
                </c:pt>
                <c:pt idx="7">
                  <c:v>1</c:v>
                </c:pt>
              </c:numCache>
            </c:numRef>
          </c:val>
          <c:smooth val="0"/>
          <c:extLst>
            <c:ext xmlns:c16="http://schemas.microsoft.com/office/drawing/2014/chart" uri="{C3380CC4-5D6E-409C-BE32-E72D297353CC}">
              <c16:uniqueId val="{00000001-66F8-473C-9CA4-898ED729D542}"/>
            </c:ext>
          </c:extLst>
        </c:ser>
        <c:dLbls>
          <c:showLegendKey val="0"/>
          <c:showVal val="0"/>
          <c:showCatName val="0"/>
          <c:showSerName val="0"/>
          <c:showPercent val="0"/>
          <c:showBubbleSize val="0"/>
        </c:dLbls>
        <c:marker val="1"/>
        <c:smooth val="0"/>
        <c:axId val="1574247215"/>
        <c:axId val="659904096"/>
      </c:lineChart>
      <c:catAx>
        <c:axId val="659906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Defect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905344"/>
        <c:crosses val="autoZero"/>
        <c:auto val="1"/>
        <c:lblAlgn val="ctr"/>
        <c:lblOffset val="100"/>
        <c:noMultiLvlLbl val="0"/>
      </c:catAx>
      <c:valAx>
        <c:axId val="659905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906592"/>
        <c:crosses val="autoZero"/>
        <c:crossBetween val="between"/>
      </c:valAx>
      <c:valAx>
        <c:axId val="659904096"/>
        <c:scaling>
          <c:orientation val="minMax"/>
          <c:max val="1"/>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baseline="0">
                    <a:effectLst/>
                  </a:rPr>
                  <a:t>Cumulative Percentage (%)</a:t>
                </a:r>
                <a:endParaRPr lang="en-IN" sz="400" b="1">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247215"/>
        <c:crosses val="max"/>
        <c:crossBetween val="between"/>
      </c:valAx>
      <c:catAx>
        <c:axId val="1574247215"/>
        <c:scaling>
          <c:orientation val="minMax"/>
        </c:scaling>
        <c:delete val="1"/>
        <c:axPos val="b"/>
        <c:numFmt formatCode="General" sourceLinked="1"/>
        <c:majorTickMark val="out"/>
        <c:minorTickMark val="none"/>
        <c:tickLblPos val="nextTo"/>
        <c:crossAx val="659904096"/>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plotArea>
      <cx:plotAreaRegion>
        <cx:series layoutId="boxWhisker" uniqueId="{3D14494A-B3B0-4511-AE91-5F0410DCF725}">
          <cx:dataLabels>
            <cx:txPr>
              <a:bodyPr spcFirstLastPara="1" vertOverflow="ellipsis" horzOverflow="overflow" wrap="square" lIns="0" tIns="0" rIns="0" bIns="0" anchor="ctr" anchorCtr="1"/>
              <a:lstStyle/>
              <a:p>
                <a:pPr algn="ctr" rtl="0">
                  <a:defRPr sz="1000" b="1">
                    <a:solidFill>
                      <a:schemeClr val="tx1">
                        <a:lumMod val="95000"/>
                        <a:lumOff val="5000"/>
                      </a:schemeClr>
                    </a:solidFill>
                  </a:defRPr>
                </a:pPr>
                <a:endParaRPr lang="en-US" sz="1000" b="1" i="0" u="none" strike="noStrike" baseline="0">
                  <a:solidFill>
                    <a:schemeClr val="tx1">
                      <a:lumMod val="95000"/>
                      <a:lumOff val="5000"/>
                    </a:schemeClr>
                  </a:solidFill>
                  <a:latin typeface="Calibri" panose="020F0502020204030204"/>
                </a:endParaRPr>
              </a:p>
            </cx:txPr>
            <cx:visibility seriesName="0" categoryName="0" value="1"/>
          </cx:dataLabels>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printSettings>
    <cx:headerFooter alignWithMargins="1" differentOddEven="0" differentFirst="0"/>
    <cx:pageMargins l="0.25" r="0.25" t="0.75" b="0.75" header="0.29999999999999999" footer="0.29999999999999999"/>
    <cx:pageSetup paperSize="9" firstPageNumber="1" orientation="landscape" blackAndWhite="0" draft="0" useFirstPageNumber="0" horizontalDpi="600" verticalDpi="600" copies="1"/>
  </cx:printSetting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3</xdr:col>
      <xdr:colOff>24765</xdr:colOff>
      <xdr:row>7</xdr:row>
      <xdr:rowOff>26670</xdr:rowOff>
    </xdr:from>
    <xdr:to>
      <xdr:col>10</xdr:col>
      <xdr:colOff>600075</xdr:colOff>
      <xdr:row>26</xdr:row>
      <xdr:rowOff>1905</xdr:rowOff>
    </xdr:to>
    <xdr:graphicFrame macro="">
      <xdr:nvGraphicFramePr>
        <xdr:cNvPr id="7" name="Chart 6">
          <a:extLst>
            <a:ext uri="{FF2B5EF4-FFF2-40B4-BE49-F238E27FC236}">
              <a16:creationId xmlns:a16="http://schemas.microsoft.com/office/drawing/2014/main" id="{7C0D86F1-40CF-41CA-BD9F-DB212513E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20597</xdr:colOff>
      <xdr:row>10</xdr:row>
      <xdr:rowOff>19527</xdr:rowOff>
    </xdr:from>
    <xdr:to>
      <xdr:col>9</xdr:col>
      <xdr:colOff>394138</xdr:colOff>
      <xdr:row>25</xdr:row>
      <xdr:rowOff>87630</xdr:rowOff>
    </xdr:to>
    <xdr:graphicFrame macro="">
      <xdr:nvGraphicFramePr>
        <xdr:cNvPr id="4" name="Chart 3">
          <a:extLst>
            <a:ext uri="{FF2B5EF4-FFF2-40B4-BE49-F238E27FC236}">
              <a16:creationId xmlns:a16="http://schemas.microsoft.com/office/drawing/2014/main" id="{76348626-7F74-4805-9EEB-EBF5B9002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57150</xdr:colOff>
      <xdr:row>0</xdr:row>
      <xdr:rowOff>1</xdr:rowOff>
    </xdr:from>
    <xdr:to>
      <xdr:col>12</xdr:col>
      <xdr:colOff>171450</xdr:colOff>
      <xdr:row>20</xdr:row>
      <xdr:rowOff>142875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E8C7C06-0A9F-4907-BCEC-5669B992E3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162300" y="1"/>
              <a:ext cx="5600700" cy="376237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96285-688A-4DE3-8C32-C707735E2C0F}">
  <sheetPr>
    <pageSetUpPr fitToPage="1"/>
  </sheetPr>
  <dimension ref="A1:K75"/>
  <sheetViews>
    <sheetView zoomScale="115" zoomScaleNormal="115" workbookViewId="0">
      <selection activeCell="G81" sqref="G81"/>
    </sheetView>
  </sheetViews>
  <sheetFormatPr defaultRowHeight="14.4" x14ac:dyDescent="0.3"/>
  <cols>
    <col min="1" max="1" width="10" bestFit="1" customWidth="1"/>
    <col min="2" max="2" width="13.44140625" bestFit="1" customWidth="1"/>
    <col min="3" max="3" width="6.21875" bestFit="1" customWidth="1"/>
    <col min="5" max="5" width="11.77734375" bestFit="1" customWidth="1"/>
    <col min="6" max="6" width="10" bestFit="1" customWidth="1"/>
  </cols>
  <sheetData>
    <row r="1" spans="1:7" s="7" customFormat="1" x14ac:dyDescent="0.3">
      <c r="A1" s="1" t="s">
        <v>0</v>
      </c>
      <c r="B1" s="1" t="s">
        <v>1</v>
      </c>
      <c r="C1" s="1" t="s">
        <v>2</v>
      </c>
      <c r="E1" s="8" t="s">
        <v>100</v>
      </c>
      <c r="F1" s="8" t="s">
        <v>94</v>
      </c>
      <c r="G1" s="8" t="s">
        <v>106</v>
      </c>
    </row>
    <row r="2" spans="1:7" x14ac:dyDescent="0.3">
      <c r="A2" s="2" t="s">
        <v>3</v>
      </c>
      <c r="B2" s="2" t="s">
        <v>4</v>
      </c>
      <c r="C2" s="3">
        <v>12</v>
      </c>
      <c r="E2" s="5" t="s">
        <v>95</v>
      </c>
      <c r="F2" s="5">
        <f>COUNTIFS($C$2:$C$26,"&gt;=0",$C$2:$C$26,"&lt;=20")</f>
        <v>2</v>
      </c>
      <c r="G2" s="6">
        <f>F2/COUNTA($A$2:$A$26)</f>
        <v>0.08</v>
      </c>
    </row>
    <row r="3" spans="1:7" x14ac:dyDescent="0.3">
      <c r="A3" s="2" t="s">
        <v>5</v>
      </c>
      <c r="B3" s="2" t="s">
        <v>6</v>
      </c>
      <c r="C3" s="3">
        <v>18</v>
      </c>
      <c r="E3" s="5" t="s">
        <v>96</v>
      </c>
      <c r="F3" s="5">
        <f>COUNTIFS($C$2:$C$26,"&gt;20",$C$2:$C$26,"&lt;=40")</f>
        <v>4</v>
      </c>
      <c r="G3" s="6">
        <f t="shared" ref="G3:G6" si="0">F3/COUNTA($A$2:$A$26)</f>
        <v>0.16</v>
      </c>
    </row>
    <row r="4" spans="1:7" x14ac:dyDescent="0.3">
      <c r="A4" s="2" t="s">
        <v>7</v>
      </c>
      <c r="B4" s="2" t="s">
        <v>8</v>
      </c>
      <c r="C4" s="3">
        <v>25</v>
      </c>
      <c r="E4" s="5" t="s">
        <v>97</v>
      </c>
      <c r="F4" s="5">
        <f>COUNTIFS($C$2:$C$26,"&gt;40",$C$2:$C$26,"&lt;=60")</f>
        <v>6</v>
      </c>
      <c r="G4" s="6">
        <f t="shared" si="0"/>
        <v>0.24</v>
      </c>
    </row>
    <row r="5" spans="1:7" x14ac:dyDescent="0.3">
      <c r="A5" s="2" t="s">
        <v>9</v>
      </c>
      <c r="B5" s="2" t="s">
        <v>10</v>
      </c>
      <c r="C5" s="3">
        <v>27</v>
      </c>
      <c r="E5" s="5" t="s">
        <v>98</v>
      </c>
      <c r="F5" s="5">
        <f>COUNTIFS($C$2:$C$26,"&gt;60",$C$2:$C$26,"&lt;=80")</f>
        <v>6</v>
      </c>
      <c r="G5" s="6">
        <f t="shared" si="0"/>
        <v>0.24</v>
      </c>
    </row>
    <row r="6" spans="1:7" x14ac:dyDescent="0.3">
      <c r="A6" s="2" t="s">
        <v>11</v>
      </c>
      <c r="B6" s="2" t="s">
        <v>12</v>
      </c>
      <c r="C6" s="3">
        <v>33</v>
      </c>
      <c r="E6" s="5" t="s">
        <v>99</v>
      </c>
      <c r="F6" s="5">
        <f>COUNTIFS($C$2:$C$26,"&gt;80",$C$2:$C$26,"&lt;=100")</f>
        <v>7</v>
      </c>
      <c r="G6" s="6">
        <f t="shared" si="0"/>
        <v>0.28000000000000003</v>
      </c>
    </row>
    <row r="7" spans="1:7" x14ac:dyDescent="0.3">
      <c r="A7" s="2" t="s">
        <v>13</v>
      </c>
      <c r="B7" s="2" t="s">
        <v>14</v>
      </c>
      <c r="C7" s="3">
        <v>38</v>
      </c>
    </row>
    <row r="8" spans="1:7" x14ac:dyDescent="0.3">
      <c r="A8" s="2" t="s">
        <v>15</v>
      </c>
      <c r="B8" s="2" t="s">
        <v>16</v>
      </c>
      <c r="C8" s="3">
        <v>41</v>
      </c>
    </row>
    <row r="9" spans="1:7" x14ac:dyDescent="0.3">
      <c r="A9" s="2" t="s">
        <v>17</v>
      </c>
      <c r="B9" s="2" t="s">
        <v>18</v>
      </c>
      <c r="C9" s="3">
        <v>45</v>
      </c>
    </row>
    <row r="10" spans="1:7" x14ac:dyDescent="0.3">
      <c r="A10" s="2" t="s">
        <v>19</v>
      </c>
      <c r="B10" s="2" t="s">
        <v>20</v>
      </c>
      <c r="C10" s="3">
        <v>48</v>
      </c>
    </row>
    <row r="11" spans="1:7" x14ac:dyDescent="0.3">
      <c r="A11" s="2" t="s">
        <v>21</v>
      </c>
      <c r="B11" s="2" t="s">
        <v>22</v>
      </c>
      <c r="C11" s="3">
        <v>52</v>
      </c>
    </row>
    <row r="12" spans="1:7" x14ac:dyDescent="0.3">
      <c r="A12" s="2" t="s">
        <v>23</v>
      </c>
      <c r="B12" s="2" t="s">
        <v>24</v>
      </c>
      <c r="C12" s="3">
        <v>55</v>
      </c>
    </row>
    <row r="13" spans="1:7" x14ac:dyDescent="0.3">
      <c r="A13" s="2" t="s">
        <v>25</v>
      </c>
      <c r="B13" s="2" t="s">
        <v>26</v>
      </c>
      <c r="C13" s="3">
        <v>58</v>
      </c>
    </row>
    <row r="14" spans="1:7" x14ac:dyDescent="0.3">
      <c r="A14" s="2" t="s">
        <v>27</v>
      </c>
      <c r="B14" s="2" t="s">
        <v>28</v>
      </c>
      <c r="C14" s="3">
        <v>61</v>
      </c>
    </row>
    <row r="15" spans="1:7" x14ac:dyDescent="0.3">
      <c r="A15" s="2" t="s">
        <v>29</v>
      </c>
      <c r="B15" s="2" t="s">
        <v>30</v>
      </c>
      <c r="C15" s="3">
        <v>65</v>
      </c>
    </row>
    <row r="16" spans="1:7" x14ac:dyDescent="0.3">
      <c r="A16" s="2" t="s">
        <v>31</v>
      </c>
      <c r="B16" s="2" t="s">
        <v>32</v>
      </c>
      <c r="C16" s="3">
        <v>68</v>
      </c>
    </row>
    <row r="17" spans="1:11" x14ac:dyDescent="0.3">
      <c r="A17" s="2" t="s">
        <v>33</v>
      </c>
      <c r="B17" s="2" t="s">
        <v>34</v>
      </c>
      <c r="C17" s="3">
        <v>71</v>
      </c>
    </row>
    <row r="18" spans="1:11" x14ac:dyDescent="0.3">
      <c r="A18" s="2" t="s">
        <v>35</v>
      </c>
      <c r="B18" s="2" t="s">
        <v>36</v>
      </c>
      <c r="C18" s="3">
        <v>74</v>
      </c>
    </row>
    <row r="19" spans="1:11" x14ac:dyDescent="0.3">
      <c r="A19" s="2" t="s">
        <v>37</v>
      </c>
      <c r="B19" s="2" t="s">
        <v>38</v>
      </c>
      <c r="C19" s="3">
        <v>77</v>
      </c>
    </row>
    <row r="20" spans="1:11" x14ac:dyDescent="0.3">
      <c r="A20" s="2" t="s">
        <v>39</v>
      </c>
      <c r="B20" s="2" t="s">
        <v>40</v>
      </c>
      <c r="C20" s="3">
        <v>82</v>
      </c>
    </row>
    <row r="21" spans="1:11" x14ac:dyDescent="0.3">
      <c r="A21" s="2" t="s">
        <v>41</v>
      </c>
      <c r="B21" s="2" t="s">
        <v>42</v>
      </c>
      <c r="C21" s="3">
        <v>86</v>
      </c>
    </row>
    <row r="22" spans="1:11" x14ac:dyDescent="0.3">
      <c r="A22" s="2" t="s">
        <v>43</v>
      </c>
      <c r="B22" s="2" t="s">
        <v>44</v>
      </c>
      <c r="C22" s="3">
        <v>89</v>
      </c>
    </row>
    <row r="23" spans="1:11" x14ac:dyDescent="0.3">
      <c r="A23" s="2" t="s">
        <v>45</v>
      </c>
      <c r="B23" s="2" t="s">
        <v>46</v>
      </c>
      <c r="C23" s="3">
        <v>91</v>
      </c>
    </row>
    <row r="24" spans="1:11" x14ac:dyDescent="0.3">
      <c r="A24" s="2" t="s">
        <v>47</v>
      </c>
      <c r="B24" s="2" t="s">
        <v>48</v>
      </c>
      <c r="C24" s="3">
        <v>94</v>
      </c>
    </row>
    <row r="25" spans="1:11" x14ac:dyDescent="0.3">
      <c r="A25" s="2" t="s">
        <v>49</v>
      </c>
      <c r="B25" s="2" t="s">
        <v>50</v>
      </c>
      <c r="C25" s="3">
        <v>97</v>
      </c>
    </row>
    <row r="26" spans="1:11" x14ac:dyDescent="0.3">
      <c r="A26" s="2" t="s">
        <v>51</v>
      </c>
      <c r="B26" s="2" t="s">
        <v>52</v>
      </c>
      <c r="C26" s="3">
        <v>100</v>
      </c>
    </row>
    <row r="29" spans="1:11" ht="14.4" customHeight="1" x14ac:dyDescent="0.3">
      <c r="A29" s="14" t="s">
        <v>101</v>
      </c>
      <c r="B29" s="14"/>
      <c r="C29" s="14"/>
      <c r="D29" s="14"/>
      <c r="E29" s="14"/>
      <c r="F29" s="14"/>
      <c r="G29" s="14"/>
      <c r="H29" s="14"/>
      <c r="I29" s="14"/>
      <c r="J29" s="14"/>
      <c r="K29" s="14"/>
    </row>
    <row r="30" spans="1:11" x14ac:dyDescent="0.3">
      <c r="A30" s="14"/>
      <c r="B30" s="14"/>
      <c r="C30" s="14"/>
      <c r="D30" s="14"/>
      <c r="E30" s="14"/>
      <c r="F30" s="14"/>
      <c r="G30" s="14"/>
      <c r="H30" s="14"/>
      <c r="I30" s="14"/>
      <c r="J30" s="14"/>
      <c r="K30" s="14"/>
    </row>
    <row r="31" spans="1:11" x14ac:dyDescent="0.3">
      <c r="A31" s="14"/>
      <c r="B31" s="14"/>
      <c r="C31" s="14"/>
      <c r="D31" s="14"/>
      <c r="E31" s="14"/>
      <c r="F31" s="14"/>
      <c r="G31" s="14"/>
      <c r="H31" s="14"/>
      <c r="I31" s="14"/>
      <c r="J31" s="14"/>
      <c r="K31" s="14"/>
    </row>
    <row r="32" spans="1:11" x14ac:dyDescent="0.3">
      <c r="A32" s="14"/>
      <c r="B32" s="14"/>
      <c r="C32" s="14"/>
      <c r="D32" s="14"/>
      <c r="E32" s="14"/>
      <c r="F32" s="14"/>
      <c r="G32" s="14"/>
      <c r="H32" s="14"/>
      <c r="I32" s="14"/>
      <c r="J32" s="14"/>
      <c r="K32" s="14"/>
    </row>
    <row r="33" spans="1:11" x14ac:dyDescent="0.3">
      <c r="A33" s="14"/>
      <c r="B33" s="14"/>
      <c r="C33" s="14"/>
      <c r="D33" s="14"/>
      <c r="E33" s="14"/>
      <c r="F33" s="14"/>
      <c r="G33" s="14"/>
      <c r="H33" s="14"/>
      <c r="I33" s="14"/>
      <c r="J33" s="14"/>
      <c r="K33" s="14"/>
    </row>
    <row r="34" spans="1:11" x14ac:dyDescent="0.3">
      <c r="A34" s="14"/>
      <c r="B34" s="14"/>
      <c r="C34" s="14"/>
      <c r="D34" s="14"/>
      <c r="E34" s="14"/>
      <c r="F34" s="14"/>
      <c r="G34" s="14"/>
      <c r="H34" s="14"/>
      <c r="I34" s="14"/>
      <c r="J34" s="14"/>
      <c r="K34" s="14"/>
    </row>
    <row r="35" spans="1:11" x14ac:dyDescent="0.3">
      <c r="A35" s="14"/>
      <c r="B35" s="14"/>
      <c r="C35" s="14"/>
      <c r="D35" s="14"/>
      <c r="E35" s="14"/>
      <c r="F35" s="14"/>
      <c r="G35" s="14"/>
      <c r="H35" s="14"/>
      <c r="I35" s="14"/>
      <c r="J35" s="14"/>
      <c r="K35" s="14"/>
    </row>
    <row r="36" spans="1:11" x14ac:dyDescent="0.3">
      <c r="A36" s="14"/>
      <c r="B36" s="14"/>
      <c r="C36" s="14"/>
      <c r="D36" s="14"/>
      <c r="E36" s="14"/>
      <c r="F36" s="14"/>
      <c r="G36" s="14"/>
      <c r="H36" s="14"/>
      <c r="I36" s="14"/>
      <c r="J36" s="14"/>
      <c r="K36" s="14"/>
    </row>
    <row r="37" spans="1:11" x14ac:dyDescent="0.3">
      <c r="A37" s="14"/>
      <c r="B37" s="14"/>
      <c r="C37" s="14"/>
      <c r="D37" s="14"/>
      <c r="E37" s="14"/>
      <c r="F37" s="14"/>
      <c r="G37" s="14"/>
      <c r="H37" s="14"/>
      <c r="I37" s="14"/>
      <c r="J37" s="14"/>
      <c r="K37" s="14"/>
    </row>
    <row r="38" spans="1:11" x14ac:dyDescent="0.3">
      <c r="A38" s="14"/>
      <c r="B38" s="14"/>
      <c r="C38" s="14"/>
      <c r="D38" s="14"/>
      <c r="E38" s="14"/>
      <c r="F38" s="14"/>
      <c r="G38" s="14"/>
      <c r="H38" s="14"/>
      <c r="I38" s="14"/>
      <c r="J38" s="14"/>
      <c r="K38" s="14"/>
    </row>
    <row r="39" spans="1:11" x14ac:dyDescent="0.3">
      <c r="A39" s="14"/>
      <c r="B39" s="14"/>
      <c r="C39" s="14"/>
      <c r="D39" s="14"/>
      <c r="E39" s="14"/>
      <c r="F39" s="14"/>
      <c r="G39" s="14"/>
      <c r="H39" s="14"/>
      <c r="I39" s="14"/>
      <c r="J39" s="14"/>
      <c r="K39" s="14"/>
    </row>
    <row r="40" spans="1:11" x14ac:dyDescent="0.3">
      <c r="A40" s="14"/>
      <c r="B40" s="14"/>
      <c r="C40" s="14"/>
      <c r="D40" s="14"/>
      <c r="E40" s="14"/>
      <c r="F40" s="14"/>
      <c r="G40" s="14"/>
      <c r="H40" s="14"/>
      <c r="I40" s="14"/>
      <c r="J40" s="14"/>
      <c r="K40" s="14"/>
    </row>
    <row r="41" spans="1:11" x14ac:dyDescent="0.3">
      <c r="A41" s="4"/>
      <c r="B41" s="4"/>
      <c r="C41" s="4"/>
      <c r="D41" s="4"/>
      <c r="E41" s="4"/>
      <c r="F41" s="4"/>
      <c r="G41" s="4"/>
      <c r="H41" s="4"/>
      <c r="I41" s="4"/>
      <c r="J41" s="4"/>
      <c r="K41" s="4"/>
    </row>
    <row r="42" spans="1:11" ht="14.4" customHeight="1" x14ac:dyDescent="0.3">
      <c r="A42" s="15" t="s">
        <v>102</v>
      </c>
      <c r="B42" s="15"/>
      <c r="C42" s="15"/>
      <c r="D42" s="15"/>
      <c r="E42" s="15"/>
      <c r="F42" s="15"/>
      <c r="G42" s="15"/>
      <c r="H42" s="15"/>
      <c r="I42" s="15"/>
      <c r="J42" s="15"/>
      <c r="K42" s="15"/>
    </row>
    <row r="43" spans="1:11" ht="14.4" customHeight="1" x14ac:dyDescent="0.3">
      <c r="A43" s="10" t="s">
        <v>103</v>
      </c>
      <c r="B43" s="10"/>
      <c r="C43" s="10"/>
      <c r="D43" s="10"/>
      <c r="E43" s="10"/>
      <c r="F43" s="10"/>
      <c r="G43" s="10"/>
      <c r="H43" s="10"/>
      <c r="I43" s="10"/>
      <c r="J43" s="10"/>
      <c r="K43" s="10"/>
    </row>
    <row r="44" spans="1:11" ht="14.4" customHeight="1" x14ac:dyDescent="0.3">
      <c r="A44" s="10"/>
      <c r="B44" s="10"/>
      <c r="C44" s="10"/>
      <c r="D44" s="10"/>
      <c r="E44" s="10"/>
      <c r="F44" s="10"/>
      <c r="G44" s="10"/>
      <c r="H44" s="10"/>
      <c r="I44" s="10"/>
      <c r="J44" s="10"/>
      <c r="K44" s="10"/>
    </row>
    <row r="45" spans="1:11" ht="14.4" customHeight="1" x14ac:dyDescent="0.3">
      <c r="A45" s="10"/>
      <c r="B45" s="10"/>
      <c r="C45" s="10"/>
      <c r="D45" s="10"/>
      <c r="E45" s="10"/>
      <c r="F45" s="10"/>
      <c r="G45" s="10"/>
      <c r="H45" s="10"/>
      <c r="I45" s="10"/>
      <c r="J45" s="10"/>
      <c r="K45" s="10"/>
    </row>
    <row r="46" spans="1:11" ht="14.4" customHeight="1" x14ac:dyDescent="0.3">
      <c r="A46" s="10"/>
      <c r="B46" s="10"/>
      <c r="C46" s="10"/>
      <c r="D46" s="10"/>
      <c r="E46" s="10"/>
      <c r="F46" s="10"/>
      <c r="G46" s="10"/>
      <c r="H46" s="10"/>
      <c r="I46" s="10"/>
      <c r="J46" s="10"/>
      <c r="K46" s="10"/>
    </row>
    <row r="47" spans="1:11" x14ac:dyDescent="0.3">
      <c r="A47" s="10"/>
      <c r="B47" s="10"/>
      <c r="C47" s="10"/>
      <c r="D47" s="10"/>
      <c r="E47" s="10"/>
      <c r="F47" s="10"/>
      <c r="G47" s="10"/>
      <c r="H47" s="10"/>
      <c r="I47" s="10"/>
      <c r="J47" s="10"/>
      <c r="K47" s="10"/>
    </row>
    <row r="48" spans="1:11" x14ac:dyDescent="0.3">
      <c r="A48" s="4"/>
      <c r="B48" s="4"/>
      <c r="C48" s="4"/>
      <c r="D48" s="4"/>
      <c r="E48" s="4"/>
      <c r="F48" s="4"/>
      <c r="G48" s="4"/>
      <c r="H48" s="4"/>
      <c r="I48" s="4"/>
      <c r="J48" s="4"/>
      <c r="K48" s="4"/>
    </row>
    <row r="49" spans="1:11" x14ac:dyDescent="0.3">
      <c r="A49" s="9" t="s">
        <v>104</v>
      </c>
      <c r="B49" s="9"/>
      <c r="C49" s="9"/>
      <c r="D49" s="9"/>
      <c r="E49" s="9"/>
      <c r="F49" s="9"/>
      <c r="G49" s="9"/>
      <c r="H49" s="9"/>
      <c r="I49" s="9"/>
      <c r="J49" s="9"/>
      <c r="K49" s="9"/>
    </row>
    <row r="50" spans="1:11" x14ac:dyDescent="0.3">
      <c r="A50" s="10" t="s">
        <v>105</v>
      </c>
      <c r="B50" s="11"/>
      <c r="C50" s="11"/>
      <c r="D50" s="11"/>
      <c r="E50" s="11"/>
      <c r="F50" s="11"/>
      <c r="G50" s="11"/>
      <c r="H50" s="11"/>
      <c r="I50" s="11"/>
      <c r="J50" s="11"/>
      <c r="K50" s="11"/>
    </row>
    <row r="51" spans="1:11" x14ac:dyDescent="0.3">
      <c r="A51" s="11"/>
      <c r="B51" s="11"/>
      <c r="C51" s="11"/>
      <c r="D51" s="11"/>
      <c r="E51" s="11"/>
      <c r="F51" s="11"/>
      <c r="G51" s="11"/>
      <c r="H51" s="11"/>
      <c r="I51" s="11"/>
      <c r="J51" s="11"/>
      <c r="K51" s="11"/>
    </row>
    <row r="52" spans="1:11" x14ac:dyDescent="0.3">
      <c r="A52" s="11"/>
      <c r="B52" s="11"/>
      <c r="C52" s="11"/>
      <c r="D52" s="11"/>
      <c r="E52" s="11"/>
      <c r="F52" s="11"/>
      <c r="G52" s="11"/>
      <c r="H52" s="11"/>
      <c r="I52" s="11"/>
      <c r="J52" s="11"/>
      <c r="K52" s="11"/>
    </row>
    <row r="53" spans="1:11" x14ac:dyDescent="0.3">
      <c r="A53" s="11"/>
      <c r="B53" s="11"/>
      <c r="C53" s="11"/>
      <c r="D53" s="11"/>
      <c r="E53" s="11"/>
      <c r="F53" s="11"/>
      <c r="G53" s="11"/>
      <c r="H53" s="11"/>
      <c r="I53" s="11"/>
      <c r="J53" s="11"/>
      <c r="K53" s="11"/>
    </row>
    <row r="54" spans="1:11" x14ac:dyDescent="0.3">
      <c r="A54" s="11"/>
      <c r="B54" s="11"/>
      <c r="C54" s="11"/>
      <c r="D54" s="11"/>
      <c r="E54" s="11"/>
      <c r="F54" s="11"/>
      <c r="G54" s="11"/>
      <c r="H54" s="11"/>
      <c r="I54" s="11"/>
      <c r="J54" s="11"/>
      <c r="K54" s="11"/>
    </row>
    <row r="55" spans="1:11" x14ac:dyDescent="0.3">
      <c r="A55" s="11"/>
      <c r="B55" s="11"/>
      <c r="C55" s="11"/>
      <c r="D55" s="11"/>
      <c r="E55" s="11"/>
      <c r="F55" s="11"/>
      <c r="G55" s="11"/>
      <c r="H55" s="11"/>
      <c r="I55" s="11"/>
      <c r="J55" s="11"/>
      <c r="K55" s="11"/>
    </row>
    <row r="57" spans="1:11" x14ac:dyDescent="0.3">
      <c r="A57" s="12" t="s">
        <v>107</v>
      </c>
      <c r="B57" s="13"/>
      <c r="C57" s="13"/>
      <c r="D57" s="13"/>
      <c r="E57" s="13"/>
      <c r="F57" s="13"/>
      <c r="G57" s="13"/>
      <c r="H57" s="13"/>
      <c r="I57" s="13"/>
      <c r="J57" s="13"/>
      <c r="K57" s="13"/>
    </row>
    <row r="58" spans="1:11" x14ac:dyDescent="0.3">
      <c r="A58" s="13"/>
      <c r="B58" s="13"/>
      <c r="C58" s="13"/>
      <c r="D58" s="13"/>
      <c r="E58" s="13"/>
      <c r="F58" s="13"/>
      <c r="G58" s="13"/>
      <c r="H58" s="13"/>
      <c r="I58" s="13"/>
      <c r="J58" s="13"/>
      <c r="K58" s="13"/>
    </row>
    <row r="59" spans="1:11" x14ac:dyDescent="0.3">
      <c r="A59" s="13"/>
      <c r="B59" s="13"/>
      <c r="C59" s="13"/>
      <c r="D59" s="13"/>
      <c r="E59" s="13"/>
      <c r="F59" s="13"/>
      <c r="G59" s="13"/>
      <c r="H59" s="13"/>
      <c r="I59" s="13"/>
      <c r="J59" s="13"/>
      <c r="K59" s="13"/>
    </row>
    <row r="60" spans="1:11" x14ac:dyDescent="0.3">
      <c r="A60" s="13"/>
      <c r="B60" s="13"/>
      <c r="C60" s="13"/>
      <c r="D60" s="13"/>
      <c r="E60" s="13"/>
      <c r="F60" s="13"/>
      <c r="G60" s="13"/>
      <c r="H60" s="13"/>
      <c r="I60" s="13"/>
      <c r="J60" s="13"/>
      <c r="K60" s="13"/>
    </row>
    <row r="61" spans="1:11" x14ac:dyDescent="0.3">
      <c r="A61" s="13"/>
      <c r="B61" s="13"/>
      <c r="C61" s="13"/>
      <c r="D61" s="13"/>
      <c r="E61" s="13"/>
      <c r="F61" s="13"/>
      <c r="G61" s="13"/>
      <c r="H61" s="13"/>
      <c r="I61" s="13"/>
      <c r="J61" s="13"/>
      <c r="K61" s="13"/>
    </row>
    <row r="63" spans="1:11" x14ac:dyDescent="0.3">
      <c r="A63" s="14" t="s">
        <v>108</v>
      </c>
      <c r="B63" s="14"/>
      <c r="C63" s="14"/>
      <c r="D63" s="14"/>
      <c r="E63" s="14"/>
      <c r="F63" s="14"/>
      <c r="G63" s="14"/>
      <c r="H63" s="14"/>
      <c r="I63" s="14"/>
      <c r="J63" s="14"/>
      <c r="K63" s="14"/>
    </row>
    <row r="64" spans="1:11" x14ac:dyDescent="0.3">
      <c r="A64" s="14"/>
      <c r="B64" s="14"/>
      <c r="C64" s="14"/>
      <c r="D64" s="14"/>
      <c r="E64" s="14"/>
      <c r="F64" s="14"/>
      <c r="G64" s="14"/>
      <c r="H64" s="14"/>
      <c r="I64" s="14"/>
      <c r="J64" s="14"/>
      <c r="K64" s="14"/>
    </row>
    <row r="65" spans="1:11" x14ac:dyDescent="0.3">
      <c r="A65" s="14"/>
      <c r="B65" s="14"/>
      <c r="C65" s="14"/>
      <c r="D65" s="14"/>
      <c r="E65" s="14"/>
      <c r="F65" s="14"/>
      <c r="G65" s="14"/>
      <c r="H65" s="14"/>
      <c r="I65" s="14"/>
      <c r="J65" s="14"/>
      <c r="K65" s="14"/>
    </row>
    <row r="66" spans="1:11" x14ac:dyDescent="0.3">
      <c r="A66" s="14"/>
      <c r="B66" s="14"/>
      <c r="C66" s="14"/>
      <c r="D66" s="14"/>
      <c r="E66" s="14"/>
      <c r="F66" s="14"/>
      <c r="G66" s="14"/>
      <c r="H66" s="14"/>
      <c r="I66" s="14"/>
      <c r="J66" s="14"/>
      <c r="K66" s="14"/>
    </row>
    <row r="67" spans="1:11" x14ac:dyDescent="0.3">
      <c r="A67" s="14"/>
      <c r="B67" s="14"/>
      <c r="C67" s="14"/>
      <c r="D67" s="14"/>
      <c r="E67" s="14"/>
      <c r="F67" s="14"/>
      <c r="G67" s="14"/>
      <c r="H67" s="14"/>
      <c r="I67" s="14"/>
      <c r="J67" s="14"/>
      <c r="K67" s="14"/>
    </row>
    <row r="69" spans="1:11" x14ac:dyDescent="0.3">
      <c r="A69" s="14" t="s">
        <v>109</v>
      </c>
      <c r="B69" s="14"/>
      <c r="C69" s="14"/>
      <c r="D69" s="14"/>
      <c r="E69" s="14"/>
      <c r="F69" s="14"/>
      <c r="G69" s="14"/>
      <c r="H69" s="14"/>
      <c r="I69" s="14"/>
      <c r="J69" s="14"/>
      <c r="K69" s="14"/>
    </row>
    <row r="70" spans="1:11" x14ac:dyDescent="0.3">
      <c r="A70" s="14"/>
      <c r="B70" s="14"/>
      <c r="C70" s="14"/>
      <c r="D70" s="14"/>
      <c r="E70" s="14"/>
      <c r="F70" s="14"/>
      <c r="G70" s="14"/>
      <c r="H70" s="14"/>
      <c r="I70" s="14"/>
      <c r="J70" s="14"/>
      <c r="K70" s="14"/>
    </row>
    <row r="71" spans="1:11" x14ac:dyDescent="0.3">
      <c r="A71" s="14"/>
      <c r="B71" s="14"/>
      <c r="C71" s="14"/>
      <c r="D71" s="14"/>
      <c r="E71" s="14"/>
      <c r="F71" s="14"/>
      <c r="G71" s="14"/>
      <c r="H71" s="14"/>
      <c r="I71" s="14"/>
      <c r="J71" s="14"/>
      <c r="K71" s="14"/>
    </row>
    <row r="72" spans="1:11" x14ac:dyDescent="0.3">
      <c r="A72" s="14"/>
      <c r="B72" s="14"/>
      <c r="C72" s="14"/>
      <c r="D72" s="14"/>
      <c r="E72" s="14"/>
      <c r="F72" s="14"/>
      <c r="G72" s="14"/>
      <c r="H72" s="14"/>
      <c r="I72" s="14"/>
      <c r="J72" s="14"/>
      <c r="K72" s="14"/>
    </row>
    <row r="73" spans="1:11" x14ac:dyDescent="0.3">
      <c r="A73" s="14"/>
      <c r="B73" s="14"/>
      <c r="C73" s="14"/>
      <c r="D73" s="14"/>
      <c r="E73" s="14"/>
      <c r="F73" s="14"/>
      <c r="G73" s="14"/>
      <c r="H73" s="14"/>
      <c r="I73" s="14"/>
      <c r="J73" s="14"/>
      <c r="K73" s="14"/>
    </row>
    <row r="74" spans="1:11" x14ac:dyDescent="0.3">
      <c r="A74" s="14"/>
      <c r="B74" s="14"/>
      <c r="C74" s="14"/>
      <c r="D74" s="14"/>
      <c r="E74" s="14"/>
      <c r="F74" s="14"/>
      <c r="G74" s="14"/>
      <c r="H74" s="14"/>
      <c r="I74" s="14"/>
      <c r="J74" s="14"/>
      <c r="K74" s="14"/>
    </row>
    <row r="75" spans="1:11" x14ac:dyDescent="0.3">
      <c r="A75" s="14"/>
      <c r="B75" s="14"/>
      <c r="C75" s="14"/>
      <c r="D75" s="14"/>
      <c r="E75" s="14"/>
      <c r="F75" s="14"/>
      <c r="G75" s="14"/>
      <c r="H75" s="14"/>
      <c r="I75" s="14"/>
      <c r="J75" s="14"/>
      <c r="K75" s="14"/>
    </row>
  </sheetData>
  <mergeCells count="8">
    <mergeCell ref="A29:K40"/>
    <mergeCell ref="A42:K42"/>
    <mergeCell ref="A43:K47"/>
    <mergeCell ref="A49:K49"/>
    <mergeCell ref="A50:K55"/>
    <mergeCell ref="A57:K61"/>
    <mergeCell ref="A63:K67"/>
    <mergeCell ref="A69:K75"/>
  </mergeCells>
  <pageMargins left="0.25" right="0.25" top="0.75" bottom="0.75" header="0.3" footer="0.3"/>
  <pageSetup paperSize="9" scale="67" fitToWidth="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E2BAC-3977-41F0-95C4-2D3D84151FF2}">
  <sheetPr>
    <pageSetUpPr fitToPage="1"/>
  </sheetPr>
  <dimension ref="A1:I64"/>
  <sheetViews>
    <sheetView zoomScale="115" zoomScaleNormal="115" workbookViewId="0">
      <selection activeCell="O58" sqref="O58"/>
    </sheetView>
  </sheetViews>
  <sheetFormatPr defaultRowHeight="14.4" x14ac:dyDescent="0.3"/>
  <cols>
    <col min="2" max="2" width="12.44140625" bestFit="1" customWidth="1"/>
    <col min="3" max="3" width="6.109375" bestFit="1" customWidth="1"/>
    <col min="4" max="4" width="10.109375" bestFit="1" customWidth="1"/>
    <col min="5" max="5" width="10.6640625" customWidth="1"/>
    <col min="6" max="6" width="10.77734375" customWidth="1"/>
  </cols>
  <sheetData>
    <row r="1" spans="1:6" s="19" customFormat="1" ht="28.8" x14ac:dyDescent="0.3">
      <c r="A1" s="1" t="s">
        <v>75</v>
      </c>
      <c r="B1" s="1" t="s">
        <v>76</v>
      </c>
      <c r="C1" s="1" t="s">
        <v>77</v>
      </c>
      <c r="D1" s="1" t="s">
        <v>111</v>
      </c>
      <c r="E1" s="20" t="s">
        <v>112</v>
      </c>
      <c r="F1" s="20" t="s">
        <v>113</v>
      </c>
    </row>
    <row r="2" spans="1:6" x14ac:dyDescent="0.3">
      <c r="A2" s="2" t="s">
        <v>78</v>
      </c>
      <c r="B2" s="2" t="s">
        <v>79</v>
      </c>
      <c r="C2" s="3">
        <v>78</v>
      </c>
      <c r="D2" s="16">
        <f>C2/$C$10</f>
        <v>0.312</v>
      </c>
      <c r="E2" s="5">
        <f>SUM($C$2:C2)</f>
        <v>78</v>
      </c>
      <c r="F2" s="16">
        <f>E2/$C$10</f>
        <v>0.312</v>
      </c>
    </row>
    <row r="3" spans="1:6" x14ac:dyDescent="0.3">
      <c r="A3" s="2" t="s">
        <v>80</v>
      </c>
      <c r="B3" s="2" t="s">
        <v>81</v>
      </c>
      <c r="C3" s="3">
        <v>60</v>
      </c>
      <c r="D3" s="16">
        <f t="shared" ref="D3:D9" si="0">C3/$C$10</f>
        <v>0.24</v>
      </c>
      <c r="E3" s="5">
        <f>SUM($C$2:C3)</f>
        <v>138</v>
      </c>
      <c r="F3" s="16">
        <f t="shared" ref="F3:F9" si="1">E3/$C$10</f>
        <v>0.55200000000000005</v>
      </c>
    </row>
    <row r="4" spans="1:6" x14ac:dyDescent="0.3">
      <c r="A4" s="2" t="s">
        <v>82</v>
      </c>
      <c r="B4" s="2" t="s">
        <v>83</v>
      </c>
      <c r="C4" s="3">
        <v>35</v>
      </c>
      <c r="D4" s="16">
        <f t="shared" si="0"/>
        <v>0.14000000000000001</v>
      </c>
      <c r="E4" s="5">
        <f>SUM($C$2:C4)</f>
        <v>173</v>
      </c>
      <c r="F4" s="16">
        <f t="shared" si="1"/>
        <v>0.69199999999999995</v>
      </c>
    </row>
    <row r="5" spans="1:6" x14ac:dyDescent="0.3">
      <c r="A5" s="2" t="s">
        <v>84</v>
      </c>
      <c r="B5" s="2" t="s">
        <v>85</v>
      </c>
      <c r="C5" s="3">
        <v>25</v>
      </c>
      <c r="D5" s="16">
        <f t="shared" si="0"/>
        <v>0.1</v>
      </c>
      <c r="E5" s="5">
        <f>SUM($C$2:C5)</f>
        <v>198</v>
      </c>
      <c r="F5" s="16">
        <f t="shared" si="1"/>
        <v>0.79200000000000004</v>
      </c>
    </row>
    <row r="6" spans="1:6" x14ac:dyDescent="0.3">
      <c r="A6" s="2" t="s">
        <v>86</v>
      </c>
      <c r="B6" s="2" t="s">
        <v>87</v>
      </c>
      <c r="C6" s="3">
        <v>20</v>
      </c>
      <c r="D6" s="16">
        <f t="shared" si="0"/>
        <v>0.08</v>
      </c>
      <c r="E6" s="5">
        <f>SUM($C$2:C6)</f>
        <v>218</v>
      </c>
      <c r="F6" s="16">
        <f t="shared" si="1"/>
        <v>0.872</v>
      </c>
    </row>
    <row r="7" spans="1:6" x14ac:dyDescent="0.3">
      <c r="A7" s="2" t="s">
        <v>88</v>
      </c>
      <c r="B7" s="2" t="s">
        <v>89</v>
      </c>
      <c r="C7" s="3">
        <v>15</v>
      </c>
      <c r="D7" s="16">
        <f t="shared" si="0"/>
        <v>0.06</v>
      </c>
      <c r="E7" s="5">
        <f>SUM($C$2:C7)</f>
        <v>233</v>
      </c>
      <c r="F7" s="16">
        <f t="shared" si="1"/>
        <v>0.93200000000000005</v>
      </c>
    </row>
    <row r="8" spans="1:6" x14ac:dyDescent="0.3">
      <c r="A8" s="2" t="s">
        <v>90</v>
      </c>
      <c r="B8" s="2" t="s">
        <v>91</v>
      </c>
      <c r="C8" s="3">
        <v>12</v>
      </c>
      <c r="D8" s="16">
        <f t="shared" si="0"/>
        <v>4.8000000000000001E-2</v>
      </c>
      <c r="E8" s="5">
        <f>SUM($C$2:C8)</f>
        <v>245</v>
      </c>
      <c r="F8" s="16">
        <f t="shared" si="1"/>
        <v>0.98</v>
      </c>
    </row>
    <row r="9" spans="1:6" x14ac:dyDescent="0.3">
      <c r="A9" s="2" t="s">
        <v>92</v>
      </c>
      <c r="B9" s="2" t="s">
        <v>93</v>
      </c>
      <c r="C9" s="3">
        <v>5</v>
      </c>
      <c r="D9" s="16">
        <f t="shared" si="0"/>
        <v>0.02</v>
      </c>
      <c r="E9" s="5">
        <f>SUM($C$2:C9)</f>
        <v>250</v>
      </c>
      <c r="F9" s="16">
        <f t="shared" si="1"/>
        <v>1</v>
      </c>
    </row>
    <row r="10" spans="1:6" x14ac:dyDescent="0.3">
      <c r="A10" s="21" t="s">
        <v>110</v>
      </c>
      <c r="B10" s="21"/>
      <c r="C10" s="18">
        <f>SUM(C2:C9)</f>
        <v>250</v>
      </c>
    </row>
    <row r="27" spans="1:9" ht="14.4" customHeight="1" x14ac:dyDescent="0.3">
      <c r="A27" s="14" t="s">
        <v>114</v>
      </c>
      <c r="B27" s="14"/>
      <c r="C27" s="14"/>
      <c r="D27" s="14"/>
      <c r="E27" s="14"/>
      <c r="F27" s="14"/>
      <c r="G27" s="14"/>
      <c r="H27" s="14"/>
      <c r="I27" s="14"/>
    </row>
    <row r="28" spans="1:9" x14ac:dyDescent="0.3">
      <c r="A28" s="14"/>
      <c r="B28" s="14"/>
      <c r="C28" s="14"/>
      <c r="D28" s="14"/>
      <c r="E28" s="14"/>
      <c r="F28" s="14"/>
      <c r="G28" s="14"/>
      <c r="H28" s="14"/>
      <c r="I28" s="14"/>
    </row>
    <row r="29" spans="1:9" x14ac:dyDescent="0.3">
      <c r="A29" s="14"/>
      <c r="B29" s="14"/>
      <c r="C29" s="14"/>
      <c r="D29" s="14"/>
      <c r="E29" s="14"/>
      <c r="F29" s="14"/>
      <c r="G29" s="14"/>
      <c r="H29" s="14"/>
      <c r="I29" s="14"/>
    </row>
    <row r="30" spans="1:9" x14ac:dyDescent="0.3">
      <c r="A30" s="14"/>
      <c r="B30" s="14"/>
      <c r="C30" s="14"/>
      <c r="D30" s="14"/>
      <c r="E30" s="14"/>
      <c r="F30" s="14"/>
      <c r="G30" s="14"/>
      <c r="H30" s="14"/>
      <c r="I30" s="14"/>
    </row>
    <row r="31" spans="1:9" x14ac:dyDescent="0.3">
      <c r="A31" s="14"/>
      <c r="B31" s="14"/>
      <c r="C31" s="14"/>
      <c r="D31" s="14"/>
      <c r="E31" s="14"/>
      <c r="F31" s="14"/>
      <c r="G31" s="14"/>
      <c r="H31" s="14"/>
      <c r="I31" s="14"/>
    </row>
    <row r="32" spans="1:9" x14ac:dyDescent="0.3">
      <c r="A32" s="14"/>
      <c r="B32" s="14"/>
      <c r="C32" s="14"/>
      <c r="D32" s="14"/>
      <c r="E32" s="14"/>
      <c r="F32" s="14"/>
      <c r="G32" s="14"/>
      <c r="H32" s="14"/>
      <c r="I32" s="14"/>
    </row>
    <row r="33" spans="1:9" x14ac:dyDescent="0.3">
      <c r="A33" s="14"/>
      <c r="B33" s="14"/>
      <c r="C33" s="14"/>
      <c r="D33" s="14"/>
      <c r="E33" s="14"/>
      <c r="F33" s="14"/>
      <c r="G33" s="14"/>
      <c r="H33" s="14"/>
      <c r="I33" s="14"/>
    </row>
    <row r="34" spans="1:9" x14ac:dyDescent="0.3">
      <c r="A34" s="14"/>
      <c r="B34" s="14"/>
      <c r="C34" s="14"/>
      <c r="D34" s="14"/>
      <c r="E34" s="14"/>
      <c r="F34" s="14"/>
      <c r="G34" s="14"/>
      <c r="H34" s="14"/>
      <c r="I34" s="14"/>
    </row>
    <row r="35" spans="1:9" x14ac:dyDescent="0.3">
      <c r="A35" s="14"/>
      <c r="B35" s="14"/>
      <c r="C35" s="14"/>
      <c r="D35" s="14"/>
      <c r="E35" s="14"/>
      <c r="F35" s="14"/>
      <c r="G35" s="14"/>
      <c r="H35" s="14"/>
      <c r="I35" s="14"/>
    </row>
    <row r="36" spans="1:9" x14ac:dyDescent="0.3">
      <c r="A36" s="14"/>
      <c r="B36" s="14"/>
      <c r="C36" s="14"/>
      <c r="D36" s="14"/>
      <c r="E36" s="14"/>
      <c r="F36" s="14"/>
      <c r="G36" s="14"/>
      <c r="H36" s="14"/>
      <c r="I36" s="14"/>
    </row>
    <row r="37" spans="1:9" x14ac:dyDescent="0.3">
      <c r="A37" s="23"/>
      <c r="B37" s="23"/>
      <c r="C37" s="23"/>
      <c r="D37" s="23"/>
      <c r="E37" s="23"/>
      <c r="F37" s="23"/>
      <c r="G37" s="23"/>
      <c r="H37" s="23"/>
      <c r="I37" s="23"/>
    </row>
    <row r="38" spans="1:9" x14ac:dyDescent="0.3">
      <c r="A38" s="4"/>
      <c r="B38" s="4"/>
      <c r="C38" s="4"/>
      <c r="D38" s="4"/>
      <c r="E38" s="4"/>
      <c r="F38" s="4"/>
      <c r="G38" s="4"/>
      <c r="H38" s="4"/>
      <c r="I38" s="4"/>
    </row>
    <row r="39" spans="1:9" x14ac:dyDescent="0.3">
      <c r="A39" s="14" t="s">
        <v>116</v>
      </c>
      <c r="B39" s="14"/>
      <c r="C39" s="14"/>
      <c r="D39" s="14"/>
      <c r="E39" s="14"/>
      <c r="F39" s="14"/>
      <c r="G39" s="14"/>
      <c r="H39" s="14"/>
      <c r="I39" s="14"/>
    </row>
    <row r="40" spans="1:9" x14ac:dyDescent="0.3">
      <c r="A40" s="14"/>
      <c r="B40" s="14"/>
      <c r="C40" s="14"/>
      <c r="D40" s="14"/>
      <c r="E40" s="14"/>
      <c r="F40" s="14"/>
      <c r="G40" s="14"/>
      <c r="H40" s="14"/>
      <c r="I40" s="14"/>
    </row>
    <row r="41" spans="1:9" x14ac:dyDescent="0.3">
      <c r="A41" s="14"/>
      <c r="B41" s="14"/>
      <c r="C41" s="14"/>
      <c r="D41" s="14"/>
      <c r="E41" s="14"/>
      <c r="F41" s="14"/>
      <c r="G41" s="14"/>
      <c r="H41" s="14"/>
      <c r="I41" s="14"/>
    </row>
    <row r="42" spans="1:9" x14ac:dyDescent="0.3">
      <c r="A42" s="14"/>
      <c r="B42" s="14"/>
      <c r="C42" s="14"/>
      <c r="D42" s="14"/>
      <c r="E42" s="14"/>
      <c r="F42" s="14"/>
      <c r="G42" s="14"/>
      <c r="H42" s="14"/>
      <c r="I42" s="14"/>
    </row>
    <row r="43" spans="1:9" x14ac:dyDescent="0.3">
      <c r="A43" s="14"/>
      <c r="B43" s="14"/>
      <c r="C43" s="14"/>
      <c r="D43" s="14"/>
      <c r="E43" s="14"/>
      <c r="F43" s="14"/>
      <c r="G43" s="14"/>
      <c r="H43" s="14"/>
      <c r="I43" s="14"/>
    </row>
    <row r="44" spans="1:9" x14ac:dyDescent="0.3">
      <c r="A44" s="14"/>
      <c r="B44" s="14"/>
      <c r="C44" s="14"/>
      <c r="D44" s="14"/>
      <c r="E44" s="14"/>
      <c r="F44" s="14"/>
      <c r="G44" s="14"/>
      <c r="H44" s="14"/>
      <c r="I44" s="14"/>
    </row>
    <row r="45" spans="1:9" x14ac:dyDescent="0.3">
      <c r="A45" s="14"/>
      <c r="B45" s="14"/>
      <c r="C45" s="14"/>
      <c r="D45" s="14"/>
      <c r="E45" s="14"/>
      <c r="F45" s="14"/>
      <c r="G45" s="14"/>
      <c r="H45" s="14"/>
      <c r="I45" s="14"/>
    </row>
    <row r="46" spans="1:9" x14ac:dyDescent="0.3">
      <c r="A46" s="14"/>
      <c r="B46" s="14"/>
      <c r="C46" s="14"/>
      <c r="D46" s="14"/>
      <c r="E46" s="14"/>
      <c r="F46" s="14"/>
      <c r="G46" s="14"/>
      <c r="H46" s="14"/>
      <c r="I46" s="14"/>
    </row>
    <row r="48" spans="1:9" ht="14.4" customHeight="1" x14ac:dyDescent="0.3">
      <c r="A48" s="26" t="s">
        <v>115</v>
      </c>
      <c r="B48" s="24"/>
      <c r="C48" s="24"/>
      <c r="D48" s="24"/>
      <c r="E48" s="24"/>
      <c r="F48" s="24"/>
      <c r="G48" s="24"/>
      <c r="H48" s="24"/>
      <c r="I48" s="27"/>
    </row>
    <row r="49" spans="1:9" x14ac:dyDescent="0.3">
      <c r="A49" s="28"/>
      <c r="B49" s="25"/>
      <c r="C49" s="25"/>
      <c r="D49" s="25"/>
      <c r="E49" s="25"/>
      <c r="F49" s="25"/>
      <c r="G49" s="25"/>
      <c r="H49" s="25"/>
      <c r="I49" s="29"/>
    </row>
    <row r="50" spans="1:9" x14ac:dyDescent="0.3">
      <c r="A50" s="28"/>
      <c r="B50" s="25"/>
      <c r="C50" s="25"/>
      <c r="D50" s="25"/>
      <c r="E50" s="25"/>
      <c r="F50" s="25"/>
      <c r="G50" s="25"/>
      <c r="H50" s="25"/>
      <c r="I50" s="29"/>
    </row>
    <row r="51" spans="1:9" x14ac:dyDescent="0.3">
      <c r="A51" s="28"/>
      <c r="B51" s="25"/>
      <c r="C51" s="25"/>
      <c r="D51" s="25"/>
      <c r="E51" s="25"/>
      <c r="F51" s="25"/>
      <c r="G51" s="25"/>
      <c r="H51" s="25"/>
      <c r="I51" s="29"/>
    </row>
    <row r="52" spans="1:9" x14ac:dyDescent="0.3">
      <c r="A52" s="28"/>
      <c r="B52" s="25"/>
      <c r="C52" s="25"/>
      <c r="D52" s="25"/>
      <c r="E52" s="25"/>
      <c r="F52" s="25"/>
      <c r="G52" s="25"/>
      <c r="H52" s="25"/>
      <c r="I52" s="29"/>
    </row>
    <row r="53" spans="1:9" x14ac:dyDescent="0.3">
      <c r="A53" s="28"/>
      <c r="B53" s="25"/>
      <c r="C53" s="25"/>
      <c r="D53" s="25"/>
      <c r="E53" s="25"/>
      <c r="F53" s="25"/>
      <c r="G53" s="25"/>
      <c r="H53" s="25"/>
      <c r="I53" s="29"/>
    </row>
    <row r="54" spans="1:9" x14ac:dyDescent="0.3">
      <c r="A54" s="28"/>
      <c r="B54" s="25"/>
      <c r="C54" s="25"/>
      <c r="D54" s="25"/>
      <c r="E54" s="25"/>
      <c r="F54" s="25"/>
      <c r="G54" s="25"/>
      <c r="H54" s="25"/>
      <c r="I54" s="29"/>
    </row>
    <row r="55" spans="1:9" x14ac:dyDescent="0.3">
      <c r="A55" s="28"/>
      <c r="B55" s="25"/>
      <c r="C55" s="25"/>
      <c r="D55" s="25"/>
      <c r="E55" s="25"/>
      <c r="F55" s="25"/>
      <c r="G55" s="25"/>
      <c r="H55" s="25"/>
      <c r="I55" s="29"/>
    </row>
    <row r="56" spans="1:9" x14ac:dyDescent="0.3">
      <c r="A56" s="28"/>
      <c r="B56" s="25"/>
      <c r="C56" s="25"/>
      <c r="D56" s="25"/>
      <c r="E56" s="25"/>
      <c r="F56" s="25"/>
      <c r="G56" s="25"/>
      <c r="H56" s="25"/>
      <c r="I56" s="29"/>
    </row>
    <row r="57" spans="1:9" x14ac:dyDescent="0.3">
      <c r="A57" s="28"/>
      <c r="B57" s="25"/>
      <c r="C57" s="25"/>
      <c r="D57" s="25"/>
      <c r="E57" s="25"/>
      <c r="F57" s="25"/>
      <c r="G57" s="25"/>
      <c r="H57" s="25"/>
      <c r="I57" s="29"/>
    </row>
    <row r="58" spans="1:9" x14ac:dyDescent="0.3">
      <c r="A58" s="28"/>
      <c r="B58" s="25"/>
      <c r="C58" s="25"/>
      <c r="D58" s="25"/>
      <c r="E58" s="25"/>
      <c r="F58" s="25"/>
      <c r="G58" s="25"/>
      <c r="H58" s="25"/>
      <c r="I58" s="29"/>
    </row>
    <row r="59" spans="1:9" x14ac:dyDescent="0.3">
      <c r="A59" s="28"/>
      <c r="B59" s="25"/>
      <c r="C59" s="25"/>
      <c r="D59" s="25"/>
      <c r="E59" s="25"/>
      <c r="F59" s="25"/>
      <c r="G59" s="25"/>
      <c r="H59" s="25"/>
      <c r="I59" s="29"/>
    </row>
    <row r="60" spans="1:9" x14ac:dyDescent="0.3">
      <c r="A60" s="28"/>
      <c r="B60" s="25"/>
      <c r="C60" s="25"/>
      <c r="D60" s="25"/>
      <c r="E60" s="25"/>
      <c r="F60" s="25"/>
      <c r="G60" s="25"/>
      <c r="H60" s="25"/>
      <c r="I60" s="29"/>
    </row>
    <row r="61" spans="1:9" x14ac:dyDescent="0.3">
      <c r="A61" s="28"/>
      <c r="B61" s="25"/>
      <c r="C61" s="25"/>
      <c r="D61" s="25"/>
      <c r="E61" s="25"/>
      <c r="F61" s="25"/>
      <c r="G61" s="25"/>
      <c r="H61" s="25"/>
      <c r="I61" s="29"/>
    </row>
    <row r="62" spans="1:9" x14ac:dyDescent="0.3">
      <c r="A62" s="28"/>
      <c r="B62" s="25"/>
      <c r="C62" s="25"/>
      <c r="D62" s="25"/>
      <c r="E62" s="25"/>
      <c r="F62" s="25"/>
      <c r="G62" s="25"/>
      <c r="H62" s="25"/>
      <c r="I62" s="29"/>
    </row>
    <row r="63" spans="1:9" x14ac:dyDescent="0.3">
      <c r="A63" s="28"/>
      <c r="B63" s="25"/>
      <c r="C63" s="25"/>
      <c r="D63" s="25"/>
      <c r="E63" s="25"/>
      <c r="F63" s="25"/>
      <c r="G63" s="25"/>
      <c r="H63" s="25"/>
      <c r="I63" s="29"/>
    </row>
    <row r="64" spans="1:9" x14ac:dyDescent="0.3">
      <c r="A64" s="30"/>
      <c r="B64" s="31"/>
      <c r="C64" s="31"/>
      <c r="D64" s="31"/>
      <c r="E64" s="31"/>
      <c r="F64" s="31"/>
      <c r="G64" s="31"/>
      <c r="H64" s="31"/>
      <c r="I64" s="32"/>
    </row>
  </sheetData>
  <sortState xmlns:xlrd2="http://schemas.microsoft.com/office/spreadsheetml/2017/richdata2" ref="A2:C9">
    <sortCondition descending="1" ref="C2:C9"/>
  </sortState>
  <mergeCells count="4">
    <mergeCell ref="A10:B10"/>
    <mergeCell ref="A39:I46"/>
    <mergeCell ref="A27:I36"/>
    <mergeCell ref="A48:I64"/>
  </mergeCells>
  <pageMargins left="0.25" right="0.25" top="0.75" bottom="0.75" header="0.3" footer="0.3"/>
  <pageSetup paperSize="9" scale="77" orientation="portrait" r:id="rId1"/>
  <ignoredErrors>
    <ignoredError sqref="E5" 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D856F-BC3D-410F-950A-9D58EACBA447}">
  <sheetPr>
    <pageSetUpPr fitToPage="1"/>
  </sheetPr>
  <dimension ref="A1:M45"/>
  <sheetViews>
    <sheetView tabSelected="1" topLeftCell="A10" workbookViewId="0">
      <selection activeCell="A31" sqref="A31:M33"/>
    </sheetView>
  </sheetViews>
  <sheetFormatPr defaultRowHeight="14.4" x14ac:dyDescent="0.3"/>
  <cols>
    <col min="1" max="1" width="11.88671875" bestFit="1" customWidth="1"/>
    <col min="2" max="2" width="25.44140625" bestFit="1" customWidth="1"/>
    <col min="3" max="3" width="7.88671875" bestFit="1" customWidth="1"/>
  </cols>
  <sheetData>
    <row r="1" spans="1:3" s="22" customFormat="1" x14ac:dyDescent="0.3">
      <c r="A1" s="1" t="s">
        <v>53</v>
      </c>
      <c r="B1" s="1" t="s">
        <v>54</v>
      </c>
      <c r="C1" s="1" t="s">
        <v>125</v>
      </c>
    </row>
    <row r="2" spans="1:3" x14ac:dyDescent="0.3">
      <c r="A2" s="2" t="s">
        <v>55</v>
      </c>
      <c r="B2" s="3">
        <v>22</v>
      </c>
      <c r="C2" s="3" t="str">
        <f>IF(OR(B2&lt;$B$28,B2&gt;$B$29),"Outlier","Normal")</f>
        <v>Normal</v>
      </c>
    </row>
    <row r="3" spans="1:3" x14ac:dyDescent="0.3">
      <c r="A3" s="2" t="s">
        <v>56</v>
      </c>
      <c r="B3" s="3">
        <v>24</v>
      </c>
      <c r="C3" s="3" t="str">
        <f t="shared" ref="C3:C21" si="0">IF(OR(B3&lt;$B$28,B3&gt;$B$29),"Outlier","Normal")</f>
        <v>Normal</v>
      </c>
    </row>
    <row r="4" spans="1:3" x14ac:dyDescent="0.3">
      <c r="A4" s="2" t="s">
        <v>57</v>
      </c>
      <c r="B4" s="3">
        <v>26</v>
      </c>
      <c r="C4" s="3" t="str">
        <f t="shared" si="0"/>
        <v>Normal</v>
      </c>
    </row>
    <row r="5" spans="1:3" x14ac:dyDescent="0.3">
      <c r="A5" s="2" t="s">
        <v>58</v>
      </c>
      <c r="B5" s="3">
        <v>27</v>
      </c>
      <c r="C5" s="3" t="str">
        <f t="shared" si="0"/>
        <v>Normal</v>
      </c>
    </row>
    <row r="6" spans="1:3" x14ac:dyDescent="0.3">
      <c r="A6" s="2" t="s">
        <v>59</v>
      </c>
      <c r="B6" s="3">
        <v>28</v>
      </c>
      <c r="C6" s="3" t="str">
        <f t="shared" si="0"/>
        <v>Normal</v>
      </c>
    </row>
    <row r="7" spans="1:3" x14ac:dyDescent="0.3">
      <c r="A7" s="2" t="s">
        <v>60</v>
      </c>
      <c r="B7" s="3">
        <v>30</v>
      </c>
      <c r="C7" s="3" t="str">
        <f t="shared" si="0"/>
        <v>Normal</v>
      </c>
    </row>
    <row r="8" spans="1:3" x14ac:dyDescent="0.3">
      <c r="A8" s="2" t="s">
        <v>61</v>
      </c>
      <c r="B8" s="3">
        <v>31</v>
      </c>
      <c r="C8" s="3" t="str">
        <f t="shared" si="0"/>
        <v>Normal</v>
      </c>
    </row>
    <row r="9" spans="1:3" x14ac:dyDescent="0.3">
      <c r="A9" s="2" t="s">
        <v>62</v>
      </c>
      <c r="B9" s="3">
        <v>33</v>
      </c>
      <c r="C9" s="3" t="str">
        <f t="shared" si="0"/>
        <v>Normal</v>
      </c>
    </row>
    <row r="10" spans="1:3" x14ac:dyDescent="0.3">
      <c r="A10" s="2" t="s">
        <v>63</v>
      </c>
      <c r="B10" s="3">
        <v>35</v>
      </c>
      <c r="C10" s="3" t="str">
        <f t="shared" si="0"/>
        <v>Normal</v>
      </c>
    </row>
    <row r="11" spans="1:3" x14ac:dyDescent="0.3">
      <c r="A11" s="2" t="s">
        <v>64</v>
      </c>
      <c r="B11" s="3">
        <v>36</v>
      </c>
      <c r="C11" s="3" t="str">
        <f t="shared" si="0"/>
        <v>Normal</v>
      </c>
    </row>
    <row r="12" spans="1:3" x14ac:dyDescent="0.3">
      <c r="A12" s="2" t="s">
        <v>65</v>
      </c>
      <c r="B12" s="3">
        <v>38</v>
      </c>
      <c r="C12" s="3" t="str">
        <f t="shared" si="0"/>
        <v>Normal</v>
      </c>
    </row>
    <row r="13" spans="1:3" x14ac:dyDescent="0.3">
      <c r="A13" s="2" t="s">
        <v>66</v>
      </c>
      <c r="B13" s="3">
        <v>40</v>
      </c>
      <c r="C13" s="3" t="str">
        <f t="shared" si="0"/>
        <v>Normal</v>
      </c>
    </row>
    <row r="14" spans="1:3" x14ac:dyDescent="0.3">
      <c r="A14" s="2" t="s">
        <v>67</v>
      </c>
      <c r="B14" s="3">
        <v>42</v>
      </c>
      <c r="C14" s="3" t="str">
        <f t="shared" si="0"/>
        <v>Normal</v>
      </c>
    </row>
    <row r="15" spans="1:3" x14ac:dyDescent="0.3">
      <c r="A15" s="2" t="s">
        <v>68</v>
      </c>
      <c r="B15" s="3">
        <v>45</v>
      </c>
      <c r="C15" s="3" t="str">
        <f t="shared" si="0"/>
        <v>Normal</v>
      </c>
    </row>
    <row r="16" spans="1:3" x14ac:dyDescent="0.3">
      <c r="A16" s="2" t="s">
        <v>69</v>
      </c>
      <c r="B16" s="3">
        <v>47</v>
      </c>
      <c r="C16" s="3" t="str">
        <f t="shared" si="0"/>
        <v>Normal</v>
      </c>
    </row>
    <row r="17" spans="1:13" x14ac:dyDescent="0.3">
      <c r="A17" s="2" t="s">
        <v>70</v>
      </c>
      <c r="B17" s="3">
        <v>49</v>
      </c>
      <c r="C17" s="3" t="str">
        <f t="shared" si="0"/>
        <v>Normal</v>
      </c>
    </row>
    <row r="18" spans="1:13" x14ac:dyDescent="0.3">
      <c r="A18" s="2" t="s">
        <v>71</v>
      </c>
      <c r="B18" s="3">
        <v>52</v>
      </c>
      <c r="C18" s="3" t="str">
        <f t="shared" si="0"/>
        <v>Normal</v>
      </c>
    </row>
    <row r="19" spans="1:13" x14ac:dyDescent="0.3">
      <c r="A19" s="2" t="s">
        <v>72</v>
      </c>
      <c r="B19" s="3">
        <v>55</v>
      </c>
      <c r="C19" s="3" t="str">
        <f t="shared" si="0"/>
        <v>Normal</v>
      </c>
    </row>
    <row r="20" spans="1:13" x14ac:dyDescent="0.3">
      <c r="A20" s="2" t="s">
        <v>73</v>
      </c>
      <c r="B20" s="3">
        <v>60</v>
      </c>
      <c r="C20" s="3" t="str">
        <f t="shared" si="0"/>
        <v>Normal</v>
      </c>
    </row>
    <row r="21" spans="1:13" x14ac:dyDescent="0.3">
      <c r="A21" s="2" t="s">
        <v>74</v>
      </c>
      <c r="B21" s="3">
        <v>95</v>
      </c>
      <c r="C21" s="3" t="str">
        <f t="shared" si="0"/>
        <v>Outlier</v>
      </c>
    </row>
    <row r="22" spans="1:13" x14ac:dyDescent="0.3">
      <c r="A22" s="33" t="s">
        <v>117</v>
      </c>
      <c r="B22" s="17">
        <f>MIN(B2:B21)</f>
        <v>22</v>
      </c>
      <c r="C22" s="34"/>
      <c r="D22" s="40" t="s">
        <v>128</v>
      </c>
      <c r="E22" s="41"/>
      <c r="F22" s="41"/>
      <c r="G22" s="41"/>
      <c r="H22" s="41"/>
      <c r="I22" s="40" t="s">
        <v>130</v>
      </c>
      <c r="J22" s="41"/>
      <c r="K22" s="41"/>
      <c r="L22" s="41"/>
      <c r="M22" s="41"/>
    </row>
    <row r="23" spans="1:13" x14ac:dyDescent="0.3">
      <c r="A23" s="33" t="s">
        <v>118</v>
      </c>
      <c r="B23" s="17">
        <f>_xlfn.QUARTILE.INC(B2:B21,1)</f>
        <v>29.5</v>
      </c>
      <c r="C23" s="34"/>
      <c r="D23" s="41"/>
      <c r="E23" s="41"/>
      <c r="F23" s="41"/>
      <c r="G23" s="41"/>
      <c r="H23" s="41"/>
      <c r="I23" s="41"/>
      <c r="J23" s="41"/>
      <c r="K23" s="41"/>
      <c r="L23" s="41"/>
      <c r="M23" s="41"/>
    </row>
    <row r="24" spans="1:13" x14ac:dyDescent="0.3">
      <c r="A24" s="33" t="s">
        <v>119</v>
      </c>
      <c r="B24" s="17">
        <f>_xlfn.QUARTILE.INC(B2:B21,2)</f>
        <v>37</v>
      </c>
      <c r="C24" s="34"/>
      <c r="D24" s="41"/>
      <c r="E24" s="41"/>
      <c r="F24" s="41"/>
      <c r="G24" s="41"/>
      <c r="H24" s="41"/>
      <c r="I24" s="41"/>
      <c r="J24" s="41"/>
      <c r="K24" s="41"/>
      <c r="L24" s="41"/>
      <c r="M24" s="41"/>
    </row>
    <row r="25" spans="1:13" x14ac:dyDescent="0.3">
      <c r="A25" s="33" t="s">
        <v>120</v>
      </c>
      <c r="B25" s="17">
        <f>_xlfn.QUARTILE.INC(B2:B21,3)</f>
        <v>47.5</v>
      </c>
      <c r="C25" s="34"/>
      <c r="D25" s="41"/>
      <c r="E25" s="41"/>
      <c r="F25" s="41"/>
      <c r="G25" s="41"/>
      <c r="H25" s="41"/>
      <c r="I25" s="41"/>
      <c r="J25" s="41"/>
      <c r="K25" s="41"/>
      <c r="L25" s="41"/>
      <c r="M25" s="41"/>
    </row>
    <row r="26" spans="1:13" x14ac:dyDescent="0.3">
      <c r="A26" s="33" t="s">
        <v>121</v>
      </c>
      <c r="B26" s="17">
        <f>MAX(B2:B21)</f>
        <v>95</v>
      </c>
      <c r="C26" s="34"/>
      <c r="D26" s="40" t="s">
        <v>129</v>
      </c>
      <c r="E26" s="41"/>
      <c r="F26" s="41"/>
      <c r="G26" s="41"/>
      <c r="H26" s="41"/>
      <c r="I26" s="40" t="s">
        <v>131</v>
      </c>
      <c r="J26" s="41"/>
      <c r="K26" s="41"/>
      <c r="L26" s="41"/>
      <c r="M26" s="41"/>
    </row>
    <row r="27" spans="1:13" x14ac:dyDescent="0.3">
      <c r="A27" s="33" t="s">
        <v>122</v>
      </c>
      <c r="B27" s="17">
        <f>B25-B23</f>
        <v>18</v>
      </c>
      <c r="C27" s="34"/>
      <c r="D27" s="41"/>
      <c r="E27" s="41"/>
      <c r="F27" s="41"/>
      <c r="G27" s="41"/>
      <c r="H27" s="41"/>
      <c r="I27" s="41"/>
      <c r="J27" s="41"/>
      <c r="K27" s="41"/>
      <c r="L27" s="41"/>
      <c r="M27" s="41"/>
    </row>
    <row r="28" spans="1:13" x14ac:dyDescent="0.3">
      <c r="A28" s="33" t="s">
        <v>123</v>
      </c>
      <c r="B28" s="17">
        <f>B23-1.5*B27</f>
        <v>2.5</v>
      </c>
      <c r="C28" s="34"/>
      <c r="D28" s="41"/>
      <c r="E28" s="41"/>
      <c r="F28" s="41"/>
      <c r="G28" s="41"/>
      <c r="H28" s="41"/>
      <c r="I28" s="41"/>
      <c r="J28" s="41"/>
      <c r="K28" s="41"/>
      <c r="L28" s="41"/>
      <c r="M28" s="41"/>
    </row>
    <row r="29" spans="1:13" x14ac:dyDescent="0.3">
      <c r="A29" s="33" t="s">
        <v>124</v>
      </c>
      <c r="B29" s="17">
        <f>B25+1.5*B27</f>
        <v>74.5</v>
      </c>
      <c r="C29" s="34"/>
      <c r="D29" s="41"/>
      <c r="E29" s="41"/>
      <c r="F29" s="41"/>
      <c r="G29" s="41"/>
      <c r="H29" s="41"/>
      <c r="I29" s="41"/>
      <c r="J29" s="41"/>
      <c r="K29" s="41"/>
      <c r="L29" s="41"/>
      <c r="M29" s="41"/>
    </row>
    <row r="30" spans="1:13" x14ac:dyDescent="0.3">
      <c r="A30" s="35"/>
      <c r="B30" s="34"/>
      <c r="C30" s="34"/>
      <c r="D30" s="42"/>
      <c r="E30" s="42"/>
      <c r="F30" s="42"/>
      <c r="G30" s="42"/>
      <c r="H30" s="42"/>
      <c r="I30" s="42"/>
      <c r="J30" s="42"/>
      <c r="K30" s="42"/>
      <c r="L30" s="42"/>
      <c r="M30" s="42"/>
    </row>
    <row r="31" spans="1:13" x14ac:dyDescent="0.3">
      <c r="A31" s="37" t="s">
        <v>132</v>
      </c>
      <c r="B31" s="36"/>
      <c r="C31" s="36"/>
      <c r="D31" s="36"/>
      <c r="E31" s="36"/>
      <c r="F31" s="36"/>
      <c r="G31" s="36"/>
      <c r="H31" s="36"/>
      <c r="I31" s="36"/>
      <c r="J31" s="36"/>
      <c r="K31" s="36"/>
      <c r="L31" s="36"/>
      <c r="M31" s="36"/>
    </row>
    <row r="32" spans="1:13" x14ac:dyDescent="0.3">
      <c r="A32" s="36"/>
      <c r="B32" s="36"/>
      <c r="C32" s="36"/>
      <c r="D32" s="36"/>
      <c r="E32" s="36"/>
      <c r="F32" s="36"/>
      <c r="G32" s="36"/>
      <c r="H32" s="36"/>
      <c r="I32" s="36"/>
      <c r="J32" s="36"/>
      <c r="K32" s="36"/>
      <c r="L32" s="36"/>
      <c r="M32" s="36"/>
    </row>
    <row r="33" spans="1:13" x14ac:dyDescent="0.3">
      <c r="A33" s="36"/>
      <c r="B33" s="36"/>
      <c r="C33" s="36"/>
      <c r="D33" s="36"/>
      <c r="E33" s="36"/>
      <c r="F33" s="36"/>
      <c r="G33" s="36"/>
      <c r="H33" s="36"/>
      <c r="I33" s="36"/>
      <c r="J33" s="36"/>
      <c r="K33" s="36"/>
      <c r="L33" s="36"/>
      <c r="M33" s="36"/>
    </row>
    <row r="34" spans="1:13" x14ac:dyDescent="0.3">
      <c r="A34" s="35"/>
      <c r="B34" s="34"/>
      <c r="C34" s="34"/>
    </row>
    <row r="35" spans="1:13" ht="14.4" customHeight="1" x14ac:dyDescent="0.3">
      <c r="A35" s="38" t="s">
        <v>126</v>
      </c>
      <c r="B35" s="38"/>
      <c r="C35" s="38"/>
      <c r="D35" s="38"/>
      <c r="E35" s="38"/>
      <c r="F35" s="38"/>
      <c r="G35" s="38"/>
      <c r="H35" s="38"/>
      <c r="I35" s="38"/>
      <c r="J35" s="38"/>
      <c r="K35" s="38"/>
      <c r="L35" s="38"/>
      <c r="M35" s="38"/>
    </row>
    <row r="36" spans="1:13" ht="14.4" customHeight="1" x14ac:dyDescent="0.3">
      <c r="A36" s="38"/>
      <c r="B36" s="38"/>
      <c r="C36" s="38"/>
      <c r="D36" s="38"/>
      <c r="E36" s="38"/>
      <c r="F36" s="38"/>
      <c r="G36" s="38"/>
      <c r="H36" s="38"/>
      <c r="I36" s="38"/>
      <c r="J36" s="38"/>
      <c r="K36" s="38"/>
      <c r="L36" s="38"/>
      <c r="M36" s="38"/>
    </row>
    <row r="37" spans="1:13" ht="14.4" customHeight="1" x14ac:dyDescent="0.3">
      <c r="A37" s="38"/>
      <c r="B37" s="38"/>
      <c r="C37" s="38"/>
      <c r="D37" s="38"/>
      <c r="E37" s="38"/>
      <c r="F37" s="38"/>
      <c r="G37" s="38"/>
      <c r="H37" s="38"/>
      <c r="I37" s="38"/>
      <c r="J37" s="38"/>
      <c r="K37" s="38"/>
      <c r="L37" s="38"/>
      <c r="M37" s="38"/>
    </row>
    <row r="38" spans="1:13" x14ac:dyDescent="0.3">
      <c r="A38" s="38"/>
      <c r="B38" s="38"/>
      <c r="C38" s="38"/>
      <c r="D38" s="38"/>
      <c r="E38" s="38"/>
      <c r="F38" s="38"/>
      <c r="G38" s="38"/>
      <c r="H38" s="38"/>
      <c r="I38" s="38"/>
      <c r="J38" s="38"/>
      <c r="K38" s="38"/>
      <c r="L38" s="38"/>
      <c r="M38" s="38"/>
    </row>
    <row r="39" spans="1:13" x14ac:dyDescent="0.3">
      <c r="A39" s="38"/>
      <c r="B39" s="38"/>
      <c r="C39" s="38"/>
      <c r="D39" s="38"/>
      <c r="E39" s="38"/>
      <c r="F39" s="38"/>
      <c r="G39" s="38"/>
      <c r="H39" s="38"/>
      <c r="I39" s="38"/>
      <c r="J39" s="38"/>
      <c r="K39" s="38"/>
      <c r="L39" s="38"/>
      <c r="M39" s="38"/>
    </row>
    <row r="41" spans="1:13" ht="14.4" customHeight="1" x14ac:dyDescent="0.3">
      <c r="A41" s="39" t="s">
        <v>127</v>
      </c>
      <c r="B41" s="39"/>
      <c r="C41" s="39"/>
      <c r="D41" s="39"/>
      <c r="E41" s="39"/>
      <c r="F41" s="39"/>
      <c r="G41" s="39"/>
      <c r="H41" s="39"/>
      <c r="I41" s="39"/>
      <c r="J41" s="39"/>
      <c r="K41" s="39"/>
      <c r="L41" s="39"/>
      <c r="M41" s="39"/>
    </row>
    <row r="42" spans="1:13" x14ac:dyDescent="0.3">
      <c r="A42" s="39"/>
      <c r="B42" s="39"/>
      <c r="C42" s="39"/>
      <c r="D42" s="39"/>
      <c r="E42" s="39"/>
      <c r="F42" s="39"/>
      <c r="G42" s="39"/>
      <c r="H42" s="39"/>
      <c r="I42" s="39"/>
      <c r="J42" s="39"/>
      <c r="K42" s="39"/>
      <c r="L42" s="39"/>
      <c r="M42" s="39"/>
    </row>
    <row r="43" spans="1:13" x14ac:dyDescent="0.3">
      <c r="A43" s="39"/>
      <c r="B43" s="39"/>
      <c r="C43" s="39"/>
      <c r="D43" s="39"/>
      <c r="E43" s="39"/>
      <c r="F43" s="39"/>
      <c r="G43" s="39"/>
      <c r="H43" s="39"/>
      <c r="I43" s="39"/>
      <c r="J43" s="39"/>
      <c r="K43" s="39"/>
      <c r="L43" s="39"/>
      <c r="M43" s="39"/>
    </row>
    <row r="44" spans="1:13" x14ac:dyDescent="0.3">
      <c r="A44" s="39"/>
      <c r="B44" s="39"/>
      <c r="C44" s="39"/>
      <c r="D44" s="39"/>
      <c r="E44" s="39"/>
      <c r="F44" s="39"/>
      <c r="G44" s="39"/>
      <c r="H44" s="39"/>
      <c r="I44" s="39"/>
      <c r="J44" s="39"/>
      <c r="K44" s="39"/>
      <c r="L44" s="39"/>
      <c r="M44" s="39"/>
    </row>
    <row r="45" spans="1:13" x14ac:dyDescent="0.3">
      <c r="A45" s="39"/>
      <c r="B45" s="39"/>
      <c r="C45" s="39"/>
      <c r="D45" s="39"/>
      <c r="E45" s="39"/>
      <c r="F45" s="39"/>
      <c r="G45" s="39"/>
      <c r="H45" s="39"/>
      <c r="I45" s="39"/>
      <c r="J45" s="39"/>
      <c r="K45" s="39"/>
      <c r="L45" s="39"/>
      <c r="M45" s="39"/>
    </row>
  </sheetData>
  <mergeCells count="7">
    <mergeCell ref="A35:M39"/>
    <mergeCell ref="A41:M45"/>
    <mergeCell ref="D22:H25"/>
    <mergeCell ref="D26:H29"/>
    <mergeCell ref="I22:M25"/>
    <mergeCell ref="I26:M29"/>
    <mergeCell ref="A31:M33"/>
  </mergeCells>
  <pageMargins left="0.25" right="0.25" top="0.75" bottom="0.75" header="0.3" footer="0.3"/>
  <pageSetup paperSize="9" scale="74" fitToWidth="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HISTOGRAM-CHART</vt:lpstr>
      <vt:lpstr>PARETO-CHART</vt:lpstr>
      <vt:lpstr>BOX-PLOT-CHART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Souptik Bej</dc:creator>
  <cp:lastModifiedBy>Souptik Bej</cp:lastModifiedBy>
  <cp:lastPrinted>2026-08-16T13:32:07Z</cp:lastPrinted>
  <dcterms:created xsi:type="dcterms:W3CDTF">2026-08-15T13:58:04Z</dcterms:created>
  <dcterms:modified xsi:type="dcterms:W3CDTF">2026-08-16T13:32:16Z</dcterms:modified>
</cp:coreProperties>
</file>