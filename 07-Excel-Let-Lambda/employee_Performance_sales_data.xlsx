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B1B841A8-8BCB-42D1-9059-B852218E2F4E}" xr6:coauthVersionLast="47" xr6:coauthVersionMax="47" xr10:uidLastSave="{00000000-0000-0000-0000-000000000000}"/>
  <bookViews>
    <workbookView xWindow="28680" yWindow="-120" windowWidth="29040" windowHeight="16440" activeTab="3" xr2:uid="{E70BD4CD-044B-4D7A-BC55-DE26155D150F}"/>
  </bookViews>
  <sheets>
    <sheet name="Basic" sheetId="1" r:id="rId1"/>
    <sheet name="RAW-DATA" sheetId="2" r:id="rId2"/>
    <sheet name="LET" sheetId="3" r:id="rId3"/>
    <sheet name="LAMBDA" sheetId="4" r:id="rId4"/>
  </sheets>
  <definedNames>
    <definedName name="Achievement">_xlfn.LAMBDA(_xlpm.s,_xlpm.t,(_xlpm.s/_xlpm.t)*100)</definedName>
    <definedName name="Bonus_percent">_xlfn.LAMBDA(_xlpm.b,_xlpm.s,(_xlpm.b/_xlpm.s)*100)</definedName>
    <definedName name="Net_Earning">_xlfn.LAMBDA(_xlpm.s,_xlpm.c,_xlpm.b,_xlpm.s-_xlpm.c+_xlpm.b)</definedName>
    <definedName name="Net_salary">_xlfn.LAMBDA(_xlpm.sal,_xlpm.bon,_xlpm.sal+(_xlpm.sal*_xlpm.bon))</definedName>
    <definedName name="_xlnm.Print_Area" localSheetId="3">LAMBDA!$A$1:$N$32</definedName>
    <definedName name="_xlnm.Print_Area" localSheetId="2">LET!$A$1:$N$32</definedName>
    <definedName name="Profit">_xlfn.LAMBDA(_xlpm.s,_xlpm.c,_xlpm.s-_xlpm.c)</definedName>
    <definedName name="Profit_Margin">_xlfn.LAMBDA(_xlpm.s,_xlpm.c,(_xlpm.s-_xlpm.c)/_xlpm.s)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4" l="1" a="1"/>
  <c r="N3" i="4" s="1"/>
  <c r="N4" i="4" a="1"/>
  <c r="N4" i="4"/>
  <c r="N5" i="4" a="1"/>
  <c r="N5" i="4"/>
  <c r="N6" i="4" a="1"/>
  <c r="N6" i="4" s="1"/>
  <c r="N7" i="4" a="1"/>
  <c r="N7" i="4" s="1"/>
  <c r="N8" i="4" a="1"/>
  <c r="N8" i="4" s="1"/>
  <c r="N9" i="4" a="1"/>
  <c r="N9" i="4" s="1"/>
  <c r="N10" i="4" a="1"/>
  <c r="N10" i="4" s="1"/>
  <c r="N11" i="4" a="1"/>
  <c r="N11" i="4" s="1"/>
  <c r="N12" i="4" a="1"/>
  <c r="N12" i="4" s="1"/>
  <c r="N13" i="4" a="1"/>
  <c r="N13" i="4"/>
  <c r="N14" i="4" a="1"/>
  <c r="N14" i="4" s="1"/>
  <c r="N15" i="4" a="1"/>
  <c r="N15" i="4"/>
  <c r="N16" i="4" a="1"/>
  <c r="N16" i="4" s="1"/>
  <c r="N2" i="4" a="1"/>
  <c r="N2" i="4" s="1"/>
  <c r="M3" i="4" a="1"/>
  <c r="M3" i="4"/>
  <c r="M4" i="4" a="1"/>
  <c r="M4" i="4" s="1"/>
  <c r="M5" i="4" a="1"/>
  <c r="M5" i="4" s="1"/>
  <c r="M6" i="4" a="1"/>
  <c r="M6" i="4"/>
  <c r="M7" i="4" a="1"/>
  <c r="M7" i="4"/>
  <c r="M8" i="4" a="1"/>
  <c r="M8" i="4"/>
  <c r="M9" i="4" a="1"/>
  <c r="M9" i="4"/>
  <c r="M10" i="4" a="1"/>
  <c r="M10" i="4"/>
  <c r="M11" i="4" a="1"/>
  <c r="M11" i="4"/>
  <c r="M12" i="4" a="1"/>
  <c r="M12" i="4" s="1"/>
  <c r="M13" i="4" a="1"/>
  <c r="M13" i="4"/>
  <c r="M14" i="4" a="1"/>
  <c r="M14" i="4"/>
  <c r="M15" i="4" a="1"/>
  <c r="M15" i="4"/>
  <c r="M16" i="4" a="1"/>
  <c r="M16" i="4"/>
  <c r="M2" i="4" a="1"/>
  <c r="M2" i="4" s="1"/>
  <c r="L3" i="4" a="1"/>
  <c r="L3" i="4" s="1"/>
  <c r="L4" i="4" a="1"/>
  <c r="L4" i="4"/>
  <c r="L5" i="4" a="1"/>
  <c r="L5" i="4"/>
  <c r="L6" i="4" a="1"/>
  <c r="L6" i="4"/>
  <c r="L7" i="4" a="1"/>
  <c r="L7" i="4"/>
  <c r="L8" i="4" a="1"/>
  <c r="L8" i="4"/>
  <c r="L9" i="4" a="1"/>
  <c r="L9" i="4"/>
  <c r="L10" i="4" a="1"/>
  <c r="L10" i="4" s="1"/>
  <c r="L11" i="4" a="1"/>
  <c r="L11" i="4" s="1"/>
  <c r="L12" i="4" a="1"/>
  <c r="L12" i="4"/>
  <c r="L13" i="4" a="1"/>
  <c r="L13" i="4"/>
  <c r="L14" i="4" a="1"/>
  <c r="L14" i="4"/>
  <c r="L15" i="4" a="1"/>
  <c r="L15" i="4"/>
  <c r="L16" i="4" a="1"/>
  <c r="L16" i="4"/>
  <c r="L2" i="4" a="1"/>
  <c r="L2" i="4" s="1"/>
  <c r="K3" i="4" a="1"/>
  <c r="K3" i="4" s="1"/>
  <c r="K4" i="4" a="1"/>
  <c r="K4" i="4" s="1"/>
  <c r="K5" i="4" a="1"/>
  <c r="K5" i="4"/>
  <c r="K6" i="4" a="1"/>
  <c r="K6" i="4"/>
  <c r="K7" i="4" a="1"/>
  <c r="K7" i="4"/>
  <c r="K8" i="4" a="1"/>
  <c r="K8" i="4"/>
  <c r="K9" i="4" a="1"/>
  <c r="K9" i="4"/>
  <c r="K10" i="4" a="1"/>
  <c r="K10" i="4"/>
  <c r="K11" i="4" a="1"/>
  <c r="K11" i="4" s="1"/>
  <c r="K12" i="4" a="1"/>
  <c r="K12" i="4"/>
  <c r="K13" i="4" a="1"/>
  <c r="K13" i="4"/>
  <c r="K14" i="4" a="1"/>
  <c r="K14" i="4"/>
  <c r="K15" i="4" a="1"/>
  <c r="K15" i="4" s="1"/>
  <c r="K16" i="4" a="1"/>
  <c r="K16" i="4"/>
  <c r="K2" i="4" a="1"/>
  <c r="K2" i="4"/>
  <c r="J3" i="4" a="1"/>
  <c r="J3" i="4" s="1"/>
  <c r="J4" i="4" a="1"/>
  <c r="J4" i="4" s="1"/>
  <c r="J5" i="4" a="1"/>
  <c r="J5" i="4"/>
  <c r="J6" i="4" a="1"/>
  <c r="J6" i="4"/>
  <c r="J7" i="4" a="1"/>
  <c r="J7" i="4"/>
  <c r="J8" i="4" a="1"/>
  <c r="J8" i="4"/>
  <c r="J9" i="4" a="1"/>
  <c r="J9" i="4"/>
  <c r="J10" i="4" a="1"/>
  <c r="J10" i="4"/>
  <c r="J11" i="4" a="1"/>
  <c r="J11" i="4"/>
  <c r="J12" i="4" a="1"/>
  <c r="J12" i="4"/>
  <c r="J13" i="4" a="1"/>
  <c r="J13" i="4"/>
  <c r="J14" i="4" a="1"/>
  <c r="J14" i="4"/>
  <c r="J15" i="4" a="1"/>
  <c r="J15" i="4"/>
  <c r="J16" i="4" a="1"/>
  <c r="J16" i="4"/>
  <c r="J2" i="4" a="1"/>
  <c r="J2" i="4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1" a="1"/>
  <c r="H3" i="1"/>
  <c r="H4" i="1" a="1"/>
  <c r="H4" i="1"/>
  <c r="H5" i="1" a="1"/>
  <c r="H5" i="1" s="1"/>
  <c r="H6" i="1" a="1"/>
  <c r="H6" i="1"/>
  <c r="H2" i="1" a="1"/>
  <c r="H2" i="1"/>
  <c r="G2" i="1"/>
  <c r="G3" i="1"/>
  <c r="G4" i="1"/>
  <c r="G5" i="1"/>
  <c r="G6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<sst xmlns="http://schemas.openxmlformats.org/spreadsheetml/2006/main" count="245" uniqueCount="78">
  <si>
    <t>EmpID</t>
  </si>
  <si>
    <t>Name</t>
  </si>
  <si>
    <t>Department</t>
  </si>
  <si>
    <t>Salary</t>
  </si>
  <si>
    <t>Bonus%</t>
  </si>
  <si>
    <t>Aditi</t>
  </si>
  <si>
    <t>HR</t>
  </si>
  <si>
    <t>Raj</t>
  </si>
  <si>
    <t>IT</t>
  </si>
  <si>
    <t>Meena</t>
  </si>
  <si>
    <t>Finance</t>
  </si>
  <si>
    <t>Karan</t>
  </si>
  <si>
    <t>Sonia</t>
  </si>
  <si>
    <t>Net Salary/Basic</t>
  </si>
  <si>
    <t>Net Salary/Let</t>
  </si>
  <si>
    <t>Net Salary/Lambda</t>
  </si>
  <si>
    <t>Employee ID</t>
  </si>
  <si>
    <t>Employee Name</t>
  </si>
  <si>
    <t>City</t>
  </si>
  <si>
    <t>Sales</t>
  </si>
  <si>
    <t>Target</t>
  </si>
  <si>
    <t>Cost</t>
  </si>
  <si>
    <t>Bonus</t>
  </si>
  <si>
    <t>Working Days</t>
  </si>
  <si>
    <t>E101</t>
  </si>
  <si>
    <t>Amit</t>
  </si>
  <si>
    <t>Delhi</t>
  </si>
  <si>
    <t>E102</t>
  </si>
  <si>
    <t>Priya</t>
  </si>
  <si>
    <t>Mumbai</t>
  </si>
  <si>
    <t>E103</t>
  </si>
  <si>
    <t>Rahul</t>
  </si>
  <si>
    <t>Kolkata</t>
  </si>
  <si>
    <t>E104</t>
  </si>
  <si>
    <t>Neha</t>
  </si>
  <si>
    <t>Pune</t>
  </si>
  <si>
    <t>E105</t>
  </si>
  <si>
    <t>Arjun</t>
  </si>
  <si>
    <t>E106</t>
  </si>
  <si>
    <t>Sneha</t>
  </si>
  <si>
    <t>Bangalore</t>
  </si>
  <si>
    <t>E107</t>
  </si>
  <si>
    <t>Vikram</t>
  </si>
  <si>
    <t>Chennai</t>
  </si>
  <si>
    <t>E108</t>
  </si>
  <si>
    <t>Pooja</t>
  </si>
  <si>
    <t>E109</t>
  </si>
  <si>
    <t>E110</t>
  </si>
  <si>
    <t>Riya</t>
  </si>
  <si>
    <t>E111</t>
  </si>
  <si>
    <t>Mohit</t>
  </si>
  <si>
    <t>E112</t>
  </si>
  <si>
    <t>Anjali</t>
  </si>
  <si>
    <t>E113</t>
  </si>
  <si>
    <t>Deepak</t>
  </si>
  <si>
    <t>E114</t>
  </si>
  <si>
    <t>Nisha</t>
  </si>
  <si>
    <t>E115</t>
  </si>
  <si>
    <t>Ravi</t>
  </si>
  <si>
    <t>Problem 1
Calculate the Profit for each employee using LET.
Profit = Sales − Cost</t>
  </si>
  <si>
    <t>Problem 2
Using LET, calculate the Profit Margin (%).
Profit Margin = (Sales − Cost) / Sales</t>
  </si>
  <si>
    <t>Problem 3
Using LET, calculate the Achievement Percentage.
Achievement % = Sales / Target</t>
  </si>
  <si>
    <t>Problem 4
Using LET, calculate the Net Earnings.
Net Earnings = Sales − Cost + Bonus</t>
  </si>
  <si>
    <t>Problem 5
Using LET, calculate the Average Sales Per Working Day.
Sales / Working Days</t>
  </si>
  <si>
    <t>Problem 1 :- Create a custom function called PROFIT
It should return: Sales − Cost
Use it for every employee.</t>
  </si>
  <si>
    <t>Problem 2 :- Create a custom function called PROFIT_MARGIN
It should return: (Sales − Cost) / Sales</t>
  </si>
  <si>
    <t>Problem 3 :- Create a custom function called ACHIEVEMENT
It should return: Sales / Target × 100</t>
  </si>
  <si>
    <t>Problem 4 :- Create a custom function called NET_EARNING
It should return: Sales − Cost + Bonus</t>
  </si>
  <si>
    <t>Problem 5 :- Create a custom function called BONUS_PERCENT
It should return: Bonus / Sales × 100</t>
  </si>
  <si>
    <t>Profit</t>
  </si>
  <si>
    <t>Profit Mergin</t>
  </si>
  <si>
    <t>Achievement(%)</t>
  </si>
  <si>
    <t>Net Earning</t>
  </si>
  <si>
    <t>Average sales Per Working Day</t>
  </si>
  <si>
    <t>Profit_Margin</t>
  </si>
  <si>
    <t>Achievement</t>
  </si>
  <si>
    <t>Net_Earning</t>
  </si>
  <si>
    <t>Bonus_percent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</si>
</sst>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b/>
      <sz val="11"/>
      <color rgb="FF9C0006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0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9" fontId="6" fillId="0" borderId="1" xfId="0" applyNumberFormat="1" applyFont="1" applyBorder="1" applyAlignment="1">
      <alignment horizontal="right" vertical="center"/>
    </xf>
    <xf numFmtId="0" fontId="6" fillId="0" borderId="1" xfId="0" applyFont="1" applyBorder="1"/>
    <xf numFmtId="0" fontId="6" fillId="0" borderId="6" xfId="0" applyFont="1" applyBorder="1"/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vertical="center"/>
    </xf>
    <xf numFmtId="3" fontId="6" fillId="0" borderId="8" xfId="0" applyNumberFormat="1" applyFont="1" applyBorder="1" applyAlignment="1">
      <alignment horizontal="right" vertical="center"/>
    </xf>
    <xf numFmtId="9" fontId="6" fillId="0" borderId="8" xfId="0" applyNumberFormat="1" applyFont="1" applyBorder="1" applyAlignment="1">
      <alignment horizontal="right" vertical="center"/>
    </xf>
    <xf numFmtId="0" fontId="6" fillId="0" borderId="8" xfId="0" applyFont="1" applyBorder="1"/>
    <xf numFmtId="0" fontId="6" fillId="0" borderId="9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7" fillId="3" borderId="1" xfId="2" applyFont="1" applyBorder="1" applyAlignment="1">
      <alignment horizontal="left" vertical="center" wrapText="1"/>
    </xf>
    <xf numFmtId="0" fontId="7" fillId="3" borderId="1" xfId="2" applyFont="1" applyBorder="1" applyAlignment="1">
      <alignment horizontal="left" vertical="center"/>
    </xf>
    <xf numFmtId="0" fontId="7" fillId="3" borderId="1" xfId="2" applyFont="1" applyBorder="1" applyAlignment="1">
      <alignment horizontal="left" wrapText="1"/>
    </xf>
    <xf numFmtId="0" fontId="7" fillId="3" borderId="1" xfId="2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2" borderId="1" xfId="1" applyBorder="1"/>
    <xf numFmtId="2" fontId="1" fillId="2" borderId="1" xfId="1" applyNumberFormat="1" applyBorder="1"/>
    <xf numFmtId="168" fontId="1" fillId="2" borderId="1" xfId="1" applyNumberFormat="1" applyBorder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0" fontId="0" fillId="0" borderId="13" xfId="0" applyBorder="1" applyAlignment="1">
      <alignment vertical="center"/>
    </xf>
    <xf numFmtId="168" fontId="1" fillId="2" borderId="14" xfId="1" applyNumberFormat="1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right" vertical="center"/>
    </xf>
    <xf numFmtId="0" fontId="1" fillId="2" borderId="16" xfId="1" applyBorder="1"/>
    <xf numFmtId="2" fontId="1" fillId="2" borderId="16" xfId="1" applyNumberFormat="1" applyBorder="1"/>
    <xf numFmtId="168" fontId="1" fillId="2" borderId="17" xfId="1" applyNumberFormat="1" applyBorder="1"/>
    <xf numFmtId="0" fontId="8" fillId="2" borderId="11" xfId="1" applyFont="1" applyBorder="1" applyAlignment="1">
      <alignment horizontal="center" vertical="center"/>
    </xf>
    <xf numFmtId="0" fontId="8" fillId="2" borderId="11" xfId="1" applyFont="1" applyBorder="1" applyAlignment="1">
      <alignment horizontal="right" vertical="center"/>
    </xf>
    <xf numFmtId="0" fontId="8" fillId="2" borderId="12" xfId="1" applyFont="1" applyBorder="1" applyAlignment="1">
      <alignment horizontal="right" vertical="center"/>
    </xf>
    <xf numFmtId="0" fontId="3" fillId="0" borderId="0" xfId="0" applyFont="1"/>
    <xf numFmtId="2" fontId="1" fillId="2" borderId="14" xfId="1" applyNumberFormat="1" applyBorder="1"/>
    <xf numFmtId="168" fontId="1" fillId="2" borderId="16" xfId="1" applyNumberFormat="1" applyBorder="1"/>
    <xf numFmtId="2" fontId="1" fillId="2" borderId="17" xfId="1" applyNumberFormat="1" applyBorder="1"/>
  </cellXfs>
  <cellStyles count="3">
    <cellStyle name="Bad" xfId="2" builtinId="27"/>
    <cellStyle name="Good" xfId="1" builtinId="26"/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3" formatCode="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33787-4EE4-42DF-8E64-BBAF84979B03}" name="Table1" displayName="Table1" ref="A1:H6" totalsRowShown="0" headerRowDxfId="0" dataDxfId="12" headerRowBorderDxfId="10" tableBorderDxfId="11" totalsRowBorderDxfId="9">
  <autoFilter ref="A1:H6" xr:uid="{DB133787-4EE4-42DF-8E64-BBAF84979B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8564CA3-5197-48E7-82EC-0716D7006796}" name="EmpID" dataDxfId="8"/>
    <tableColumn id="2" xr3:uid="{6C9E1D04-D9AB-40AA-A81B-B4E80EEE5AC1}" name="Name" dataDxfId="7"/>
    <tableColumn id="3" xr3:uid="{C24906B7-DFE4-4260-990A-8ADCAB1FD039}" name="Department" dataDxfId="6"/>
    <tableColumn id="4" xr3:uid="{A0BFCADB-94D8-4113-95A9-8288D6B1ACDE}" name="Salary" dataDxfId="5"/>
    <tableColumn id="5" xr3:uid="{D101EC98-9E96-462D-8E44-F45FD1FD1DCA}" name="Bonus%" dataDxfId="4"/>
    <tableColumn id="6" xr3:uid="{108E2525-9014-46AF-8DB7-A5113FA0FCD6}" name="Net Salary/Basic" dataDxfId="3">
      <calculatedColumnFormula>D2*E2+D2</calculatedColumnFormula>
    </tableColumn>
    <tableColumn id="7" xr3:uid="{F9708514-B6EF-49CD-9911-DDB85C92943B}" name="Net Salary/Let" dataDxfId="2">
      <calculatedColumnFormula>_xlfn.LET(_xlpm.a,D2,_xlpm.b,D2*E2,_xlpm.a+_xlpm.b)</calculatedColumnFormula>
    </tableColumn>
    <tableColumn id="8" xr3:uid="{D14D617A-CAA0-4887-9BF0-7FF824652883}" name="Net Salary/Lambda" dataDxfId="1">
      <calculatedColumnFormula array="1">Net_salary(D2,E2)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AB8D-9A2A-46FA-B079-A85C4446A7F8}">
  <dimension ref="A1:H6"/>
  <sheetViews>
    <sheetView zoomScale="175" zoomScaleNormal="175" workbookViewId="0">
      <selection activeCell="F8" sqref="F8"/>
    </sheetView>
  </sheetViews>
  <sheetFormatPr defaultRowHeight="14.4" x14ac:dyDescent="0.3"/>
  <cols>
    <col min="1" max="1" width="8.109375" customWidth="1"/>
    <col min="2" max="2" width="9.33203125" bestFit="1" customWidth="1"/>
    <col min="3" max="3" width="13.109375" customWidth="1"/>
    <col min="4" max="4" width="9.77734375" bestFit="1" customWidth="1"/>
    <col min="5" max="5" width="9.5546875" customWidth="1"/>
    <col min="6" max="6" width="17.5546875" customWidth="1"/>
    <col min="7" max="7" width="15.109375" customWidth="1"/>
    <col min="8" max="8" width="19.88671875" customWidth="1"/>
  </cols>
  <sheetData>
    <row r="1" spans="1:8" s="1" customFormat="1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13</v>
      </c>
      <c r="G1" s="5" t="s">
        <v>14</v>
      </c>
      <c r="H1" s="6" t="s">
        <v>15</v>
      </c>
    </row>
    <row r="2" spans="1:8" ht="15.6" x14ac:dyDescent="0.3">
      <c r="A2" s="7">
        <v>101</v>
      </c>
      <c r="B2" s="8" t="s">
        <v>5</v>
      </c>
      <c r="C2" s="8" t="s">
        <v>6</v>
      </c>
      <c r="D2" s="9">
        <v>40000</v>
      </c>
      <c r="E2" s="10">
        <v>0.1</v>
      </c>
      <c r="F2" s="11">
        <f>D2*E2+D2</f>
        <v>44000</v>
      </c>
      <c r="G2" s="11">
        <f>_xlfn.LET(_xlpm.a,D2,_xlpm.b,D2*E2,_xlpm.a+_xlpm.b)</f>
        <v>44000</v>
      </c>
      <c r="H2" s="12" cm="1">
        <f t="array" ref="H2">Net_salary(D2,E2)</f>
        <v>44000</v>
      </c>
    </row>
    <row r="3" spans="1:8" ht="15.6" x14ac:dyDescent="0.3">
      <c r="A3" s="7">
        <v>102</v>
      </c>
      <c r="B3" s="8" t="s">
        <v>7</v>
      </c>
      <c r="C3" s="8" t="s">
        <v>8</v>
      </c>
      <c r="D3" s="9">
        <v>65000</v>
      </c>
      <c r="E3" s="10">
        <v>0.12</v>
      </c>
      <c r="F3" s="11">
        <f t="shared" ref="F3:F6" si="0">D3*E3+D3</f>
        <v>72800</v>
      </c>
      <c r="G3" s="11">
        <f t="shared" ref="G3:G6" si="1">_xlfn.LET(_xlpm.a,D3,_xlpm.b,D3*E3,_xlpm.a+_xlpm.b)</f>
        <v>72800</v>
      </c>
      <c r="H3" s="12" cm="1">
        <f t="array" ref="H3">Net_salary(D3,E3)</f>
        <v>72800</v>
      </c>
    </row>
    <row r="4" spans="1:8" ht="15.6" x14ac:dyDescent="0.3">
      <c r="A4" s="7">
        <v>103</v>
      </c>
      <c r="B4" s="8" t="s">
        <v>9</v>
      </c>
      <c r="C4" s="8" t="s">
        <v>10</v>
      </c>
      <c r="D4" s="9">
        <v>55000</v>
      </c>
      <c r="E4" s="10">
        <v>0.08</v>
      </c>
      <c r="F4" s="11">
        <f t="shared" si="0"/>
        <v>59400</v>
      </c>
      <c r="G4" s="11">
        <f t="shared" si="1"/>
        <v>59400</v>
      </c>
      <c r="H4" s="12" cm="1">
        <f t="array" ref="H4">Net_salary(D4,E4)</f>
        <v>59400</v>
      </c>
    </row>
    <row r="5" spans="1:8" ht="15.6" x14ac:dyDescent="0.3">
      <c r="A5" s="7">
        <v>104</v>
      </c>
      <c r="B5" s="8" t="s">
        <v>11</v>
      </c>
      <c r="C5" s="8" t="s">
        <v>8</v>
      </c>
      <c r="D5" s="9">
        <v>80000</v>
      </c>
      <c r="E5" s="10">
        <v>0.15</v>
      </c>
      <c r="F5" s="11">
        <f t="shared" si="0"/>
        <v>92000</v>
      </c>
      <c r="G5" s="11">
        <f t="shared" si="1"/>
        <v>92000</v>
      </c>
      <c r="H5" s="12" cm="1">
        <f t="array" ref="H5">Net_salary(D5,E5)</f>
        <v>92000</v>
      </c>
    </row>
    <row r="6" spans="1:8" ht="15.6" x14ac:dyDescent="0.3">
      <c r="A6" s="13">
        <v>105</v>
      </c>
      <c r="B6" s="14" t="s">
        <v>12</v>
      </c>
      <c r="C6" s="14" t="s">
        <v>6</v>
      </c>
      <c r="D6" s="15">
        <v>50000</v>
      </c>
      <c r="E6" s="16">
        <v>0.1</v>
      </c>
      <c r="F6" s="17">
        <f t="shared" si="0"/>
        <v>55000</v>
      </c>
      <c r="G6" s="17">
        <f t="shared" si="1"/>
        <v>55000</v>
      </c>
      <c r="H6" s="18" cm="1">
        <f t="array" ref="H6">Net_salary(D6,E6)</f>
        <v>55000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110C-CD3F-4A83-9E0B-8AF148ED1C78}">
  <dimension ref="A1:I16"/>
  <sheetViews>
    <sheetView workbookViewId="0">
      <selection activeCell="C10" sqref="A1:I16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5546875" bestFit="1" customWidth="1"/>
    <col min="4" max="4" width="9.6640625" bestFit="1" customWidth="1"/>
    <col min="5" max="5" width="6" bestFit="1" customWidth="1"/>
    <col min="6" max="6" width="6.33203125" bestFit="1" customWidth="1"/>
    <col min="7" max="7" width="6" bestFit="1" customWidth="1"/>
    <col min="8" max="8" width="6.33203125" bestFit="1" customWidth="1"/>
    <col min="9" max="9" width="13" bestFit="1" customWidth="1"/>
  </cols>
  <sheetData>
    <row r="1" spans="1:9" x14ac:dyDescent="0.3">
      <c r="A1" s="19" t="s">
        <v>16</v>
      </c>
      <c r="B1" s="19" t="s">
        <v>17</v>
      </c>
      <c r="C1" s="19" t="s">
        <v>2</v>
      </c>
      <c r="D1" s="19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</row>
    <row r="2" spans="1:9" x14ac:dyDescent="0.3">
      <c r="A2" s="21" t="s">
        <v>24</v>
      </c>
      <c r="B2" s="21" t="s">
        <v>25</v>
      </c>
      <c r="C2" s="21" t="s">
        <v>19</v>
      </c>
      <c r="D2" s="21" t="s">
        <v>26</v>
      </c>
      <c r="E2" s="22">
        <v>55000</v>
      </c>
      <c r="F2" s="22">
        <v>50000</v>
      </c>
      <c r="G2" s="22">
        <v>35000</v>
      </c>
      <c r="H2" s="22">
        <v>5000</v>
      </c>
      <c r="I2" s="22">
        <v>22</v>
      </c>
    </row>
    <row r="3" spans="1:9" x14ac:dyDescent="0.3">
      <c r="A3" s="21" t="s">
        <v>27</v>
      </c>
      <c r="B3" s="21" t="s">
        <v>28</v>
      </c>
      <c r="C3" s="21" t="s">
        <v>6</v>
      </c>
      <c r="D3" s="21" t="s">
        <v>29</v>
      </c>
      <c r="E3" s="22">
        <v>42000</v>
      </c>
      <c r="F3" s="22">
        <v>45000</v>
      </c>
      <c r="G3" s="22">
        <v>30000</v>
      </c>
      <c r="H3" s="22">
        <v>4000</v>
      </c>
      <c r="I3" s="22">
        <v>20</v>
      </c>
    </row>
    <row r="4" spans="1:9" x14ac:dyDescent="0.3">
      <c r="A4" s="21" t="s">
        <v>30</v>
      </c>
      <c r="B4" s="21" t="s">
        <v>31</v>
      </c>
      <c r="C4" s="21" t="s">
        <v>19</v>
      </c>
      <c r="D4" s="21" t="s">
        <v>32</v>
      </c>
      <c r="E4" s="22">
        <v>67000</v>
      </c>
      <c r="F4" s="22">
        <v>60000</v>
      </c>
      <c r="G4" s="22">
        <v>42000</v>
      </c>
      <c r="H4" s="22">
        <v>6000</v>
      </c>
      <c r="I4" s="22">
        <v>24</v>
      </c>
    </row>
    <row r="5" spans="1:9" x14ac:dyDescent="0.3">
      <c r="A5" s="21" t="s">
        <v>33</v>
      </c>
      <c r="B5" s="21" t="s">
        <v>34</v>
      </c>
      <c r="C5" s="21" t="s">
        <v>10</v>
      </c>
      <c r="D5" s="21" t="s">
        <v>35</v>
      </c>
      <c r="E5" s="22">
        <v>38000</v>
      </c>
      <c r="F5" s="22">
        <v>40000</v>
      </c>
      <c r="G5" s="22">
        <v>26000</v>
      </c>
      <c r="H5" s="22">
        <v>3500</v>
      </c>
      <c r="I5" s="22">
        <v>21</v>
      </c>
    </row>
    <row r="6" spans="1:9" x14ac:dyDescent="0.3">
      <c r="A6" s="21" t="s">
        <v>36</v>
      </c>
      <c r="B6" s="21" t="s">
        <v>37</v>
      </c>
      <c r="C6" s="21" t="s">
        <v>19</v>
      </c>
      <c r="D6" s="21" t="s">
        <v>26</v>
      </c>
      <c r="E6" s="22">
        <v>75000</v>
      </c>
      <c r="F6" s="22">
        <v>70000</v>
      </c>
      <c r="G6" s="22">
        <v>47000</v>
      </c>
      <c r="H6" s="22">
        <v>7000</v>
      </c>
      <c r="I6" s="22">
        <v>25</v>
      </c>
    </row>
    <row r="7" spans="1:9" x14ac:dyDescent="0.3">
      <c r="A7" s="21" t="s">
        <v>38</v>
      </c>
      <c r="B7" s="21" t="s">
        <v>39</v>
      </c>
      <c r="C7" s="21" t="s">
        <v>8</v>
      </c>
      <c r="D7" s="21" t="s">
        <v>40</v>
      </c>
      <c r="E7" s="22">
        <v>49000</v>
      </c>
      <c r="F7" s="22">
        <v>55000</v>
      </c>
      <c r="G7" s="22">
        <v>32000</v>
      </c>
      <c r="H7" s="22">
        <v>4500</v>
      </c>
      <c r="I7" s="22">
        <v>22</v>
      </c>
    </row>
    <row r="8" spans="1:9" x14ac:dyDescent="0.3">
      <c r="A8" s="21" t="s">
        <v>41</v>
      </c>
      <c r="B8" s="21" t="s">
        <v>42</v>
      </c>
      <c r="C8" s="21" t="s">
        <v>6</v>
      </c>
      <c r="D8" s="21" t="s">
        <v>43</v>
      </c>
      <c r="E8" s="22">
        <v>63000</v>
      </c>
      <c r="F8" s="22">
        <v>60000</v>
      </c>
      <c r="G8" s="22">
        <v>39000</v>
      </c>
      <c r="H8" s="22">
        <v>5000</v>
      </c>
      <c r="I8" s="22">
        <v>23</v>
      </c>
    </row>
    <row r="9" spans="1:9" x14ac:dyDescent="0.3">
      <c r="A9" s="21" t="s">
        <v>44</v>
      </c>
      <c r="B9" s="21" t="s">
        <v>45</v>
      </c>
      <c r="C9" s="21" t="s">
        <v>10</v>
      </c>
      <c r="D9" s="21" t="s">
        <v>32</v>
      </c>
      <c r="E9" s="22">
        <v>52000</v>
      </c>
      <c r="F9" s="22">
        <v>50000</v>
      </c>
      <c r="G9" s="22">
        <v>34000</v>
      </c>
      <c r="H9" s="22">
        <v>4200</v>
      </c>
      <c r="I9" s="22">
        <v>22</v>
      </c>
    </row>
    <row r="10" spans="1:9" x14ac:dyDescent="0.3">
      <c r="A10" s="21" t="s">
        <v>46</v>
      </c>
      <c r="B10" s="21" t="s">
        <v>11</v>
      </c>
      <c r="C10" s="21" t="s">
        <v>19</v>
      </c>
      <c r="D10" s="21" t="s">
        <v>29</v>
      </c>
      <c r="E10" s="22">
        <v>81000</v>
      </c>
      <c r="F10" s="22">
        <v>75000</v>
      </c>
      <c r="G10" s="22">
        <v>50000</v>
      </c>
      <c r="H10" s="22">
        <v>8000</v>
      </c>
      <c r="I10" s="22">
        <v>26</v>
      </c>
    </row>
    <row r="11" spans="1:9" x14ac:dyDescent="0.3">
      <c r="A11" s="21" t="s">
        <v>47</v>
      </c>
      <c r="B11" s="21" t="s">
        <v>48</v>
      </c>
      <c r="C11" s="21" t="s">
        <v>8</v>
      </c>
      <c r="D11" s="21" t="s">
        <v>35</v>
      </c>
      <c r="E11" s="22">
        <v>44000</v>
      </c>
      <c r="F11" s="22">
        <v>50000</v>
      </c>
      <c r="G11" s="22">
        <v>31000</v>
      </c>
      <c r="H11" s="22">
        <v>4000</v>
      </c>
      <c r="I11" s="22">
        <v>20</v>
      </c>
    </row>
    <row r="12" spans="1:9" x14ac:dyDescent="0.3">
      <c r="A12" s="21" t="s">
        <v>49</v>
      </c>
      <c r="B12" s="21" t="s">
        <v>50</v>
      </c>
      <c r="C12" s="21" t="s">
        <v>19</v>
      </c>
      <c r="D12" s="21" t="s">
        <v>26</v>
      </c>
      <c r="E12" s="22">
        <v>58000</v>
      </c>
      <c r="F12" s="22">
        <v>55000</v>
      </c>
      <c r="G12" s="22">
        <v>37000</v>
      </c>
      <c r="H12" s="22">
        <v>5200</v>
      </c>
      <c r="I12" s="22">
        <v>22</v>
      </c>
    </row>
    <row r="13" spans="1:9" x14ac:dyDescent="0.3">
      <c r="A13" s="21" t="s">
        <v>51</v>
      </c>
      <c r="B13" s="21" t="s">
        <v>52</v>
      </c>
      <c r="C13" s="21" t="s">
        <v>10</v>
      </c>
      <c r="D13" s="21" t="s">
        <v>40</v>
      </c>
      <c r="E13" s="22">
        <v>39000</v>
      </c>
      <c r="F13" s="22">
        <v>45000</v>
      </c>
      <c r="G13" s="22">
        <v>28000</v>
      </c>
      <c r="H13" s="22">
        <v>3600</v>
      </c>
      <c r="I13" s="22">
        <v>21</v>
      </c>
    </row>
    <row r="14" spans="1:9" x14ac:dyDescent="0.3">
      <c r="A14" s="21" t="s">
        <v>53</v>
      </c>
      <c r="B14" s="21" t="s">
        <v>54</v>
      </c>
      <c r="C14" s="21" t="s">
        <v>19</v>
      </c>
      <c r="D14" s="21" t="s">
        <v>43</v>
      </c>
      <c r="E14" s="22">
        <v>70000</v>
      </c>
      <c r="F14" s="22">
        <v>65000</v>
      </c>
      <c r="G14" s="22">
        <v>44000</v>
      </c>
      <c r="H14" s="22">
        <v>6500</v>
      </c>
      <c r="I14" s="22">
        <v>24</v>
      </c>
    </row>
    <row r="15" spans="1:9" x14ac:dyDescent="0.3">
      <c r="A15" s="21" t="s">
        <v>55</v>
      </c>
      <c r="B15" s="21" t="s">
        <v>56</v>
      </c>
      <c r="C15" s="21" t="s">
        <v>6</v>
      </c>
      <c r="D15" s="21" t="s">
        <v>26</v>
      </c>
      <c r="E15" s="22">
        <v>46000</v>
      </c>
      <c r="F15" s="22">
        <v>50000</v>
      </c>
      <c r="G15" s="22">
        <v>31000</v>
      </c>
      <c r="H15" s="22">
        <v>3800</v>
      </c>
      <c r="I15" s="22">
        <v>21</v>
      </c>
    </row>
    <row r="16" spans="1:9" x14ac:dyDescent="0.3">
      <c r="A16" s="21" t="s">
        <v>57</v>
      </c>
      <c r="B16" s="21" t="s">
        <v>58</v>
      </c>
      <c r="C16" s="21" t="s">
        <v>8</v>
      </c>
      <c r="D16" s="21" t="s">
        <v>29</v>
      </c>
      <c r="E16" s="22">
        <v>61000</v>
      </c>
      <c r="F16" s="22">
        <v>60000</v>
      </c>
      <c r="G16" s="22">
        <v>38000</v>
      </c>
      <c r="H16" s="22">
        <v>5500</v>
      </c>
      <c r="I16" s="22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B1493-33B0-47AB-BC96-8EB01447A2F7}">
  <sheetPr>
    <pageSetUpPr fitToPage="1"/>
  </sheetPr>
  <dimension ref="A1:N32"/>
  <sheetViews>
    <sheetView workbookViewId="0">
      <selection sqref="A1:N32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5546875" bestFit="1" customWidth="1"/>
    <col min="4" max="4" width="9.6640625" bestFit="1" customWidth="1"/>
    <col min="5" max="5" width="6" bestFit="1" customWidth="1"/>
    <col min="6" max="6" width="6.33203125" bestFit="1" customWidth="1"/>
    <col min="7" max="7" width="6" bestFit="1" customWidth="1"/>
    <col min="8" max="8" width="6.33203125" bestFit="1" customWidth="1"/>
    <col min="9" max="9" width="13" bestFit="1" customWidth="1"/>
    <col min="10" max="10" width="6" bestFit="1" customWidth="1"/>
    <col min="11" max="11" width="12.21875" bestFit="1" customWidth="1"/>
    <col min="12" max="12" width="15.5546875" bestFit="1" customWidth="1"/>
    <col min="13" max="13" width="11.109375" bestFit="1" customWidth="1"/>
    <col min="14" max="14" width="28.21875" bestFit="1" customWidth="1"/>
  </cols>
  <sheetData>
    <row r="1" spans="1:14" s="46" customFormat="1" x14ac:dyDescent="0.3">
      <c r="A1" s="32" t="s">
        <v>16</v>
      </c>
      <c r="B1" s="33" t="s">
        <v>17</v>
      </c>
      <c r="C1" s="33" t="s">
        <v>2</v>
      </c>
      <c r="D1" s="33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43" t="s">
        <v>69</v>
      </c>
      <c r="K1" s="44" t="s">
        <v>70</v>
      </c>
      <c r="L1" s="44" t="s">
        <v>71</v>
      </c>
      <c r="M1" s="44" t="s">
        <v>72</v>
      </c>
      <c r="N1" s="45" t="s">
        <v>73</v>
      </c>
    </row>
    <row r="2" spans="1:14" x14ac:dyDescent="0.3">
      <c r="A2" s="35" t="s">
        <v>24</v>
      </c>
      <c r="B2" s="27" t="s">
        <v>25</v>
      </c>
      <c r="C2" s="27" t="s">
        <v>19</v>
      </c>
      <c r="D2" s="27" t="s">
        <v>26</v>
      </c>
      <c r="E2" s="28">
        <v>55000</v>
      </c>
      <c r="F2" s="28">
        <v>50000</v>
      </c>
      <c r="G2" s="28">
        <v>35000</v>
      </c>
      <c r="H2" s="28">
        <v>5000</v>
      </c>
      <c r="I2" s="28">
        <v>22</v>
      </c>
      <c r="J2" s="29">
        <f>_xlfn.LET(_xlpm.s,E2,_xlpm.c,G2,_xlpm.s-_xlpm.c)</f>
        <v>20000</v>
      </c>
      <c r="K2" s="30">
        <f>_xlfn.LET(_xlpm.s,E2,_xlpm.c,G2,_xlpm.t,F2,(_xlpm.s-_xlpm.c)/_xlpm.t)</f>
        <v>0.4</v>
      </c>
      <c r="L2" s="30">
        <f>_xlfn.LET(_xlpm.s,E2,_xlpm.t,F2,_xlpm.s/_xlpm.t)</f>
        <v>1.1000000000000001</v>
      </c>
      <c r="M2" s="29">
        <f>_xlfn.LET(_xlpm.s,E2,_xlpm.c,G2,_xlpm.b,H2,_xlpm.s-_xlpm.c+_xlpm.b)</f>
        <v>25000</v>
      </c>
      <c r="N2" s="36">
        <f>_xlfn.LET(_xlpm.s,E2,_xlpm.w,I2,_xlpm.s/_xlpm.w)</f>
        <v>2500</v>
      </c>
    </row>
    <row r="3" spans="1:14" x14ac:dyDescent="0.3">
      <c r="A3" s="35" t="s">
        <v>27</v>
      </c>
      <c r="B3" s="27" t="s">
        <v>28</v>
      </c>
      <c r="C3" s="27" t="s">
        <v>6</v>
      </c>
      <c r="D3" s="27" t="s">
        <v>29</v>
      </c>
      <c r="E3" s="28">
        <v>42000</v>
      </c>
      <c r="F3" s="28">
        <v>45000</v>
      </c>
      <c r="G3" s="28">
        <v>30000</v>
      </c>
      <c r="H3" s="28">
        <v>4000</v>
      </c>
      <c r="I3" s="28">
        <v>20</v>
      </c>
      <c r="J3" s="29">
        <f t="shared" ref="J3:J16" si="0">_xlfn.LET(_xlpm.s,E3,_xlpm.c,G3,_xlpm.s-_xlpm.c)</f>
        <v>12000</v>
      </c>
      <c r="K3" s="30">
        <f t="shared" ref="K3:K16" si="1">_xlfn.LET(_xlpm.s,E3,_xlpm.c,G3,_xlpm.t,F3,(_xlpm.s-_xlpm.c)/_xlpm.t)</f>
        <v>0.26666666666666666</v>
      </c>
      <c r="L3" s="30">
        <f t="shared" ref="L3:L16" si="2">_xlfn.LET(_xlpm.s,E3,_xlpm.t,F3,_xlpm.s/_xlpm.t)</f>
        <v>0.93333333333333335</v>
      </c>
      <c r="M3" s="29">
        <f t="shared" ref="M3:M16" si="3">_xlfn.LET(_xlpm.s,E3,_xlpm.c,G3,_xlpm.b,H3,_xlpm.s-_xlpm.c+_xlpm.b)</f>
        <v>16000</v>
      </c>
      <c r="N3" s="36">
        <f t="shared" ref="N3:N16" si="4">_xlfn.LET(_xlpm.s,E3,_xlpm.w,I3,_xlpm.s/_xlpm.w)</f>
        <v>2100</v>
      </c>
    </row>
    <row r="4" spans="1:14" x14ac:dyDescent="0.3">
      <c r="A4" s="35" t="s">
        <v>30</v>
      </c>
      <c r="B4" s="27" t="s">
        <v>31</v>
      </c>
      <c r="C4" s="27" t="s">
        <v>19</v>
      </c>
      <c r="D4" s="27" t="s">
        <v>32</v>
      </c>
      <c r="E4" s="28">
        <v>67000</v>
      </c>
      <c r="F4" s="28">
        <v>60000</v>
      </c>
      <c r="G4" s="28">
        <v>42000</v>
      </c>
      <c r="H4" s="28">
        <v>6000</v>
      </c>
      <c r="I4" s="28">
        <v>24</v>
      </c>
      <c r="J4" s="29">
        <f t="shared" si="0"/>
        <v>25000</v>
      </c>
      <c r="K4" s="30">
        <f t="shared" si="1"/>
        <v>0.41666666666666669</v>
      </c>
      <c r="L4" s="30">
        <f t="shared" si="2"/>
        <v>1.1166666666666667</v>
      </c>
      <c r="M4" s="29">
        <f t="shared" si="3"/>
        <v>31000</v>
      </c>
      <c r="N4" s="36">
        <f t="shared" si="4"/>
        <v>2791.6666666666665</v>
      </c>
    </row>
    <row r="5" spans="1:14" x14ac:dyDescent="0.3">
      <c r="A5" s="35" t="s">
        <v>33</v>
      </c>
      <c r="B5" s="27" t="s">
        <v>34</v>
      </c>
      <c r="C5" s="27" t="s">
        <v>10</v>
      </c>
      <c r="D5" s="27" t="s">
        <v>35</v>
      </c>
      <c r="E5" s="28">
        <v>38000</v>
      </c>
      <c r="F5" s="28">
        <v>40000</v>
      </c>
      <c r="G5" s="28">
        <v>26000</v>
      </c>
      <c r="H5" s="28">
        <v>3500</v>
      </c>
      <c r="I5" s="28">
        <v>21</v>
      </c>
      <c r="J5" s="29">
        <f t="shared" si="0"/>
        <v>12000</v>
      </c>
      <c r="K5" s="30">
        <f t="shared" si="1"/>
        <v>0.3</v>
      </c>
      <c r="L5" s="30">
        <f t="shared" si="2"/>
        <v>0.95</v>
      </c>
      <c r="M5" s="29">
        <f t="shared" si="3"/>
        <v>15500</v>
      </c>
      <c r="N5" s="36">
        <f t="shared" si="4"/>
        <v>1809.5238095238096</v>
      </c>
    </row>
    <row r="6" spans="1:14" x14ac:dyDescent="0.3">
      <c r="A6" s="35" t="s">
        <v>36</v>
      </c>
      <c r="B6" s="27" t="s">
        <v>37</v>
      </c>
      <c r="C6" s="27" t="s">
        <v>19</v>
      </c>
      <c r="D6" s="27" t="s">
        <v>26</v>
      </c>
      <c r="E6" s="28">
        <v>75000</v>
      </c>
      <c r="F6" s="28">
        <v>70000</v>
      </c>
      <c r="G6" s="28">
        <v>47000</v>
      </c>
      <c r="H6" s="28">
        <v>7000</v>
      </c>
      <c r="I6" s="28">
        <v>25</v>
      </c>
      <c r="J6" s="29">
        <f t="shared" si="0"/>
        <v>28000</v>
      </c>
      <c r="K6" s="30">
        <f t="shared" si="1"/>
        <v>0.4</v>
      </c>
      <c r="L6" s="30">
        <f t="shared" si="2"/>
        <v>1.0714285714285714</v>
      </c>
      <c r="M6" s="29">
        <f t="shared" si="3"/>
        <v>35000</v>
      </c>
      <c r="N6" s="36">
        <f t="shared" si="4"/>
        <v>3000</v>
      </c>
    </row>
    <row r="7" spans="1:14" x14ac:dyDescent="0.3">
      <c r="A7" s="35" t="s">
        <v>38</v>
      </c>
      <c r="B7" s="27" t="s">
        <v>39</v>
      </c>
      <c r="C7" s="27" t="s">
        <v>8</v>
      </c>
      <c r="D7" s="27" t="s">
        <v>40</v>
      </c>
      <c r="E7" s="28">
        <v>49000</v>
      </c>
      <c r="F7" s="28">
        <v>55000</v>
      </c>
      <c r="G7" s="28">
        <v>32000</v>
      </c>
      <c r="H7" s="28">
        <v>4500</v>
      </c>
      <c r="I7" s="28">
        <v>22</v>
      </c>
      <c r="J7" s="29">
        <f t="shared" si="0"/>
        <v>17000</v>
      </c>
      <c r="K7" s="30">
        <f t="shared" si="1"/>
        <v>0.30909090909090908</v>
      </c>
      <c r="L7" s="30">
        <f t="shared" si="2"/>
        <v>0.89090909090909087</v>
      </c>
      <c r="M7" s="29">
        <f t="shared" si="3"/>
        <v>21500</v>
      </c>
      <c r="N7" s="36">
        <f t="shared" si="4"/>
        <v>2227.2727272727275</v>
      </c>
    </row>
    <row r="8" spans="1:14" x14ac:dyDescent="0.3">
      <c r="A8" s="35" t="s">
        <v>41</v>
      </c>
      <c r="B8" s="27" t="s">
        <v>42</v>
      </c>
      <c r="C8" s="27" t="s">
        <v>6</v>
      </c>
      <c r="D8" s="27" t="s">
        <v>43</v>
      </c>
      <c r="E8" s="28">
        <v>63000</v>
      </c>
      <c r="F8" s="28">
        <v>60000</v>
      </c>
      <c r="G8" s="28">
        <v>39000</v>
      </c>
      <c r="H8" s="28">
        <v>5000</v>
      </c>
      <c r="I8" s="28">
        <v>23</v>
      </c>
      <c r="J8" s="29">
        <f t="shared" si="0"/>
        <v>24000</v>
      </c>
      <c r="K8" s="30">
        <f t="shared" si="1"/>
        <v>0.4</v>
      </c>
      <c r="L8" s="30">
        <f t="shared" si="2"/>
        <v>1.05</v>
      </c>
      <c r="M8" s="29">
        <f t="shared" si="3"/>
        <v>29000</v>
      </c>
      <c r="N8" s="36">
        <f t="shared" si="4"/>
        <v>2739.1304347826085</v>
      </c>
    </row>
    <row r="9" spans="1:14" x14ac:dyDescent="0.3">
      <c r="A9" s="35" t="s">
        <v>44</v>
      </c>
      <c r="B9" s="27" t="s">
        <v>45</v>
      </c>
      <c r="C9" s="27" t="s">
        <v>10</v>
      </c>
      <c r="D9" s="27" t="s">
        <v>32</v>
      </c>
      <c r="E9" s="28">
        <v>52000</v>
      </c>
      <c r="F9" s="28">
        <v>50000</v>
      </c>
      <c r="G9" s="28">
        <v>34000</v>
      </c>
      <c r="H9" s="28">
        <v>4200</v>
      </c>
      <c r="I9" s="28">
        <v>22</v>
      </c>
      <c r="J9" s="29">
        <f t="shared" si="0"/>
        <v>18000</v>
      </c>
      <c r="K9" s="30">
        <f t="shared" si="1"/>
        <v>0.36</v>
      </c>
      <c r="L9" s="30">
        <f t="shared" si="2"/>
        <v>1.04</v>
      </c>
      <c r="M9" s="29">
        <f t="shared" si="3"/>
        <v>22200</v>
      </c>
      <c r="N9" s="36">
        <f t="shared" si="4"/>
        <v>2363.6363636363635</v>
      </c>
    </row>
    <row r="10" spans="1:14" x14ac:dyDescent="0.3">
      <c r="A10" s="35" t="s">
        <v>46</v>
      </c>
      <c r="B10" s="27" t="s">
        <v>11</v>
      </c>
      <c r="C10" s="27" t="s">
        <v>19</v>
      </c>
      <c r="D10" s="27" t="s">
        <v>29</v>
      </c>
      <c r="E10" s="28">
        <v>81000</v>
      </c>
      <c r="F10" s="28">
        <v>75000</v>
      </c>
      <c r="G10" s="28">
        <v>50000</v>
      </c>
      <c r="H10" s="28">
        <v>8000</v>
      </c>
      <c r="I10" s="28">
        <v>26</v>
      </c>
      <c r="J10" s="29">
        <f t="shared" si="0"/>
        <v>31000</v>
      </c>
      <c r="K10" s="30">
        <f t="shared" si="1"/>
        <v>0.41333333333333333</v>
      </c>
      <c r="L10" s="30">
        <f t="shared" si="2"/>
        <v>1.08</v>
      </c>
      <c r="M10" s="29">
        <f t="shared" si="3"/>
        <v>39000</v>
      </c>
      <c r="N10" s="36">
        <f t="shared" si="4"/>
        <v>3115.3846153846152</v>
      </c>
    </row>
    <row r="11" spans="1:14" x14ac:dyDescent="0.3">
      <c r="A11" s="35" t="s">
        <v>47</v>
      </c>
      <c r="B11" s="27" t="s">
        <v>48</v>
      </c>
      <c r="C11" s="27" t="s">
        <v>8</v>
      </c>
      <c r="D11" s="27" t="s">
        <v>35</v>
      </c>
      <c r="E11" s="28">
        <v>44000</v>
      </c>
      <c r="F11" s="28">
        <v>50000</v>
      </c>
      <c r="G11" s="28">
        <v>31000</v>
      </c>
      <c r="H11" s="28">
        <v>4000</v>
      </c>
      <c r="I11" s="28">
        <v>20</v>
      </c>
      <c r="J11" s="29">
        <f t="shared" si="0"/>
        <v>13000</v>
      </c>
      <c r="K11" s="30">
        <f t="shared" si="1"/>
        <v>0.26</v>
      </c>
      <c r="L11" s="30">
        <f t="shared" si="2"/>
        <v>0.88</v>
      </c>
      <c r="M11" s="29">
        <f t="shared" si="3"/>
        <v>17000</v>
      </c>
      <c r="N11" s="36">
        <f t="shared" si="4"/>
        <v>2200</v>
      </c>
    </row>
    <row r="12" spans="1:14" x14ac:dyDescent="0.3">
      <c r="A12" s="35" t="s">
        <v>49</v>
      </c>
      <c r="B12" s="27" t="s">
        <v>50</v>
      </c>
      <c r="C12" s="27" t="s">
        <v>19</v>
      </c>
      <c r="D12" s="27" t="s">
        <v>26</v>
      </c>
      <c r="E12" s="28">
        <v>58000</v>
      </c>
      <c r="F12" s="28">
        <v>55000</v>
      </c>
      <c r="G12" s="28">
        <v>37000</v>
      </c>
      <c r="H12" s="28">
        <v>5200</v>
      </c>
      <c r="I12" s="28">
        <v>22</v>
      </c>
      <c r="J12" s="29">
        <f t="shared" si="0"/>
        <v>21000</v>
      </c>
      <c r="K12" s="30">
        <f t="shared" si="1"/>
        <v>0.38181818181818183</v>
      </c>
      <c r="L12" s="30">
        <f t="shared" si="2"/>
        <v>1.0545454545454545</v>
      </c>
      <c r="M12" s="29">
        <f t="shared" si="3"/>
        <v>26200</v>
      </c>
      <c r="N12" s="36">
        <f t="shared" si="4"/>
        <v>2636.3636363636365</v>
      </c>
    </row>
    <row r="13" spans="1:14" x14ac:dyDescent="0.3">
      <c r="A13" s="35" t="s">
        <v>51</v>
      </c>
      <c r="B13" s="27" t="s">
        <v>52</v>
      </c>
      <c r="C13" s="27" t="s">
        <v>10</v>
      </c>
      <c r="D13" s="27" t="s">
        <v>40</v>
      </c>
      <c r="E13" s="28">
        <v>39000</v>
      </c>
      <c r="F13" s="28">
        <v>45000</v>
      </c>
      <c r="G13" s="28">
        <v>28000</v>
      </c>
      <c r="H13" s="28">
        <v>3600</v>
      </c>
      <c r="I13" s="28">
        <v>21</v>
      </c>
      <c r="J13" s="29">
        <f t="shared" si="0"/>
        <v>11000</v>
      </c>
      <c r="K13" s="30">
        <f t="shared" si="1"/>
        <v>0.24444444444444444</v>
      </c>
      <c r="L13" s="30">
        <f t="shared" si="2"/>
        <v>0.8666666666666667</v>
      </c>
      <c r="M13" s="29">
        <f t="shared" si="3"/>
        <v>14600</v>
      </c>
      <c r="N13" s="36">
        <f t="shared" si="4"/>
        <v>1857.1428571428571</v>
      </c>
    </row>
    <row r="14" spans="1:14" x14ac:dyDescent="0.3">
      <c r="A14" s="35" t="s">
        <v>53</v>
      </c>
      <c r="B14" s="27" t="s">
        <v>54</v>
      </c>
      <c r="C14" s="27" t="s">
        <v>19</v>
      </c>
      <c r="D14" s="27" t="s">
        <v>43</v>
      </c>
      <c r="E14" s="28">
        <v>70000</v>
      </c>
      <c r="F14" s="28">
        <v>65000</v>
      </c>
      <c r="G14" s="28">
        <v>44000</v>
      </c>
      <c r="H14" s="28">
        <v>6500</v>
      </c>
      <c r="I14" s="28">
        <v>24</v>
      </c>
      <c r="J14" s="29">
        <f t="shared" si="0"/>
        <v>26000</v>
      </c>
      <c r="K14" s="30">
        <f t="shared" si="1"/>
        <v>0.4</v>
      </c>
      <c r="L14" s="30">
        <f t="shared" si="2"/>
        <v>1.0769230769230769</v>
      </c>
      <c r="M14" s="29">
        <f t="shared" si="3"/>
        <v>32500</v>
      </c>
      <c r="N14" s="36">
        <f t="shared" si="4"/>
        <v>2916.6666666666665</v>
      </c>
    </row>
    <row r="15" spans="1:14" x14ac:dyDescent="0.3">
      <c r="A15" s="35" t="s">
        <v>55</v>
      </c>
      <c r="B15" s="27" t="s">
        <v>56</v>
      </c>
      <c r="C15" s="27" t="s">
        <v>6</v>
      </c>
      <c r="D15" s="27" t="s">
        <v>26</v>
      </c>
      <c r="E15" s="28">
        <v>46000</v>
      </c>
      <c r="F15" s="28">
        <v>50000</v>
      </c>
      <c r="G15" s="28">
        <v>31000</v>
      </c>
      <c r="H15" s="28">
        <v>3800</v>
      </c>
      <c r="I15" s="28">
        <v>21</v>
      </c>
      <c r="J15" s="29">
        <f t="shared" si="0"/>
        <v>15000</v>
      </c>
      <c r="K15" s="30">
        <f t="shared" si="1"/>
        <v>0.3</v>
      </c>
      <c r="L15" s="30">
        <f t="shared" si="2"/>
        <v>0.92</v>
      </c>
      <c r="M15" s="29">
        <f t="shared" si="3"/>
        <v>18800</v>
      </c>
      <c r="N15" s="36">
        <f t="shared" si="4"/>
        <v>2190.4761904761904</v>
      </c>
    </row>
    <row r="16" spans="1:14" ht="15" thickBot="1" x14ac:dyDescent="0.35">
      <c r="A16" s="37" t="s">
        <v>57</v>
      </c>
      <c r="B16" s="38" t="s">
        <v>58</v>
      </c>
      <c r="C16" s="38" t="s">
        <v>8</v>
      </c>
      <c r="D16" s="38" t="s">
        <v>29</v>
      </c>
      <c r="E16" s="39">
        <v>61000</v>
      </c>
      <c r="F16" s="39">
        <v>60000</v>
      </c>
      <c r="G16" s="39">
        <v>38000</v>
      </c>
      <c r="H16" s="39">
        <v>5500</v>
      </c>
      <c r="I16" s="39">
        <v>23</v>
      </c>
      <c r="J16" s="40">
        <f t="shared" si="0"/>
        <v>23000</v>
      </c>
      <c r="K16" s="41">
        <f t="shared" si="1"/>
        <v>0.38333333333333336</v>
      </c>
      <c r="L16" s="41">
        <f t="shared" si="2"/>
        <v>1.0166666666666666</v>
      </c>
      <c r="M16" s="40">
        <f t="shared" si="3"/>
        <v>28500</v>
      </c>
      <c r="N16" s="42">
        <f t="shared" si="4"/>
        <v>2652.1739130434785</v>
      </c>
    </row>
    <row r="18" spans="1:9" x14ac:dyDescent="0.3">
      <c r="A18" s="23" t="s">
        <v>59</v>
      </c>
      <c r="B18" s="24"/>
      <c r="C18" s="24"/>
      <c r="D18" s="24"/>
      <c r="E18" s="24"/>
      <c r="F18" s="24"/>
      <c r="G18" s="24"/>
      <c r="H18" s="24"/>
      <c r="I18" s="24"/>
    </row>
    <row r="19" spans="1:9" x14ac:dyDescent="0.3">
      <c r="A19" s="24"/>
      <c r="B19" s="24"/>
      <c r="C19" s="24"/>
      <c r="D19" s="24"/>
      <c r="E19" s="24"/>
      <c r="F19" s="24"/>
      <c r="G19" s="24"/>
      <c r="H19" s="24"/>
      <c r="I19" s="24"/>
    </row>
    <row r="20" spans="1:9" x14ac:dyDescent="0.3">
      <c r="A20" s="24"/>
      <c r="B20" s="24"/>
      <c r="C20" s="24"/>
      <c r="D20" s="24"/>
      <c r="E20" s="24"/>
      <c r="F20" s="24"/>
      <c r="G20" s="24"/>
      <c r="H20" s="24"/>
      <c r="I20" s="24"/>
    </row>
    <row r="21" spans="1:9" x14ac:dyDescent="0.3">
      <c r="A21" s="23" t="s">
        <v>60</v>
      </c>
      <c r="B21" s="23"/>
      <c r="C21" s="23"/>
      <c r="D21" s="23"/>
      <c r="E21" s="23"/>
      <c r="F21" s="23"/>
      <c r="G21" s="23"/>
      <c r="H21" s="23"/>
      <c r="I21" s="23"/>
    </row>
    <row r="22" spans="1:9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3">
      <c r="A23" s="23"/>
      <c r="B23" s="23"/>
      <c r="C23" s="23"/>
      <c r="D23" s="23"/>
      <c r="E23" s="23"/>
      <c r="F23" s="23"/>
      <c r="G23" s="23"/>
      <c r="H23" s="23"/>
      <c r="I23" s="23"/>
    </row>
    <row r="24" spans="1:9" x14ac:dyDescent="0.3">
      <c r="A24" s="23" t="s">
        <v>61</v>
      </c>
      <c r="B24" s="24"/>
      <c r="C24" s="24"/>
      <c r="D24" s="24"/>
      <c r="E24" s="24"/>
      <c r="F24" s="24"/>
      <c r="G24" s="24"/>
      <c r="H24" s="24"/>
      <c r="I24" s="24"/>
    </row>
    <row r="25" spans="1:9" x14ac:dyDescent="0.3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3">
      <c r="A26" s="24"/>
      <c r="B26" s="24"/>
      <c r="C26" s="24"/>
      <c r="D26" s="24"/>
      <c r="E26" s="24"/>
      <c r="F26" s="24"/>
      <c r="G26" s="24"/>
      <c r="H26" s="24"/>
      <c r="I26" s="24"/>
    </row>
    <row r="27" spans="1:9" x14ac:dyDescent="0.3">
      <c r="A27" s="25" t="s">
        <v>62</v>
      </c>
      <c r="B27" s="26"/>
      <c r="C27" s="26"/>
      <c r="D27" s="26"/>
      <c r="E27" s="26"/>
      <c r="F27" s="26"/>
      <c r="G27" s="26"/>
      <c r="H27" s="26"/>
      <c r="I27" s="26"/>
    </row>
    <row r="28" spans="1:9" x14ac:dyDescent="0.3">
      <c r="A28" s="26"/>
      <c r="B28" s="26"/>
      <c r="C28" s="26"/>
      <c r="D28" s="26"/>
      <c r="E28" s="26"/>
      <c r="F28" s="26"/>
      <c r="G28" s="26"/>
      <c r="H28" s="26"/>
      <c r="I28" s="26"/>
    </row>
    <row r="29" spans="1:9" x14ac:dyDescent="0.3">
      <c r="A29" s="26"/>
      <c r="B29" s="26"/>
      <c r="C29" s="26"/>
      <c r="D29" s="26"/>
      <c r="E29" s="26"/>
      <c r="F29" s="26"/>
      <c r="G29" s="26"/>
      <c r="H29" s="26"/>
      <c r="I29" s="26"/>
    </row>
    <row r="30" spans="1:9" x14ac:dyDescent="0.3">
      <c r="A30" s="23" t="s">
        <v>63</v>
      </c>
      <c r="B30" s="24"/>
      <c r="C30" s="24"/>
      <c r="D30" s="24"/>
      <c r="E30" s="24"/>
      <c r="F30" s="24"/>
      <c r="G30" s="24"/>
      <c r="H30" s="24"/>
      <c r="I30" s="24"/>
    </row>
    <row r="31" spans="1:9" x14ac:dyDescent="0.3">
      <c r="A31" s="24"/>
      <c r="B31" s="24"/>
      <c r="C31" s="24"/>
      <c r="D31" s="24"/>
      <c r="E31" s="24"/>
      <c r="F31" s="24"/>
      <c r="G31" s="24"/>
      <c r="H31" s="24"/>
      <c r="I31" s="24"/>
    </row>
    <row r="32" spans="1:9" x14ac:dyDescent="0.3">
      <c r="A32" s="24"/>
      <c r="B32" s="24"/>
      <c r="C32" s="24"/>
      <c r="D32" s="24"/>
      <c r="E32" s="24"/>
      <c r="F32" s="24"/>
      <c r="G32" s="24"/>
      <c r="H32" s="24"/>
      <c r="I32" s="24"/>
    </row>
  </sheetData>
  <mergeCells count="5">
    <mergeCell ref="A18:I20"/>
    <mergeCell ref="A21:I23"/>
    <mergeCell ref="A24:I26"/>
    <mergeCell ref="A27:I29"/>
    <mergeCell ref="A30:I32"/>
  </mergeCells>
  <pageMargins left="0.25" right="0.25" top="0.75" bottom="0.75" header="0.3" footer="0.3"/>
  <pageSetup paperSize="9" scale="8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71BB-ADDF-40ED-8E66-9EFD146EA0EF}">
  <sheetPr>
    <pageSetUpPr fitToPage="1"/>
  </sheetPr>
  <dimension ref="A1:N32"/>
  <sheetViews>
    <sheetView tabSelected="1" workbookViewId="0">
      <selection activeCell="F41" sqref="F41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11.5546875" bestFit="1" customWidth="1"/>
    <col min="4" max="4" width="9.6640625" bestFit="1" customWidth="1"/>
    <col min="5" max="5" width="6" bestFit="1" customWidth="1"/>
    <col min="6" max="6" width="6.33203125" bestFit="1" customWidth="1"/>
    <col min="7" max="7" width="6" bestFit="1" customWidth="1"/>
    <col min="8" max="8" width="6.33203125" bestFit="1" customWidth="1"/>
    <col min="9" max="9" width="13" bestFit="1" customWidth="1"/>
    <col min="10" max="10" width="6" bestFit="1" customWidth="1"/>
    <col min="11" max="12" width="12.44140625" bestFit="1" customWidth="1"/>
    <col min="13" max="13" width="11.5546875" bestFit="1" customWidth="1"/>
    <col min="14" max="14" width="14.109375" bestFit="1" customWidth="1"/>
  </cols>
  <sheetData>
    <row r="1" spans="1:14" s="46" customFormat="1" x14ac:dyDescent="0.3">
      <c r="A1" s="32" t="s">
        <v>16</v>
      </c>
      <c r="B1" s="33" t="s">
        <v>17</v>
      </c>
      <c r="C1" s="33" t="s">
        <v>2</v>
      </c>
      <c r="D1" s="33" t="s">
        <v>18</v>
      </c>
      <c r="E1" s="34" t="s">
        <v>19</v>
      </c>
      <c r="F1" s="34" t="s">
        <v>20</v>
      </c>
      <c r="G1" s="34" t="s">
        <v>21</v>
      </c>
      <c r="H1" s="34" t="s">
        <v>22</v>
      </c>
      <c r="I1" s="34" t="s">
        <v>23</v>
      </c>
      <c r="J1" s="43" t="s">
        <v>69</v>
      </c>
      <c r="K1" s="44" t="s">
        <v>74</v>
      </c>
      <c r="L1" s="44" t="s">
        <v>75</v>
      </c>
      <c r="M1" s="44" t="s">
        <v>76</v>
      </c>
      <c r="N1" s="45" t="s">
        <v>77</v>
      </c>
    </row>
    <row r="2" spans="1:14" x14ac:dyDescent="0.3">
      <c r="A2" s="35" t="s">
        <v>24</v>
      </c>
      <c r="B2" s="27" t="s">
        <v>25</v>
      </c>
      <c r="C2" s="27" t="s">
        <v>19</v>
      </c>
      <c r="D2" s="27" t="s">
        <v>26</v>
      </c>
      <c r="E2" s="28">
        <v>55000</v>
      </c>
      <c r="F2" s="28">
        <v>50000</v>
      </c>
      <c r="G2" s="28">
        <v>35000</v>
      </c>
      <c r="H2" s="28">
        <v>5000</v>
      </c>
      <c r="I2" s="28">
        <v>22</v>
      </c>
      <c r="J2" s="29" cm="1">
        <f t="array" ref="J2">Profit(E2,G2)</f>
        <v>20000</v>
      </c>
      <c r="K2" s="30" cm="1">
        <f t="array" ref="K2">Profit_Margin(E2,G2)</f>
        <v>0.36363636363636365</v>
      </c>
      <c r="L2" s="31" cm="1">
        <f t="array" ref="L2">Achievement(E2,F2)</f>
        <v>110.00000000000001</v>
      </c>
      <c r="M2" s="29" cm="1">
        <f t="array" ref="M2">Net_Earning(E2,G2,H2)</f>
        <v>25000</v>
      </c>
      <c r="N2" s="47" cm="1">
        <f t="array" ref="N2">Bonus_percent(H2,E2)</f>
        <v>9.0909090909090917</v>
      </c>
    </row>
    <row r="3" spans="1:14" x14ac:dyDescent="0.3">
      <c r="A3" s="35" t="s">
        <v>27</v>
      </c>
      <c r="B3" s="27" t="s">
        <v>28</v>
      </c>
      <c r="C3" s="27" t="s">
        <v>6</v>
      </c>
      <c r="D3" s="27" t="s">
        <v>29</v>
      </c>
      <c r="E3" s="28">
        <v>42000</v>
      </c>
      <c r="F3" s="28">
        <v>45000</v>
      </c>
      <c r="G3" s="28">
        <v>30000</v>
      </c>
      <c r="H3" s="28">
        <v>4000</v>
      </c>
      <c r="I3" s="28">
        <v>20</v>
      </c>
      <c r="J3" s="29" cm="1">
        <f t="array" ref="J3">Profit(E3,G3)</f>
        <v>12000</v>
      </c>
      <c r="K3" s="30" cm="1">
        <f t="array" ref="K3">Profit_Margin(E3,G3)</f>
        <v>0.2857142857142857</v>
      </c>
      <c r="L3" s="31" cm="1">
        <f t="array" ref="L3">Achievement(E3,F3)</f>
        <v>93.333333333333329</v>
      </c>
      <c r="M3" s="29" cm="1">
        <f t="array" ref="M3">Net_Earning(E3,G3,H3)</f>
        <v>16000</v>
      </c>
      <c r="N3" s="47" cm="1">
        <f t="array" ref="N3">Bonus_percent(H3,E3)</f>
        <v>9.5238095238095237</v>
      </c>
    </row>
    <row r="4" spans="1:14" x14ac:dyDescent="0.3">
      <c r="A4" s="35" t="s">
        <v>30</v>
      </c>
      <c r="B4" s="27" t="s">
        <v>31</v>
      </c>
      <c r="C4" s="27" t="s">
        <v>19</v>
      </c>
      <c r="D4" s="27" t="s">
        <v>32</v>
      </c>
      <c r="E4" s="28">
        <v>67000</v>
      </c>
      <c r="F4" s="28">
        <v>60000</v>
      </c>
      <c r="G4" s="28">
        <v>42000</v>
      </c>
      <c r="H4" s="28">
        <v>6000</v>
      </c>
      <c r="I4" s="28">
        <v>24</v>
      </c>
      <c r="J4" s="29" cm="1">
        <f t="array" ref="J4">Profit(E4,G4)</f>
        <v>25000</v>
      </c>
      <c r="K4" s="30" cm="1">
        <f t="array" ref="K4">Profit_Margin(E4,G4)</f>
        <v>0.37313432835820898</v>
      </c>
      <c r="L4" s="31" cm="1">
        <f t="array" ref="L4">Achievement(E4,F4)</f>
        <v>111.66666666666667</v>
      </c>
      <c r="M4" s="29" cm="1">
        <f t="array" ref="M4">Net_Earning(E4,G4,H4)</f>
        <v>31000</v>
      </c>
      <c r="N4" s="47" cm="1">
        <f t="array" ref="N4">Bonus_percent(H4,E4)</f>
        <v>8.9552238805970141</v>
      </c>
    </row>
    <row r="5" spans="1:14" x14ac:dyDescent="0.3">
      <c r="A5" s="35" t="s">
        <v>33</v>
      </c>
      <c r="B5" s="27" t="s">
        <v>34</v>
      </c>
      <c r="C5" s="27" t="s">
        <v>10</v>
      </c>
      <c r="D5" s="27" t="s">
        <v>35</v>
      </c>
      <c r="E5" s="28">
        <v>38000</v>
      </c>
      <c r="F5" s="28">
        <v>40000</v>
      </c>
      <c r="G5" s="28">
        <v>26000</v>
      </c>
      <c r="H5" s="28">
        <v>3500</v>
      </c>
      <c r="I5" s="28">
        <v>21</v>
      </c>
      <c r="J5" s="29" cm="1">
        <f t="array" ref="J5">Profit(E5,G5)</f>
        <v>12000</v>
      </c>
      <c r="K5" s="30" cm="1">
        <f t="array" ref="K5">Profit_Margin(E5,G5)</f>
        <v>0.31578947368421051</v>
      </c>
      <c r="L5" s="31" cm="1">
        <f t="array" ref="L5">Achievement(E5,F5)</f>
        <v>95</v>
      </c>
      <c r="M5" s="29" cm="1">
        <f t="array" ref="M5">Net_Earning(E5,G5,H5)</f>
        <v>15500</v>
      </c>
      <c r="N5" s="47" cm="1">
        <f t="array" ref="N5">Bonus_percent(H5,E5)</f>
        <v>9.2105263157894726</v>
      </c>
    </row>
    <row r="6" spans="1:14" x14ac:dyDescent="0.3">
      <c r="A6" s="35" t="s">
        <v>36</v>
      </c>
      <c r="B6" s="27" t="s">
        <v>37</v>
      </c>
      <c r="C6" s="27" t="s">
        <v>19</v>
      </c>
      <c r="D6" s="27" t="s">
        <v>26</v>
      </c>
      <c r="E6" s="28">
        <v>75000</v>
      </c>
      <c r="F6" s="28">
        <v>70000</v>
      </c>
      <c r="G6" s="28">
        <v>47000</v>
      </c>
      <c r="H6" s="28">
        <v>7000</v>
      </c>
      <c r="I6" s="28">
        <v>25</v>
      </c>
      <c r="J6" s="29" cm="1">
        <f t="array" ref="J6">Profit(E6,G6)</f>
        <v>28000</v>
      </c>
      <c r="K6" s="30" cm="1">
        <f t="array" ref="K6">Profit_Margin(E6,G6)</f>
        <v>0.37333333333333335</v>
      </c>
      <c r="L6" s="31" cm="1">
        <f t="array" ref="L6">Achievement(E6,F6)</f>
        <v>107.14285714285714</v>
      </c>
      <c r="M6" s="29" cm="1">
        <f t="array" ref="M6">Net_Earning(E6,G6,H6)</f>
        <v>35000</v>
      </c>
      <c r="N6" s="47" cm="1">
        <f t="array" ref="N6">Bonus_percent(H6,E6)</f>
        <v>9.3333333333333339</v>
      </c>
    </row>
    <row r="7" spans="1:14" x14ac:dyDescent="0.3">
      <c r="A7" s="35" t="s">
        <v>38</v>
      </c>
      <c r="B7" s="27" t="s">
        <v>39</v>
      </c>
      <c r="C7" s="27" t="s">
        <v>8</v>
      </c>
      <c r="D7" s="27" t="s">
        <v>40</v>
      </c>
      <c r="E7" s="28">
        <v>49000</v>
      </c>
      <c r="F7" s="28">
        <v>55000</v>
      </c>
      <c r="G7" s="28">
        <v>32000</v>
      </c>
      <c r="H7" s="28">
        <v>4500</v>
      </c>
      <c r="I7" s="28">
        <v>22</v>
      </c>
      <c r="J7" s="29" cm="1">
        <f t="array" ref="J7">Profit(E7,G7)</f>
        <v>17000</v>
      </c>
      <c r="K7" s="30" cm="1">
        <f t="array" ref="K7">Profit_Margin(E7,G7)</f>
        <v>0.34693877551020408</v>
      </c>
      <c r="L7" s="31" cm="1">
        <f t="array" ref="L7">Achievement(E7,F7)</f>
        <v>89.090909090909093</v>
      </c>
      <c r="M7" s="29" cm="1">
        <f t="array" ref="M7">Net_Earning(E7,G7,H7)</f>
        <v>21500</v>
      </c>
      <c r="N7" s="47" cm="1">
        <f t="array" ref="N7">Bonus_percent(H7,E7)</f>
        <v>9.183673469387756</v>
      </c>
    </row>
    <row r="8" spans="1:14" x14ac:dyDescent="0.3">
      <c r="A8" s="35" t="s">
        <v>41</v>
      </c>
      <c r="B8" s="27" t="s">
        <v>42</v>
      </c>
      <c r="C8" s="27" t="s">
        <v>6</v>
      </c>
      <c r="D8" s="27" t="s">
        <v>43</v>
      </c>
      <c r="E8" s="28">
        <v>63000</v>
      </c>
      <c r="F8" s="28">
        <v>60000</v>
      </c>
      <c r="G8" s="28">
        <v>39000</v>
      </c>
      <c r="H8" s="28">
        <v>5000</v>
      </c>
      <c r="I8" s="28">
        <v>23</v>
      </c>
      <c r="J8" s="29" cm="1">
        <f t="array" ref="J8">Profit(E8,G8)</f>
        <v>24000</v>
      </c>
      <c r="K8" s="30" cm="1">
        <f t="array" ref="K8">Profit_Margin(E8,G8)</f>
        <v>0.38095238095238093</v>
      </c>
      <c r="L8" s="31" cm="1">
        <f t="array" ref="L8">Achievement(E8,F8)</f>
        <v>105</v>
      </c>
      <c r="M8" s="29" cm="1">
        <f t="array" ref="M8">Net_Earning(E8,G8,H8)</f>
        <v>29000</v>
      </c>
      <c r="N8" s="47" cm="1">
        <f t="array" ref="N8">Bonus_percent(H8,E8)</f>
        <v>7.9365079365079358</v>
      </c>
    </row>
    <row r="9" spans="1:14" x14ac:dyDescent="0.3">
      <c r="A9" s="35" t="s">
        <v>44</v>
      </c>
      <c r="B9" s="27" t="s">
        <v>45</v>
      </c>
      <c r="C9" s="27" t="s">
        <v>10</v>
      </c>
      <c r="D9" s="27" t="s">
        <v>32</v>
      </c>
      <c r="E9" s="28">
        <v>52000</v>
      </c>
      <c r="F9" s="28">
        <v>50000</v>
      </c>
      <c r="G9" s="28">
        <v>34000</v>
      </c>
      <c r="H9" s="28">
        <v>4200</v>
      </c>
      <c r="I9" s="28">
        <v>22</v>
      </c>
      <c r="J9" s="29" cm="1">
        <f t="array" ref="J9">Profit(E9,G9)</f>
        <v>18000</v>
      </c>
      <c r="K9" s="30" cm="1">
        <f t="array" ref="K9">Profit_Margin(E9,G9)</f>
        <v>0.34615384615384615</v>
      </c>
      <c r="L9" s="31" cm="1">
        <f t="array" ref="L9">Achievement(E9,F9)</f>
        <v>104</v>
      </c>
      <c r="M9" s="29" cm="1">
        <f t="array" ref="M9">Net_Earning(E9,G9,H9)</f>
        <v>22200</v>
      </c>
      <c r="N9" s="47" cm="1">
        <f t="array" ref="N9">Bonus_percent(H9,E9)</f>
        <v>8.0769230769230766</v>
      </c>
    </row>
    <row r="10" spans="1:14" x14ac:dyDescent="0.3">
      <c r="A10" s="35" t="s">
        <v>46</v>
      </c>
      <c r="B10" s="27" t="s">
        <v>11</v>
      </c>
      <c r="C10" s="27" t="s">
        <v>19</v>
      </c>
      <c r="D10" s="27" t="s">
        <v>29</v>
      </c>
      <c r="E10" s="28">
        <v>81000</v>
      </c>
      <c r="F10" s="28">
        <v>75000</v>
      </c>
      <c r="G10" s="28">
        <v>50000</v>
      </c>
      <c r="H10" s="28">
        <v>8000</v>
      </c>
      <c r="I10" s="28">
        <v>26</v>
      </c>
      <c r="J10" s="29" cm="1">
        <f t="array" ref="J10">Profit(E10,G10)</f>
        <v>31000</v>
      </c>
      <c r="K10" s="30" cm="1">
        <f t="array" ref="K10">Profit_Margin(E10,G10)</f>
        <v>0.38271604938271603</v>
      </c>
      <c r="L10" s="31" cm="1">
        <f t="array" ref="L10">Achievement(E10,F10)</f>
        <v>108</v>
      </c>
      <c r="M10" s="29" cm="1">
        <f t="array" ref="M10">Net_Earning(E10,G10,H10)</f>
        <v>39000</v>
      </c>
      <c r="N10" s="47" cm="1">
        <f t="array" ref="N10">Bonus_percent(H10,E10)</f>
        <v>9.8765432098765427</v>
      </c>
    </row>
    <row r="11" spans="1:14" x14ac:dyDescent="0.3">
      <c r="A11" s="35" t="s">
        <v>47</v>
      </c>
      <c r="B11" s="27" t="s">
        <v>48</v>
      </c>
      <c r="C11" s="27" t="s">
        <v>8</v>
      </c>
      <c r="D11" s="27" t="s">
        <v>35</v>
      </c>
      <c r="E11" s="28">
        <v>44000</v>
      </c>
      <c r="F11" s="28">
        <v>50000</v>
      </c>
      <c r="G11" s="28">
        <v>31000</v>
      </c>
      <c r="H11" s="28">
        <v>4000</v>
      </c>
      <c r="I11" s="28">
        <v>20</v>
      </c>
      <c r="J11" s="29" cm="1">
        <f t="array" ref="J11">Profit(E11,G11)</f>
        <v>13000</v>
      </c>
      <c r="K11" s="30" cm="1">
        <f t="array" ref="K11">Profit_Margin(E11,G11)</f>
        <v>0.29545454545454547</v>
      </c>
      <c r="L11" s="31" cm="1">
        <f t="array" ref="L11">Achievement(E11,F11)</f>
        <v>88</v>
      </c>
      <c r="M11" s="29" cm="1">
        <f t="array" ref="M11">Net_Earning(E11,G11,H11)</f>
        <v>17000</v>
      </c>
      <c r="N11" s="47" cm="1">
        <f t="array" ref="N11">Bonus_percent(H11,E11)</f>
        <v>9.0909090909090917</v>
      </c>
    </row>
    <row r="12" spans="1:14" x14ac:dyDescent="0.3">
      <c r="A12" s="35" t="s">
        <v>49</v>
      </c>
      <c r="B12" s="27" t="s">
        <v>50</v>
      </c>
      <c r="C12" s="27" t="s">
        <v>19</v>
      </c>
      <c r="D12" s="27" t="s">
        <v>26</v>
      </c>
      <c r="E12" s="28">
        <v>58000</v>
      </c>
      <c r="F12" s="28">
        <v>55000</v>
      </c>
      <c r="G12" s="28">
        <v>37000</v>
      </c>
      <c r="H12" s="28">
        <v>5200</v>
      </c>
      <c r="I12" s="28">
        <v>22</v>
      </c>
      <c r="J12" s="29" cm="1">
        <f t="array" ref="J12">Profit(E12,G12)</f>
        <v>21000</v>
      </c>
      <c r="K12" s="30" cm="1">
        <f t="array" ref="K12">Profit_Margin(E12,G12)</f>
        <v>0.36206896551724138</v>
      </c>
      <c r="L12" s="31" cm="1">
        <f t="array" ref="L12">Achievement(E12,F12)</f>
        <v>105.45454545454544</v>
      </c>
      <c r="M12" s="29" cm="1">
        <f t="array" ref="M12">Net_Earning(E12,G12,H12)</f>
        <v>26200</v>
      </c>
      <c r="N12" s="47" cm="1">
        <f t="array" ref="N12">Bonus_percent(H12,E12)</f>
        <v>8.9655172413793096</v>
      </c>
    </row>
    <row r="13" spans="1:14" x14ac:dyDescent="0.3">
      <c r="A13" s="35" t="s">
        <v>51</v>
      </c>
      <c r="B13" s="27" t="s">
        <v>52</v>
      </c>
      <c r="C13" s="27" t="s">
        <v>10</v>
      </c>
      <c r="D13" s="27" t="s">
        <v>40</v>
      </c>
      <c r="E13" s="28">
        <v>39000</v>
      </c>
      <c r="F13" s="28">
        <v>45000</v>
      </c>
      <c r="G13" s="28">
        <v>28000</v>
      </c>
      <c r="H13" s="28">
        <v>3600</v>
      </c>
      <c r="I13" s="28">
        <v>21</v>
      </c>
      <c r="J13" s="29" cm="1">
        <f t="array" ref="J13">Profit(E13,G13)</f>
        <v>11000</v>
      </c>
      <c r="K13" s="30" cm="1">
        <f t="array" ref="K13">Profit_Margin(E13,G13)</f>
        <v>0.28205128205128205</v>
      </c>
      <c r="L13" s="31" cm="1">
        <f t="array" ref="L13">Achievement(E13,F13)</f>
        <v>86.666666666666671</v>
      </c>
      <c r="M13" s="29" cm="1">
        <f t="array" ref="M13">Net_Earning(E13,G13,H13)</f>
        <v>14600</v>
      </c>
      <c r="N13" s="47" cm="1">
        <f t="array" ref="N13">Bonus_percent(H13,E13)</f>
        <v>9.2307692307692317</v>
      </c>
    </row>
    <row r="14" spans="1:14" x14ac:dyDescent="0.3">
      <c r="A14" s="35" t="s">
        <v>53</v>
      </c>
      <c r="B14" s="27" t="s">
        <v>54</v>
      </c>
      <c r="C14" s="27" t="s">
        <v>19</v>
      </c>
      <c r="D14" s="27" t="s">
        <v>43</v>
      </c>
      <c r="E14" s="28">
        <v>70000</v>
      </c>
      <c r="F14" s="28">
        <v>65000</v>
      </c>
      <c r="G14" s="28">
        <v>44000</v>
      </c>
      <c r="H14" s="28">
        <v>6500</v>
      </c>
      <c r="I14" s="28">
        <v>24</v>
      </c>
      <c r="J14" s="29" cm="1">
        <f t="array" ref="J14">Profit(E14,G14)</f>
        <v>26000</v>
      </c>
      <c r="K14" s="30" cm="1">
        <f t="array" ref="K14">Profit_Margin(E14,G14)</f>
        <v>0.37142857142857144</v>
      </c>
      <c r="L14" s="31" cm="1">
        <f t="array" ref="L14">Achievement(E14,F14)</f>
        <v>107.69230769230769</v>
      </c>
      <c r="M14" s="29" cm="1">
        <f t="array" ref="M14">Net_Earning(E14,G14,H14)</f>
        <v>32500</v>
      </c>
      <c r="N14" s="47" cm="1">
        <f t="array" ref="N14">Bonus_percent(H14,E14)</f>
        <v>9.2857142857142865</v>
      </c>
    </row>
    <row r="15" spans="1:14" x14ac:dyDescent="0.3">
      <c r="A15" s="35" t="s">
        <v>55</v>
      </c>
      <c r="B15" s="27" t="s">
        <v>56</v>
      </c>
      <c r="C15" s="27" t="s">
        <v>6</v>
      </c>
      <c r="D15" s="27" t="s">
        <v>26</v>
      </c>
      <c r="E15" s="28">
        <v>46000</v>
      </c>
      <c r="F15" s="28">
        <v>50000</v>
      </c>
      <c r="G15" s="28">
        <v>31000</v>
      </c>
      <c r="H15" s="28">
        <v>3800</v>
      </c>
      <c r="I15" s="28">
        <v>21</v>
      </c>
      <c r="J15" s="29" cm="1">
        <f t="array" ref="J15">Profit(E15,G15)</f>
        <v>15000</v>
      </c>
      <c r="K15" s="30" cm="1">
        <f t="array" ref="K15">Profit_Margin(E15,G15)</f>
        <v>0.32608695652173914</v>
      </c>
      <c r="L15" s="31" cm="1">
        <f t="array" ref="L15">Achievement(E15,F15)</f>
        <v>92</v>
      </c>
      <c r="M15" s="29" cm="1">
        <f t="array" ref="M15">Net_Earning(E15,G15,H15)</f>
        <v>18800</v>
      </c>
      <c r="N15" s="47" cm="1">
        <f t="array" ref="N15">Bonus_percent(H15,E15)</f>
        <v>8.2608695652173907</v>
      </c>
    </row>
    <row r="16" spans="1:14" ht="15" thickBot="1" x14ac:dyDescent="0.35">
      <c r="A16" s="37" t="s">
        <v>57</v>
      </c>
      <c r="B16" s="38" t="s">
        <v>58</v>
      </c>
      <c r="C16" s="38" t="s">
        <v>8</v>
      </c>
      <c r="D16" s="38" t="s">
        <v>29</v>
      </c>
      <c r="E16" s="39">
        <v>61000</v>
      </c>
      <c r="F16" s="39">
        <v>60000</v>
      </c>
      <c r="G16" s="39">
        <v>38000</v>
      </c>
      <c r="H16" s="39">
        <v>5500</v>
      </c>
      <c r="I16" s="39">
        <v>23</v>
      </c>
      <c r="J16" s="40" cm="1">
        <f t="array" ref="J16">Profit(E16,G16)</f>
        <v>23000</v>
      </c>
      <c r="K16" s="41" cm="1">
        <f t="array" ref="K16">Profit_Margin(E16,G16)</f>
        <v>0.37704918032786883</v>
      </c>
      <c r="L16" s="48" cm="1">
        <f t="array" ref="L16">Achievement(E16,F16)</f>
        <v>101.66666666666666</v>
      </c>
      <c r="M16" s="40" cm="1">
        <f t="array" ref="M16">Net_Earning(E16,G16,H16)</f>
        <v>28500</v>
      </c>
      <c r="N16" s="49" cm="1">
        <f t="array" ref="N16">Bonus_percent(H16,E16)</f>
        <v>9.0163934426229506</v>
      </c>
    </row>
    <row r="18" spans="1:9" x14ac:dyDescent="0.3">
      <c r="A18" s="23" t="s">
        <v>64</v>
      </c>
      <c r="B18" s="24"/>
      <c r="C18" s="24"/>
      <c r="D18" s="24"/>
      <c r="E18" s="24"/>
      <c r="F18" s="24"/>
      <c r="G18" s="24"/>
      <c r="H18" s="24"/>
      <c r="I18" s="24"/>
    </row>
    <row r="19" spans="1:9" x14ac:dyDescent="0.3">
      <c r="A19" s="24"/>
      <c r="B19" s="24"/>
      <c r="C19" s="24"/>
      <c r="D19" s="24"/>
      <c r="E19" s="24"/>
      <c r="F19" s="24"/>
      <c r="G19" s="24"/>
      <c r="H19" s="24"/>
      <c r="I19" s="24"/>
    </row>
    <row r="20" spans="1:9" x14ac:dyDescent="0.3">
      <c r="A20" s="24"/>
      <c r="B20" s="24"/>
      <c r="C20" s="24"/>
      <c r="D20" s="24"/>
      <c r="E20" s="24"/>
      <c r="F20" s="24"/>
      <c r="G20" s="24"/>
      <c r="H20" s="24"/>
      <c r="I20" s="24"/>
    </row>
    <row r="21" spans="1:9" x14ac:dyDescent="0.3">
      <c r="A21" s="23" t="s">
        <v>65</v>
      </c>
      <c r="B21" s="23"/>
      <c r="C21" s="23"/>
      <c r="D21" s="23"/>
      <c r="E21" s="23"/>
      <c r="F21" s="23"/>
      <c r="G21" s="23"/>
      <c r="H21" s="23"/>
      <c r="I21" s="23"/>
    </row>
    <row r="22" spans="1:9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3">
      <c r="A23" s="23"/>
      <c r="B23" s="23"/>
      <c r="C23" s="23"/>
      <c r="D23" s="23"/>
      <c r="E23" s="23"/>
      <c r="F23" s="23"/>
      <c r="G23" s="23"/>
      <c r="H23" s="23"/>
      <c r="I23" s="23"/>
    </row>
    <row r="24" spans="1:9" x14ac:dyDescent="0.3">
      <c r="A24" s="23" t="s">
        <v>66</v>
      </c>
      <c r="B24" s="24"/>
      <c r="C24" s="24"/>
      <c r="D24" s="24"/>
      <c r="E24" s="24"/>
      <c r="F24" s="24"/>
      <c r="G24" s="24"/>
      <c r="H24" s="24"/>
      <c r="I24" s="24"/>
    </row>
    <row r="25" spans="1:9" x14ac:dyDescent="0.3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3">
      <c r="A26" s="24"/>
      <c r="B26" s="24"/>
      <c r="C26" s="24"/>
      <c r="D26" s="24"/>
      <c r="E26" s="24"/>
      <c r="F26" s="24"/>
      <c r="G26" s="24"/>
      <c r="H26" s="24"/>
      <c r="I26" s="24"/>
    </row>
    <row r="27" spans="1:9" x14ac:dyDescent="0.3">
      <c r="A27" s="23" t="s">
        <v>67</v>
      </c>
      <c r="B27" s="24"/>
      <c r="C27" s="24"/>
      <c r="D27" s="24"/>
      <c r="E27" s="24"/>
      <c r="F27" s="24"/>
      <c r="G27" s="24"/>
      <c r="H27" s="24"/>
      <c r="I27" s="24"/>
    </row>
    <row r="28" spans="1:9" x14ac:dyDescent="0.3">
      <c r="A28" s="24"/>
      <c r="B28" s="24"/>
      <c r="C28" s="24"/>
      <c r="D28" s="24"/>
      <c r="E28" s="24"/>
      <c r="F28" s="24"/>
      <c r="G28" s="24"/>
      <c r="H28" s="24"/>
      <c r="I28" s="24"/>
    </row>
    <row r="29" spans="1:9" x14ac:dyDescent="0.3">
      <c r="A29" s="24"/>
      <c r="B29" s="24"/>
      <c r="C29" s="24"/>
      <c r="D29" s="24"/>
      <c r="E29" s="24"/>
      <c r="F29" s="24"/>
      <c r="G29" s="24"/>
      <c r="H29" s="24"/>
      <c r="I29" s="24"/>
    </row>
    <row r="30" spans="1:9" x14ac:dyDescent="0.3">
      <c r="A30" s="23" t="s">
        <v>68</v>
      </c>
      <c r="B30" s="24"/>
      <c r="C30" s="24"/>
      <c r="D30" s="24"/>
      <c r="E30" s="24"/>
      <c r="F30" s="24"/>
      <c r="G30" s="24"/>
      <c r="H30" s="24"/>
      <c r="I30" s="24"/>
    </row>
    <row r="31" spans="1:9" x14ac:dyDescent="0.3">
      <c r="A31" s="24"/>
      <c r="B31" s="24"/>
      <c r="C31" s="24"/>
      <c r="D31" s="24"/>
      <c r="E31" s="24"/>
      <c r="F31" s="24"/>
      <c r="G31" s="24"/>
      <c r="H31" s="24"/>
      <c r="I31" s="24"/>
    </row>
    <row r="32" spans="1:9" x14ac:dyDescent="0.3">
      <c r="A32" s="24"/>
      <c r="B32" s="24"/>
      <c r="C32" s="24"/>
      <c r="D32" s="24"/>
      <c r="E32" s="24"/>
      <c r="F32" s="24"/>
      <c r="G32" s="24"/>
      <c r="H32" s="24"/>
      <c r="I32" s="24"/>
    </row>
  </sheetData>
  <mergeCells count="5">
    <mergeCell ref="A18:I20"/>
    <mergeCell ref="A21:I23"/>
    <mergeCell ref="A24:I26"/>
    <mergeCell ref="A27:I29"/>
    <mergeCell ref="A30:I32"/>
  </mergeCells>
  <pageMargins left="0.25" right="0.25" top="0.75" bottom="0.75" header="0.3" footer="0.3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Basic</vt:lpstr>
      <vt:lpstr>RAW-DATA</vt:lpstr>
      <vt:lpstr>LET</vt:lpstr>
      <vt:lpstr>LAMBDA</vt:lpstr>
      <vt:lpstr>LAMBDA!Print_Area</vt:lpstr>
      <vt:lpstr>LET!Print_Area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2026-07-26T06:43:31Z</cp:lastPrinted>
  <dcterms:created xsi:type="dcterms:W3CDTF">2026-07-26T04:25:58Z</dcterms:created>
  <dcterms:modified xsi:type="dcterms:W3CDTF">2026-07-26T06:50:59Z</dcterms:modified>
</cp:coreProperties>
</file>