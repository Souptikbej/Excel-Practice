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6052CCF-6F09-44A4-96AE-3637078A9B7B}" xr6:coauthVersionLast="47" xr6:coauthVersionMax="47" xr10:uidLastSave="{00000000-0000-0000-0000-000000000000}"/>
  <bookViews>
    <workbookView xWindow="-28920" yWindow="-90" windowWidth="29040" windowHeight="16440" activeTab="5" xr2:uid="{00000000-000D-0000-FFFF-FFFF00000000}"/>
  </bookViews>
  <sheets>
    <sheet name="Problem1" sheetId="1" r:id="rId1"/>
    <sheet name="Problem2" sheetId="2" r:id="rId2"/>
    <sheet name="Problem3" sheetId="3" r:id="rId3"/>
    <sheet name="Sheet4" sheetId="5" r:id="rId4"/>
    <sheet name="Problrm4" sheetId="4" r:id="rId5"/>
    <sheet name="Problem5" sheetId="6" r:id="rId6"/>
  </sheets>
  <definedNames>
    <definedName name="_xlnm._FilterDatabase" localSheetId="0" hidden="1">Problem1!$A$1:$I$49</definedName>
  </definedNames>
  <calcPr calcId="191029"/>
  <pivotCaches>
    <pivotCache cacheId="0" r:id="rId7"/>
    <pivotCache cacheId="1" r:id="rId8"/>
    <pivotCache cacheId="2" r:id="rId9"/>
    <pivotCache cacheId="3" r:id="rId10"/>
    <pivotCache cacheId="4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" i="4" l="1"/>
  <c r="M7" i="4"/>
  <c r="M8" i="4"/>
  <c r="M9" i="4"/>
  <c r="M10" i="4"/>
  <c r="M11" i="4"/>
  <c r="M12" i="4"/>
  <c r="M13" i="4"/>
  <c r="M14" i="4"/>
  <c r="M15" i="4"/>
  <c r="M16" i="4"/>
  <c r="M17" i="4"/>
</calcChain>
</file>

<file path=xl/sharedStrings.xml><?xml version="1.0" encoding="utf-8"?>
<sst xmlns="http://schemas.openxmlformats.org/spreadsheetml/2006/main" count="887" uniqueCount="51">
  <si>
    <t>Month</t>
  </si>
  <si>
    <t>Region</t>
  </si>
  <si>
    <t>Product</t>
  </si>
  <si>
    <t>Sales_Amount</t>
  </si>
  <si>
    <t>Profit</t>
  </si>
  <si>
    <t>Units_Sold</t>
  </si>
  <si>
    <t>Growth_%</t>
  </si>
  <si>
    <t>Orders</t>
  </si>
  <si>
    <t>Profit_Margin_%</t>
  </si>
  <si>
    <t>2025-01</t>
  </si>
  <si>
    <t>North</t>
  </si>
  <si>
    <t>Laptop</t>
  </si>
  <si>
    <t>South</t>
  </si>
  <si>
    <t>East</t>
  </si>
  <si>
    <t>West</t>
  </si>
  <si>
    <t>2025-02</t>
  </si>
  <si>
    <t>Mobile</t>
  </si>
  <si>
    <t>2025-03</t>
  </si>
  <si>
    <t>Tablet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</si>
  <si>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</si>
  <si>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</si>
  <si>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</si>
  <si>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</si>
  <si>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</si>
  <si>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</si>
  <si>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</si>
  <si>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</si>
  <si>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</si>
  <si>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Sum of Profit</t>
  </si>
  <si>
    <t>Sum of Sales_Amount</t>
  </si>
  <si>
    <t>Row Labels</t>
  </si>
  <si>
    <t>Grand Total</t>
  </si>
  <si>
    <t>November recorded the highest monthly sales and profit, indicating the strongest overall performance during the year.</t>
  </si>
  <si>
    <r>
      <rPr>
        <b/>
        <u/>
        <sz val="11"/>
        <color rgb="FF9C0006"/>
        <rFont val="Calibri"/>
        <family val="2"/>
        <scheme val="minor"/>
      </rPr>
      <t>Problem 1 — Sales vs Profit Combo Chart</t>
    </r>
    <r>
      <rPr>
        <b/>
        <sz val="11"/>
        <color rgb="FF9C0006"/>
        <rFont val="Calibri"/>
        <family val="2"/>
        <scheme val="minor"/>
      </rPr>
      <t xml:space="preserve">
Management wants to compare Sales Amount and Profit month by month.</t>
    </r>
  </si>
  <si>
    <r>
      <rPr>
        <b/>
        <u/>
        <sz val="11"/>
        <color rgb="FF9C0006"/>
        <rFont val="Calibri"/>
        <family val="2"/>
        <scheme val="minor"/>
      </rPr>
      <t>Problem 2 — Sales &amp; Growth % Using Secondary Axis</t>
    </r>
    <r>
      <rPr>
        <b/>
        <sz val="11"/>
        <color rgb="FF9C0006"/>
        <rFont val="Calibri"/>
        <family val="2"/>
        <scheme val="minor"/>
      </rPr>
      <t xml:space="preserve">
Management wants to understand whether sales growth is moving along with sales performance.</t>
    </r>
  </si>
  <si>
    <t>Average of Growth_%</t>
  </si>
  <si>
    <t>Sales and growth generally move together, with November showing the strongest performance in both sales and growth.</t>
  </si>
  <si>
    <r>
      <rPr>
        <b/>
        <u/>
        <sz val="11"/>
        <color rgb="FF9C0006"/>
        <rFont val="Calibri"/>
        <family val="2"/>
        <scheme val="minor"/>
      </rPr>
      <t>Problem 3 — Sales vs Orders Combo Chart</t>
    </r>
    <r>
      <rPr>
        <b/>
        <sz val="11"/>
        <color rgb="FF9C0006"/>
        <rFont val="Calibri"/>
        <family val="2"/>
        <scheme val="minor"/>
      </rPr>
      <t xml:space="preserve">
The sales team wants to understand the relationship between revenue generated and number of orders.</t>
    </r>
  </si>
  <si>
    <t>Sum of Orders</t>
  </si>
  <si>
    <t>Does higher sales always mean a higher number of orders?</t>
  </si>
  <si>
    <t>No. Higher sales do not always mean a higher number of orders. For example, October has higher sales than August, but fewer orders, showing that sales value can increase without a proportional increase in order volume.</t>
  </si>
  <si>
    <t>Problem 4 — Profit vs Profit Margin Analysis
Management wants to compare absolute profit with profitability percentage.</t>
  </si>
  <si>
    <t>Profit Margin %</t>
  </si>
  <si>
    <t>Is the company generating higher profit because of higher sales, or because of better margins?</t>
  </si>
  <si>
    <t>Profitability percentage remained largely stable throughout the year, while absolute profit increased substantially during higher-sales months. Therefore, the increase in profit is mainly driven by increased sales/revenue rather than meaningful improvement in profit margin.</t>
  </si>
  <si>
    <r>
      <rPr>
        <b/>
        <u/>
        <sz val="11"/>
        <color rgb="FF9C0006"/>
        <rFont val="Calibri"/>
        <family val="2"/>
        <scheme val="minor"/>
      </rPr>
      <t>Problem 5 — Regional Performance Combo Chart</t>
    </r>
    <r>
      <rPr>
        <b/>
        <sz val="11"/>
        <color rgb="FF9C0006"/>
        <rFont val="Calibri"/>
        <family val="2"/>
        <scheme val="minor"/>
      </rPr>
      <t xml:space="preserve">
Now management wants a regional performance comparison.</t>
    </r>
  </si>
  <si>
    <t>Sales</t>
  </si>
  <si>
    <t>Profits</t>
  </si>
  <si>
    <t>Which region generates the highest sales, and does that region also generate the highest profit?</t>
  </si>
  <si>
    <t>North generates the highest sales at ₹16,510,000. Yes, North also generates the highest profit at ₹2,464,000.</t>
  </si>
  <si>
    <t>North is the best-performing region because it leads in both sales and profit. This indicates that its higher sales are translating into higher absolute profit.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</si>
</sst>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2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u/>
      <sz val="11"/>
      <color rgb="FF9C0006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2" applyNumberFormat="0" applyFont="0" applyAlignment="0" applyProtection="0"/>
  </cellStyleXfs>
  <cellXfs count="90">
    <xf numFmtId="0" fontId="0" fillId="0" borderId="0" xfId="0"/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3" xfId="0" applyBorder="1"/>
    <xf numFmtId="0" fontId="0" fillId="0" borderId="17" xfId="0" applyBorder="1"/>
    <xf numFmtId="0" fontId="0" fillId="0" borderId="18" xfId="0" applyBorder="1"/>
    <xf numFmtId="0" fontId="0" fillId="0" borderId="25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16" xfId="0" pivotButton="1" applyBorder="1"/>
    <xf numFmtId="0" fontId="0" fillId="0" borderId="19" xfId="0" applyBorder="1" applyAlignment="1">
      <alignment horizontal="left"/>
    </xf>
    <xf numFmtId="0" fontId="0" fillId="0" borderId="20" xfId="0" applyNumberFormat="1" applyBorder="1"/>
    <xf numFmtId="0" fontId="0" fillId="0" borderId="21" xfId="0" applyBorder="1" applyAlignment="1">
      <alignment horizontal="left"/>
    </xf>
    <xf numFmtId="0" fontId="0" fillId="0" borderId="22" xfId="0" applyNumberFormat="1" applyBorder="1"/>
    <xf numFmtId="0" fontId="0" fillId="0" borderId="23" xfId="0" applyNumberFormat="1" applyBorder="1"/>
    <xf numFmtId="0" fontId="0" fillId="0" borderId="28" xfId="0" applyNumberFormat="1" applyBorder="1"/>
    <xf numFmtId="0" fontId="0" fillId="0" borderId="31" xfId="0" applyNumberFormat="1" applyBorder="1"/>
    <xf numFmtId="0" fontId="0" fillId="0" borderId="24" xfId="0" applyNumberFormat="1" applyBorder="1"/>
    <xf numFmtId="0" fontId="0" fillId="0" borderId="26" xfId="0" applyNumberFormat="1" applyBorder="1"/>
    <xf numFmtId="0" fontId="0" fillId="0" borderId="27" xfId="0" applyNumberFormat="1" applyBorder="1"/>
    <xf numFmtId="0" fontId="0" fillId="0" borderId="29" xfId="0" applyNumberFormat="1" applyBorder="1"/>
    <xf numFmtId="0" fontId="0" fillId="0" borderId="15" xfId="0" pivotButton="1" applyBorder="1"/>
    <xf numFmtId="0" fontId="0" fillId="0" borderId="32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5" xfId="0" applyBorder="1"/>
    <xf numFmtId="0" fontId="0" fillId="0" borderId="6" xfId="0" applyBorder="1" applyAlignment="1">
      <alignment horizontal="left"/>
    </xf>
    <xf numFmtId="10" fontId="0" fillId="0" borderId="7" xfId="0" applyNumberFormat="1" applyBorder="1"/>
    <xf numFmtId="0" fontId="0" fillId="0" borderId="4" xfId="0" applyBorder="1"/>
    <xf numFmtId="0" fontId="0" fillId="0" borderId="5" xfId="0" applyFill="1" applyBorder="1"/>
    <xf numFmtId="0" fontId="0" fillId="0" borderId="8" xfId="0" applyBorder="1" applyAlignment="1">
      <alignment horizontal="left"/>
    </xf>
    <xf numFmtId="0" fontId="0" fillId="0" borderId="9" xfId="0" applyNumberFormat="1" applyBorder="1"/>
    <xf numFmtId="10" fontId="0" fillId="0" borderId="10" xfId="0" applyNumberFormat="1" applyBorder="1"/>
    <xf numFmtId="0" fontId="4" fillId="4" borderId="2" xfId="3" applyFont="1" applyAlignment="1">
      <alignment horizontal="center" vertical="center" wrapText="1"/>
    </xf>
    <xf numFmtId="0" fontId="5" fillId="3" borderId="1" xfId="2" applyFont="1" applyBorder="1" applyAlignment="1">
      <alignment horizontal="center" vertical="center" wrapText="1"/>
    </xf>
    <xf numFmtId="0" fontId="5" fillId="3" borderId="10" xfId="2" applyFont="1" applyBorder="1" applyAlignment="1">
      <alignment horizontal="center" wrapText="1"/>
    </xf>
    <xf numFmtId="0" fontId="5" fillId="3" borderId="11" xfId="2" applyFont="1" applyBorder="1" applyAlignment="1">
      <alignment horizontal="center" wrapText="1"/>
    </xf>
    <xf numFmtId="0" fontId="5" fillId="3" borderId="8" xfId="2" applyFont="1" applyBorder="1" applyAlignment="1">
      <alignment horizontal="center" wrapText="1"/>
    </xf>
    <xf numFmtId="0" fontId="5" fillId="3" borderId="12" xfId="2" applyFont="1" applyBorder="1" applyAlignment="1">
      <alignment horizontal="center" wrapText="1"/>
    </xf>
    <xf numFmtId="0" fontId="5" fillId="3" borderId="0" xfId="2" applyFont="1" applyBorder="1" applyAlignment="1">
      <alignment horizontal="center" wrapText="1"/>
    </xf>
    <xf numFmtId="0" fontId="5" fillId="3" borderId="13" xfId="2" applyFont="1" applyBorder="1" applyAlignment="1">
      <alignment horizontal="center" wrapText="1"/>
    </xf>
    <xf numFmtId="0" fontId="5" fillId="3" borderId="5" xfId="2" applyFont="1" applyBorder="1" applyAlignment="1">
      <alignment horizontal="center" wrapText="1"/>
    </xf>
    <xf numFmtId="0" fontId="5" fillId="3" borderId="14" xfId="2" applyFont="1" applyBorder="1" applyAlignment="1">
      <alignment horizontal="center" wrapText="1"/>
    </xf>
    <xf numFmtId="0" fontId="5" fillId="3" borderId="3" xfId="2" applyFont="1" applyBorder="1" applyAlignment="1">
      <alignment horizontal="center" wrapText="1"/>
    </xf>
    <xf numFmtId="0" fontId="7" fillId="4" borderId="2" xfId="3" applyFont="1" applyAlignment="1">
      <alignment horizontal="center" vertical="center" wrapText="1"/>
    </xf>
    <xf numFmtId="0" fontId="5" fillId="3" borderId="24" xfId="2" applyFont="1" applyBorder="1" applyAlignment="1">
      <alignment horizontal="center" vertical="center" wrapText="1"/>
    </xf>
    <xf numFmtId="0" fontId="5" fillId="3" borderId="25" xfId="2" applyFont="1" applyBorder="1" applyAlignment="1">
      <alignment horizontal="center" vertical="center" wrapText="1"/>
    </xf>
    <xf numFmtId="0" fontId="5" fillId="3" borderId="26" xfId="2" applyFont="1" applyBorder="1" applyAlignment="1">
      <alignment horizontal="center" vertical="center" wrapText="1"/>
    </xf>
    <xf numFmtId="0" fontId="5" fillId="3" borderId="27" xfId="2" applyFont="1" applyBorder="1" applyAlignment="1">
      <alignment horizontal="center" vertical="center" wrapText="1"/>
    </xf>
    <xf numFmtId="0" fontId="5" fillId="3" borderId="0" xfId="2" applyFont="1" applyBorder="1" applyAlignment="1">
      <alignment horizontal="center" vertical="center" wrapText="1"/>
    </xf>
    <xf numFmtId="0" fontId="5" fillId="3" borderId="28" xfId="2" applyFont="1" applyBorder="1" applyAlignment="1">
      <alignment horizontal="center" vertical="center" wrapText="1"/>
    </xf>
    <xf numFmtId="0" fontId="5" fillId="3" borderId="29" xfId="2" applyFont="1" applyBorder="1" applyAlignment="1">
      <alignment horizontal="center" vertical="center" wrapText="1"/>
    </xf>
    <xf numFmtId="0" fontId="5" fillId="3" borderId="30" xfId="2" applyFont="1" applyBorder="1" applyAlignment="1">
      <alignment horizontal="center" vertical="center" wrapText="1"/>
    </xf>
    <xf numFmtId="0" fontId="5" fillId="3" borderId="31" xfId="2" applyFont="1" applyBorder="1" applyAlignment="1">
      <alignment horizontal="center" vertical="center" wrapText="1"/>
    </xf>
    <xf numFmtId="0" fontId="5" fillId="3" borderId="1" xfId="2" applyFont="1" applyBorder="1" applyAlignment="1">
      <alignment horizontal="center"/>
    </xf>
    <xf numFmtId="0" fontId="7" fillId="4" borderId="1" xfId="3" applyFont="1" applyBorder="1" applyAlignment="1">
      <alignment horizontal="center" vertical="center" wrapText="1"/>
    </xf>
    <xf numFmtId="0" fontId="5" fillId="3" borderId="24" xfId="2" applyFont="1" applyBorder="1" applyAlignment="1">
      <alignment horizontal="center" vertical="center"/>
    </xf>
    <xf numFmtId="0" fontId="5" fillId="3" borderId="25" xfId="2" applyFont="1" applyBorder="1" applyAlignment="1">
      <alignment horizontal="center" vertical="center"/>
    </xf>
    <xf numFmtId="0" fontId="5" fillId="3" borderId="26" xfId="2" applyFont="1" applyBorder="1" applyAlignment="1">
      <alignment horizontal="center" vertical="center"/>
    </xf>
    <xf numFmtId="0" fontId="5" fillId="3" borderId="29" xfId="2" applyFont="1" applyBorder="1" applyAlignment="1">
      <alignment horizontal="center" vertical="center"/>
    </xf>
    <xf numFmtId="0" fontId="5" fillId="3" borderId="30" xfId="2" applyFont="1" applyBorder="1" applyAlignment="1">
      <alignment horizontal="center" vertical="center"/>
    </xf>
    <xf numFmtId="0" fontId="5" fillId="3" borderId="31" xfId="2" applyFont="1" applyBorder="1" applyAlignment="1">
      <alignment horizontal="center" vertical="center"/>
    </xf>
    <xf numFmtId="0" fontId="7" fillId="4" borderId="35" xfId="3" applyFont="1" applyBorder="1" applyAlignment="1">
      <alignment horizontal="center" vertical="center" wrapText="1"/>
    </xf>
    <xf numFmtId="0" fontId="7" fillId="4" borderId="36" xfId="3" applyFont="1" applyBorder="1" applyAlignment="1">
      <alignment horizontal="center" vertical="center" wrapText="1"/>
    </xf>
    <xf numFmtId="0" fontId="7" fillId="4" borderId="37" xfId="3" applyFont="1" applyBorder="1" applyAlignment="1">
      <alignment horizontal="center" vertical="center" wrapText="1"/>
    </xf>
    <xf numFmtId="0" fontId="7" fillId="4" borderId="38" xfId="3" applyFont="1" applyBorder="1" applyAlignment="1">
      <alignment horizontal="center" vertical="center" wrapText="1"/>
    </xf>
    <xf numFmtId="0" fontId="7" fillId="4" borderId="2" xfId="3" applyFont="1" applyBorder="1" applyAlignment="1">
      <alignment horizontal="center" vertical="center" wrapText="1"/>
    </xf>
    <xf numFmtId="0" fontId="7" fillId="4" borderId="39" xfId="3" applyFont="1" applyBorder="1" applyAlignment="1">
      <alignment horizontal="center" vertical="center" wrapText="1"/>
    </xf>
    <xf numFmtId="0" fontId="7" fillId="4" borderId="40" xfId="3" applyFont="1" applyBorder="1" applyAlignment="1">
      <alignment horizontal="center" vertical="center" wrapText="1"/>
    </xf>
    <xf numFmtId="0" fontId="7" fillId="4" borderId="41" xfId="3" applyFont="1" applyBorder="1" applyAlignment="1">
      <alignment horizontal="center" vertical="center" wrapText="1"/>
    </xf>
    <xf numFmtId="0" fontId="7" fillId="4" borderId="42" xfId="3" applyFont="1" applyBorder="1" applyAlignment="1">
      <alignment horizontal="center" vertical="center" wrapText="1"/>
    </xf>
    <xf numFmtId="0" fontId="5" fillId="3" borderId="24" xfId="2" applyFont="1" applyBorder="1" applyAlignment="1">
      <alignment horizontal="center" wrapText="1"/>
    </xf>
    <xf numFmtId="0" fontId="5" fillId="3" borderId="25" xfId="2" applyFont="1" applyBorder="1" applyAlignment="1">
      <alignment horizontal="center" wrapText="1"/>
    </xf>
    <xf numFmtId="0" fontId="5" fillId="3" borderId="26" xfId="2" applyFont="1" applyBorder="1" applyAlignment="1">
      <alignment horizontal="center" wrapText="1"/>
    </xf>
    <xf numFmtId="0" fontId="5" fillId="3" borderId="27" xfId="2" applyFont="1" applyBorder="1" applyAlignment="1">
      <alignment horizontal="center" wrapText="1"/>
    </xf>
    <xf numFmtId="0" fontId="5" fillId="3" borderId="28" xfId="2" applyFont="1" applyBorder="1" applyAlignment="1">
      <alignment horizontal="center" wrapText="1"/>
    </xf>
    <xf numFmtId="0" fontId="5" fillId="3" borderId="29" xfId="2" applyFont="1" applyBorder="1" applyAlignment="1">
      <alignment horizontal="center" wrapText="1"/>
    </xf>
    <xf numFmtId="0" fontId="5" fillId="3" borderId="30" xfId="2" applyFont="1" applyBorder="1" applyAlignment="1">
      <alignment horizontal="center" wrapText="1"/>
    </xf>
    <xf numFmtId="0" fontId="5" fillId="3" borderId="31" xfId="2" applyFont="1" applyBorder="1" applyAlignment="1">
      <alignment horizontal="center" wrapText="1"/>
    </xf>
    <xf numFmtId="0" fontId="4" fillId="2" borderId="1" xfId="1" applyFont="1" applyBorder="1" applyAlignment="1">
      <alignment horizontal="center" vertical="center" wrapText="1"/>
    </xf>
  </cellXfs>
  <cellStyles count="4">
    <cellStyle name="Bad" xfId="2" builtinId="27"/>
    <cellStyle name="Good" xfId="1" builtinId="26"/>
    <cellStyle name="Normal" xfId="0" builtinId="0"/>
    <cellStyle name="Note" xfId="3" builtinId="10"/>
  </cellStyles>
  <dxfs count="113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[Combo_Charts_Secondary_Axis_Practice.xlsx]Problem1!PivotTable23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vs Profit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Problem1!$N$5</c:f>
              <c:strCache>
                <c:ptCount val="1"/>
                <c:pt idx="0">
                  <c:v>Sum of Sales_Amount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Problem1!$M$6:$M$18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Problem1!$N$6:$N$18</c:f>
              <c:numCache>
                <c:formatCode>General</c:formatCode>
                <c:ptCount val="12"/>
                <c:pt idx="0">
                  <c:v>4510000</c:v>
                </c:pt>
                <c:pt idx="1">
                  <c:v>4820000</c:v>
                </c:pt>
                <c:pt idx="2">
                  <c:v>3390000</c:v>
                </c:pt>
                <c:pt idx="3">
                  <c:v>5260000</c:v>
                </c:pt>
                <c:pt idx="4">
                  <c:v>5490000</c:v>
                </c:pt>
                <c:pt idx="5">
                  <c:v>3610000</c:v>
                </c:pt>
                <c:pt idx="6">
                  <c:v>5740000</c:v>
                </c:pt>
                <c:pt idx="7">
                  <c:v>6020000</c:v>
                </c:pt>
                <c:pt idx="8">
                  <c:v>3850000</c:v>
                </c:pt>
                <c:pt idx="9">
                  <c:v>6280000</c:v>
                </c:pt>
                <c:pt idx="10">
                  <c:v>6950000</c:v>
                </c:pt>
                <c:pt idx="11">
                  <c:v>4320000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36-42E1-8DC0-49067E887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2395376"/>
        <c:axId val="1902396624"/>
      </c:barChart>
      <c:lineChart>
        <c:grouping val="standard"/>
        <c:varyColors val="0"/>
        <c:ser>
          <c:idx val="1"/>
          <c:order val="1"/>
          <c:tx>
            <c:strRef>
              <c:f>Problem1!$O$5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Problem1!$M$6:$M$18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Problem1!$O$6:$O$18</c:f>
              <c:numCache>
                <c:formatCode>General</c:formatCode>
                <c:ptCount val="12"/>
                <c:pt idx="0">
                  <c:v>598000</c:v>
                </c:pt>
                <c:pt idx="1">
                  <c:v>688000</c:v>
                </c:pt>
                <c:pt idx="2">
                  <c:v>484000</c:v>
                </c:pt>
                <c:pt idx="3">
                  <c:v>750900</c:v>
                </c:pt>
                <c:pt idx="4">
                  <c:v>783700</c:v>
                </c:pt>
                <c:pt idx="5">
                  <c:v>515200</c:v>
                </c:pt>
                <c:pt idx="6">
                  <c:v>819400</c:v>
                </c:pt>
                <c:pt idx="7">
                  <c:v>859300</c:v>
                </c:pt>
                <c:pt idx="8">
                  <c:v>549500</c:v>
                </c:pt>
                <c:pt idx="9">
                  <c:v>896400</c:v>
                </c:pt>
                <c:pt idx="10">
                  <c:v>992000</c:v>
                </c:pt>
                <c:pt idx="11">
                  <c:v>616600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36-42E1-8DC0-49067E887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2395376"/>
        <c:axId val="1902396624"/>
      </c:lineChart>
      <c:catAx>
        <c:axId val="1902395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396624"/>
        <c:crosses val="autoZero"/>
        <c:auto val="1"/>
        <c:lblAlgn val="ctr"/>
        <c:lblOffset val="100"/>
        <c:noMultiLvlLbl val="0"/>
      </c:catAx>
      <c:valAx>
        <c:axId val="190239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39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alpha val="7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[Combo_Charts_Secondary_Axis_Practice.xlsx]Problem2!PivotTable26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Sales &amp; Growth % Using Secondary Axis</a:t>
            </a:r>
            <a:endParaRPr lang="en-IN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Problem2!$O$5</c:f>
              <c:strCache>
                <c:ptCount val="1"/>
                <c:pt idx="0">
                  <c:v>Sum of Sales_Amount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Problem2!$N$6:$N$18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Problem2!$O$6:$O$18</c:f>
              <c:numCache>
                <c:formatCode>General</c:formatCode>
                <c:ptCount val="12"/>
                <c:pt idx="0">
                  <c:v>4510000</c:v>
                </c:pt>
                <c:pt idx="1">
                  <c:v>4820000</c:v>
                </c:pt>
                <c:pt idx="2">
                  <c:v>3390000</c:v>
                </c:pt>
                <c:pt idx="3">
                  <c:v>5260000</c:v>
                </c:pt>
                <c:pt idx="4">
                  <c:v>5490000</c:v>
                </c:pt>
                <c:pt idx="5">
                  <c:v>3610000</c:v>
                </c:pt>
                <c:pt idx="6">
                  <c:v>5740000</c:v>
                </c:pt>
                <c:pt idx="7">
                  <c:v>6020000</c:v>
                </c:pt>
                <c:pt idx="8">
                  <c:v>3850000</c:v>
                </c:pt>
                <c:pt idx="9">
                  <c:v>6280000</c:v>
                </c:pt>
                <c:pt idx="10">
                  <c:v>6950000</c:v>
                </c:pt>
                <c:pt idx="11">
                  <c:v>4320000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AA-463E-BBAC-CEF900A77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0515824"/>
        <c:axId val="1920515408"/>
      </c:barChart>
      <c:lineChart>
        <c:grouping val="standard"/>
        <c:varyColors val="0"/>
        <c:ser>
          <c:idx val="1"/>
          <c:order val="1"/>
          <c:tx>
            <c:strRef>
              <c:f>Problem2!$P$5</c:f>
              <c:strCache>
                <c:ptCount val="1"/>
                <c:pt idx="0">
                  <c:v>Average of Growth_%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Problem2!$N$6:$N$18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Problem2!$P$6:$P$18</c:f>
              <c:numCache>
                <c:formatCode>General</c:formatCode>
                <c:ptCount val="12"/>
                <c:pt idx="0">
                  <c:v>6.9</c:v>
                </c:pt>
                <c:pt idx="1">
                  <c:v>7.95</c:v>
                </c:pt>
                <c:pt idx="2">
                  <c:v>4.4249999999999998</c:v>
                </c:pt>
                <c:pt idx="3">
                  <c:v>9.85</c:v>
                </c:pt>
                <c:pt idx="4">
                  <c:v>11.100000000000001</c:v>
                </c:pt>
                <c:pt idx="5">
                  <c:v>6.3500000000000005</c:v>
                </c:pt>
                <c:pt idx="6">
                  <c:v>7.85</c:v>
                </c:pt>
                <c:pt idx="7">
                  <c:v>9.4750000000000014</c:v>
                </c:pt>
                <c:pt idx="8">
                  <c:v>5.25</c:v>
                </c:pt>
                <c:pt idx="9">
                  <c:v>8.8999999999999986</c:v>
                </c:pt>
                <c:pt idx="10">
                  <c:v>12.85</c:v>
                </c:pt>
                <c:pt idx="11">
                  <c:v>6.6999999999999993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AA-463E-BBAC-CEF900A77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26640"/>
        <c:axId val="1920510000"/>
      </c:lineChart>
      <c:catAx>
        <c:axId val="192051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15408"/>
        <c:crosses val="autoZero"/>
        <c:auto val="1"/>
        <c:lblAlgn val="ctr"/>
        <c:lblOffset val="100"/>
        <c:noMultiLvlLbl val="0"/>
      </c:catAx>
      <c:valAx>
        <c:axId val="192051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15824"/>
        <c:crosses val="autoZero"/>
        <c:crossBetween val="between"/>
      </c:valAx>
      <c:valAx>
        <c:axId val="192051000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26640"/>
        <c:crosses val="max"/>
        <c:crossBetween val="between"/>
      </c:valAx>
      <c:catAx>
        <c:axId val="19205266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205100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alpha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[Combo_Charts_Secondary_Axis_Practice.xlsx]Problem3!PivotTable41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Monthly Sales vs Orders</a:t>
            </a:r>
            <a:endParaRPr lang="en-IN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Problem3!$O$6</c:f>
              <c:strCache>
                <c:ptCount val="1"/>
                <c:pt idx="0">
                  <c:v>Sum of Sales_Amount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Problem3!$N$7:$N$19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Problem3!$O$7:$O$19</c:f>
              <c:numCache>
                <c:formatCode>General</c:formatCode>
                <c:ptCount val="12"/>
                <c:pt idx="0">
                  <c:v>4510000</c:v>
                </c:pt>
                <c:pt idx="1">
                  <c:v>4820000</c:v>
                </c:pt>
                <c:pt idx="2">
                  <c:v>3390000</c:v>
                </c:pt>
                <c:pt idx="3">
                  <c:v>5260000</c:v>
                </c:pt>
                <c:pt idx="4">
                  <c:v>5490000</c:v>
                </c:pt>
                <c:pt idx="5">
                  <c:v>3610000</c:v>
                </c:pt>
                <c:pt idx="6">
                  <c:v>5740000</c:v>
                </c:pt>
                <c:pt idx="7">
                  <c:v>6020000</c:v>
                </c:pt>
                <c:pt idx="8">
                  <c:v>3850000</c:v>
                </c:pt>
                <c:pt idx="9">
                  <c:v>6280000</c:v>
                </c:pt>
                <c:pt idx="10">
                  <c:v>6950000</c:v>
                </c:pt>
                <c:pt idx="11">
                  <c:v>4320000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97-41E0-8769-BF67E603D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159903"/>
        <c:axId val="158162399"/>
      </c:barChart>
      <c:lineChart>
        <c:grouping val="standard"/>
        <c:varyColors val="0"/>
        <c:ser>
          <c:idx val="1"/>
          <c:order val="1"/>
          <c:tx>
            <c:strRef>
              <c:f>Problem3!$P$6</c:f>
              <c:strCache>
                <c:ptCount val="1"/>
                <c:pt idx="0">
                  <c:v>Sum of Orders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Problem3!$N$7:$N$19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Problem3!$P$7:$P$19</c:f>
              <c:numCache>
                <c:formatCode>General</c:formatCode>
                <c:ptCount val="12"/>
                <c:pt idx="0">
                  <c:v>364</c:v>
                </c:pt>
                <c:pt idx="1">
                  <c:v>813</c:v>
                </c:pt>
                <c:pt idx="2">
                  <c:v>486</c:v>
                </c:pt>
                <c:pt idx="3">
                  <c:v>415</c:v>
                </c:pt>
                <c:pt idx="4">
                  <c:v>929</c:v>
                </c:pt>
                <c:pt idx="5">
                  <c:v>535</c:v>
                </c:pt>
                <c:pt idx="6">
                  <c:v>451</c:v>
                </c:pt>
                <c:pt idx="7">
                  <c:v>1012</c:v>
                </c:pt>
                <c:pt idx="8">
                  <c:v>573</c:v>
                </c:pt>
                <c:pt idx="9">
                  <c:v>494</c:v>
                </c:pt>
                <c:pt idx="10">
                  <c:v>1160</c:v>
                </c:pt>
                <c:pt idx="11">
                  <c:v>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97-41E0-8769-BF67E603D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6733392"/>
        <c:axId val="1986735888"/>
      </c:lineChart>
      <c:catAx>
        <c:axId val="15815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62399"/>
        <c:crosses val="autoZero"/>
        <c:auto val="1"/>
        <c:lblAlgn val="ctr"/>
        <c:lblOffset val="100"/>
        <c:noMultiLvlLbl val="0"/>
      </c:catAx>
      <c:valAx>
        <c:axId val="15816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59903"/>
        <c:crosses val="autoZero"/>
        <c:crossBetween val="between"/>
      </c:valAx>
      <c:valAx>
        <c:axId val="19867358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733392"/>
        <c:crosses val="max"/>
        <c:crossBetween val="between"/>
      </c:valAx>
      <c:catAx>
        <c:axId val="19867333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867358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alpha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Monthly Profit vs Profit Margin</a:t>
            </a:r>
            <a:endParaRPr lang="en-IN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Problrm4!$L$5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Problrm4!$K$6:$K$17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Problrm4!$L$6:$L$17</c:f>
              <c:numCache>
                <c:formatCode>General</c:formatCode>
                <c:ptCount val="12"/>
                <c:pt idx="0">
                  <c:v>598000</c:v>
                </c:pt>
                <c:pt idx="1">
                  <c:v>688000</c:v>
                </c:pt>
                <c:pt idx="2">
                  <c:v>484000</c:v>
                </c:pt>
                <c:pt idx="3">
                  <c:v>750900</c:v>
                </c:pt>
                <c:pt idx="4">
                  <c:v>783700</c:v>
                </c:pt>
                <c:pt idx="5">
                  <c:v>515200</c:v>
                </c:pt>
                <c:pt idx="6">
                  <c:v>819400</c:v>
                </c:pt>
                <c:pt idx="7">
                  <c:v>859300</c:v>
                </c:pt>
                <c:pt idx="8">
                  <c:v>549500</c:v>
                </c:pt>
                <c:pt idx="9">
                  <c:v>896400</c:v>
                </c:pt>
                <c:pt idx="10">
                  <c:v>992000</c:v>
                </c:pt>
                <c:pt idx="11">
                  <c:v>616600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0C-4694-A412-EF3F1CC4D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3228784"/>
        <c:axId val="1493229200"/>
      </c:barChart>
      <c:lineChart>
        <c:grouping val="standard"/>
        <c:varyColors val="0"/>
        <c:ser>
          <c:idx val="1"/>
          <c:order val="1"/>
          <c:tx>
            <c:strRef>
              <c:f>Problrm4!$M$5</c:f>
              <c:strCache>
                <c:ptCount val="1"/>
                <c:pt idx="0">
                  <c:v>Profit Margin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Problrm4!$K$6:$K$17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Problrm4!$M$6:$M$17</c:f>
              <c:numCache>
                <c:formatCode>0.00%</c:formatCode>
                <c:ptCount val="12"/>
                <c:pt idx="0">
                  <c:v>0.13259423503325943</c:v>
                </c:pt>
                <c:pt idx="1">
                  <c:v>0.14273858921161825</c:v>
                </c:pt>
                <c:pt idx="2">
                  <c:v>0.14277286135693215</c:v>
                </c:pt>
                <c:pt idx="3">
                  <c:v>0.14275665399239543</c:v>
                </c:pt>
                <c:pt idx="4">
                  <c:v>0.14275045537340619</c:v>
                </c:pt>
                <c:pt idx="5">
                  <c:v>0.14271468144044322</c:v>
                </c:pt>
                <c:pt idx="6">
                  <c:v>0.14275261324041813</c:v>
                </c:pt>
                <c:pt idx="7">
                  <c:v>0.14274086378737541</c:v>
                </c:pt>
                <c:pt idx="8">
                  <c:v>0.14272727272727273</c:v>
                </c:pt>
                <c:pt idx="9">
                  <c:v>0.14273885350318471</c:v>
                </c:pt>
                <c:pt idx="10">
                  <c:v>0.1427338129496403</c:v>
                </c:pt>
                <c:pt idx="11">
                  <c:v>0.14273148148148149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0C-4694-A412-EF3F1CC4D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226704"/>
        <c:axId val="1493227120"/>
      </c:lineChart>
      <c:catAx>
        <c:axId val="149322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229200"/>
        <c:crosses val="autoZero"/>
        <c:auto val="1"/>
        <c:lblAlgn val="ctr"/>
        <c:lblOffset val="100"/>
        <c:noMultiLvlLbl val="0"/>
      </c:catAx>
      <c:valAx>
        <c:axId val="149322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228784"/>
        <c:crosses val="autoZero"/>
        <c:crossBetween val="between"/>
      </c:valAx>
      <c:valAx>
        <c:axId val="149322712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226704"/>
        <c:crosses val="max"/>
        <c:crossBetween val="between"/>
      </c:valAx>
      <c:catAx>
        <c:axId val="1493226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3227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alpha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[Combo_Charts_Secondary_Axis_Practice.xlsx]Problem5!PivotTable45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Regional Performance</a:t>
            </a:r>
            <a:endParaRPr lang="en-IN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Problem5!$O$5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Problem5!$N$6:$N$10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  <c:pt idx="3">
                  <c:v>East</c:v>
                </c:pt>
              </c:strCache>
            </c:strRef>
          </c:cat>
          <c:val>
            <c:numRef>
              <c:f>Problem5!$O$6:$O$10</c:f>
              <c:numCache>
                <c:formatCode>General</c:formatCode>
                <c:ptCount val="4"/>
                <c:pt idx="0">
                  <c:v>16510000</c:v>
                </c:pt>
                <c:pt idx="1">
                  <c:v>15640000</c:v>
                </c:pt>
                <c:pt idx="2">
                  <c:v>14800000</c:v>
                </c:pt>
                <c:pt idx="3">
                  <c:v>13290000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73-4A24-8B27-7B2DE4824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1244768"/>
        <c:axId val="1991243936"/>
      </c:barChart>
      <c:lineChart>
        <c:grouping val="standard"/>
        <c:varyColors val="0"/>
        <c:ser>
          <c:idx val="1"/>
          <c:order val="1"/>
          <c:tx>
            <c:strRef>
              <c:f>Problem5!$P$5</c:f>
              <c:strCache>
                <c:ptCount val="1"/>
                <c:pt idx="0">
                  <c:v>Profits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Problem5!$N$6:$N$10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  <c:pt idx="3">
                  <c:v>East</c:v>
                </c:pt>
              </c:strCache>
            </c:strRef>
          </c:cat>
          <c:val>
            <c:numRef>
              <c:f>Problem5!$P$6:$P$10</c:f>
              <c:numCache>
                <c:formatCode>General</c:formatCode>
                <c:ptCount val="4"/>
                <c:pt idx="0">
                  <c:v>2464000</c:v>
                </c:pt>
                <c:pt idx="1">
                  <c:v>2177200</c:v>
                </c:pt>
                <c:pt idx="2">
                  <c:v>2061800</c:v>
                </c:pt>
                <c:pt idx="3">
                  <c:v>1850000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73-4A24-8B27-7B2DE4824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1244352"/>
        <c:axId val="1991241856"/>
      </c:lineChart>
      <c:catAx>
        <c:axId val="199124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243936"/>
        <c:crosses val="autoZero"/>
        <c:auto val="1"/>
        <c:lblAlgn val="ctr"/>
        <c:lblOffset val="100"/>
        <c:noMultiLvlLbl val="0"/>
      </c:catAx>
      <c:valAx>
        <c:axId val="199124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244768"/>
        <c:crosses val="autoZero"/>
        <c:crossBetween val="between"/>
      </c:valAx>
      <c:valAx>
        <c:axId val="19912418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244352"/>
        <c:crosses val="max"/>
        <c:crossBetween val="between"/>
      </c:valAx>
      <c:catAx>
        <c:axId val="19912443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91241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alpha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505776</xdr:colOff>
      <xdr:row>18</xdr:row>
      <xdr:rowOff>108584</xdr:rowOff>
    </xdr:from>
    <xdr:to>
      <xdr:col>17</xdr:col>
      <xdr:colOff>95249</xdr:colOff>
      <xdr:row>38</xdr:row>
      <xdr:rowOff>70484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7FFFF2-2231-42C8-997B-76B4DEEE7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110490</xdr:colOff>
      <xdr:row>18</xdr:row>
      <xdr:rowOff>47625</xdr:rowOff>
    </xdr:from>
    <xdr:to>
      <xdr:col>17</xdr:col>
      <xdr:colOff>563880</xdr:colOff>
      <xdr:row>38</xdr:row>
      <xdr:rowOff>93345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454F59-DFAA-43A4-8745-DB4CBB80C4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19</xdr:row>
      <xdr:rowOff>171449</xdr:rowOff>
    </xdr:from>
    <xdr:to>
      <xdr:col>20</xdr:col>
      <xdr:colOff>11430</xdr:colOff>
      <xdr:row>39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598863-AFF5-4EF4-9606-8D1E27149F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28574</xdr:colOff>
      <xdr:row>17</xdr:row>
      <xdr:rowOff>62866</xdr:rowOff>
    </xdr:from>
    <xdr:to>
      <xdr:col>18</xdr:col>
      <xdr:colOff>581024</xdr:colOff>
      <xdr:row>37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3FAD23-E333-4DF8-80EE-25506315D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</xdr:colOff>
      <xdr:row>10</xdr:row>
      <xdr:rowOff>57150</xdr:rowOff>
    </xdr:from>
    <xdr:to>
      <xdr:col>19</xdr:col>
      <xdr:colOff>36195</xdr:colOff>
      <xdr:row>26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B953B6-E6EF-41B4-A236-AEED21626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uptik Beg" refreshedDate="46245.447831481484" createdVersion="7" refreshedVersion="7" minRefreshableVersion="3" recordCount="48" xr:uid="{89B24696-D89F-4D61-BB58-99796643DD99}">
  <cacheSource type="worksheet">
    <worksheetSource name="Table1"/>
  </cacheSource>
  <cacheFields count="9">
    <cacheField name="Month" numFmtId="0">
      <sharedItems count="12"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  <cacheField name="Region" numFmtId="0">
      <sharedItems/>
    </cacheField>
    <cacheField name="Product" numFmtId="0">
      <sharedItems/>
    </cacheField>
    <cacheField name="Sales_Amount" numFmtId="0">
      <sharedItems containsSemiMixedTypes="0" containsString="0" containsNumber="1" containsInteger="1" minValue="760000" maxValue="1900000" count="43">
        <n v="1250000"/>
        <n v="1180000"/>
        <n v="980000"/>
        <n v="1100000"/>
        <n v="1320000"/>
        <n v="1260000"/>
        <n v="1050000"/>
        <n v="1190000"/>
        <n v="920000"/>
        <n v="870000"/>
        <n v="760000"/>
        <n v="840000"/>
        <n v="1450000"/>
        <n v="1370000"/>
        <n v="1150000"/>
        <n v="1290000"/>
        <n v="1510000"/>
        <n v="1430000"/>
        <n v="1210000"/>
        <n v="1340000"/>
        <n v="930000"/>
        <n v="810000"/>
        <n v="890000"/>
        <n v="1580000"/>
        <n v="1490000"/>
        <n v="1410000"/>
        <n v="1650000"/>
        <n v="1570000"/>
        <n v="1480000"/>
        <n v="990000"/>
        <n v="860000"/>
        <n v="950000"/>
        <n v="1720000"/>
        <n v="1630000"/>
        <n v="1390000"/>
        <n v="1540000"/>
        <n v="1900000"/>
        <n v="1810000"/>
        <n v="1530000"/>
        <n v="1710000"/>
        <n v="1110000"/>
        <n v="970000"/>
        <n v="1060000"/>
      </sharedItems>
    </cacheField>
    <cacheField name="Profit" numFmtId="0">
      <sharedItems containsSemiMixedTypes="0" containsString="0" containsNumber="1" containsInteger="1" minValue="106000" maxValue="285000"/>
    </cacheField>
    <cacheField name="Units_Sold" numFmtId="0">
      <sharedItems containsSemiMixedTypes="0" containsString="0" containsNumber="1" containsInteger="1" minValue="110" maxValue="435"/>
    </cacheField>
    <cacheField name="Growth_%" numFmtId="0">
      <sharedItems containsSemiMixedTypes="0" containsString="0" containsNumber="1" minValue="3.8" maxValue="14.2"/>
    </cacheField>
    <cacheField name="Orders" numFmtId="0">
      <sharedItems containsSemiMixedTypes="0" containsString="0" containsNumber="1" containsInteger="1" minValue="79" maxValue="313"/>
    </cacheField>
    <cacheField name="Profit_Margin_%" numFmtId="0">
      <sharedItems containsSemiMixedTypes="0" containsString="0" containsNumber="1" minValue="12.96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uptik Beg" refreshedDate="46245.456887152781" createdVersion="7" refreshedVersion="7" minRefreshableVersion="3" recordCount="48" xr:uid="{D723D839-D9D7-44FD-82F9-07257310BD1A}">
  <cacheSource type="worksheet">
    <worksheetSource name="Table13"/>
  </cacheSource>
  <cacheFields count="9">
    <cacheField name="Month" numFmtId="0">
      <sharedItems count="12"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  <cacheField name="Region" numFmtId="0">
      <sharedItems/>
    </cacheField>
    <cacheField name="Product" numFmtId="0">
      <sharedItems/>
    </cacheField>
    <cacheField name="Sales_Amount" numFmtId="0">
      <sharedItems containsSemiMixedTypes="0" containsString="0" containsNumber="1" containsInteger="1" minValue="760000" maxValue="1900000"/>
    </cacheField>
    <cacheField name="Profit" numFmtId="0">
      <sharedItems containsSemiMixedTypes="0" containsString="0" containsNumber="1" containsInteger="1" minValue="106000" maxValue="285000"/>
    </cacheField>
    <cacheField name="Units_Sold" numFmtId="0">
      <sharedItems containsSemiMixedTypes="0" containsString="0" containsNumber="1" containsInteger="1" minValue="110" maxValue="435"/>
    </cacheField>
    <cacheField name="Growth_%" numFmtId="0">
      <sharedItems containsSemiMixedTypes="0" containsString="0" containsNumber="1" minValue="3.8" maxValue="14.2"/>
    </cacheField>
    <cacheField name="Orders" numFmtId="0">
      <sharedItems containsSemiMixedTypes="0" containsString="0" containsNumber="1" containsInteger="1" minValue="79" maxValue="313"/>
    </cacheField>
    <cacheField name="Profit_Margin_%" numFmtId="0">
      <sharedItems containsSemiMixedTypes="0" containsString="0" containsNumber="1" minValue="12.96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uptik Beg" refreshedDate="46245.46401747685" createdVersion="7" refreshedVersion="7" minRefreshableVersion="3" recordCount="48" xr:uid="{B8EAE495-FDE5-4D0F-8F2F-0364F46E0A9E}">
  <cacheSource type="worksheet">
    <worksheetSource name="Table134"/>
  </cacheSource>
  <cacheFields count="9">
    <cacheField name="Month" numFmtId="0">
      <sharedItems count="12"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  <cacheField name="Region" numFmtId="0">
      <sharedItems/>
    </cacheField>
    <cacheField name="Product" numFmtId="0">
      <sharedItems/>
    </cacheField>
    <cacheField name="Sales_Amount" numFmtId="0">
      <sharedItems containsSemiMixedTypes="0" containsString="0" containsNumber="1" containsInteger="1" minValue="760000" maxValue="1900000"/>
    </cacheField>
    <cacheField name="Profit" numFmtId="0">
      <sharedItems containsSemiMixedTypes="0" containsString="0" containsNumber="1" containsInteger="1" minValue="106000" maxValue="285000"/>
    </cacheField>
    <cacheField name="Units_Sold" numFmtId="0">
      <sharedItems containsSemiMixedTypes="0" containsString="0" containsNumber="1" containsInteger="1" minValue="110" maxValue="435"/>
    </cacheField>
    <cacheField name="Growth_%" numFmtId="0">
      <sharedItems containsSemiMixedTypes="0" containsString="0" containsNumber="1" minValue="3.8" maxValue="14.2"/>
    </cacheField>
    <cacheField name="Orders" numFmtId="0">
      <sharedItems containsSemiMixedTypes="0" containsString="0" containsNumber="1" containsInteger="1" minValue="79" maxValue="313"/>
    </cacheField>
    <cacheField name="Profit_Margin_%" numFmtId="0">
      <sharedItems containsSemiMixedTypes="0" containsString="0" containsNumber="1" minValue="12.96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uptik Beg" refreshedDate="46245.51920613426" createdVersion="7" refreshedVersion="7" minRefreshableVersion="3" recordCount="48" xr:uid="{A5247EBE-C73E-41BD-AA24-DF81B45EA9B2}">
  <cacheSource type="worksheet">
    <worksheetSource name="Table15"/>
  </cacheSource>
  <cacheFields count="9">
    <cacheField name="Month" numFmtId="0">
      <sharedItems count="12"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  <cacheField name="Region" numFmtId="0">
      <sharedItems/>
    </cacheField>
    <cacheField name="Product" numFmtId="0">
      <sharedItems/>
    </cacheField>
    <cacheField name="Sales_Amount" numFmtId="0">
      <sharedItems containsSemiMixedTypes="0" containsString="0" containsNumber="1" containsInteger="1" minValue="760000" maxValue="1900000" count="43">
        <n v="1250000"/>
        <n v="1180000"/>
        <n v="980000"/>
        <n v="1100000"/>
        <n v="1320000"/>
        <n v="1260000"/>
        <n v="1050000"/>
        <n v="1190000"/>
        <n v="920000"/>
        <n v="870000"/>
        <n v="760000"/>
        <n v="840000"/>
        <n v="1450000"/>
        <n v="1370000"/>
        <n v="1150000"/>
        <n v="1290000"/>
        <n v="1510000"/>
        <n v="1430000"/>
        <n v="1210000"/>
        <n v="1340000"/>
        <n v="930000"/>
        <n v="810000"/>
        <n v="890000"/>
        <n v="1580000"/>
        <n v="1490000"/>
        <n v="1410000"/>
        <n v="1650000"/>
        <n v="1570000"/>
        <n v="1480000"/>
        <n v="990000"/>
        <n v="860000"/>
        <n v="950000"/>
        <n v="1720000"/>
        <n v="1630000"/>
        <n v="1390000"/>
        <n v="1540000"/>
        <n v="1900000"/>
        <n v="1810000"/>
        <n v="1530000"/>
        <n v="1710000"/>
        <n v="1110000"/>
        <n v="970000"/>
        <n v="1060000"/>
      </sharedItems>
    </cacheField>
    <cacheField name="Profit" numFmtId="0">
      <sharedItems containsSemiMixedTypes="0" containsString="0" containsNumber="1" containsInteger="1" minValue="106000" maxValue="285000"/>
    </cacheField>
    <cacheField name="Units_Sold" numFmtId="0">
      <sharedItems containsSemiMixedTypes="0" containsString="0" containsNumber="1" containsInteger="1" minValue="110" maxValue="435"/>
    </cacheField>
    <cacheField name="Growth_%" numFmtId="0">
      <sharedItems containsSemiMixedTypes="0" containsString="0" containsNumber="1" minValue="3.8" maxValue="14.2"/>
    </cacheField>
    <cacheField name="Orders" numFmtId="0">
      <sharedItems containsSemiMixedTypes="0" containsString="0" containsNumber="1" containsInteger="1" minValue="79" maxValue="313"/>
    </cacheField>
    <cacheField name="Profit_Margin_%" numFmtId="0">
      <sharedItems containsSemiMixedTypes="0" containsString="0" containsNumber="1" minValue="12.96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uptik Beg" refreshedDate="46245.55169375" createdVersion="7" refreshedVersion="7" minRefreshableVersion="3" recordCount="48" xr:uid="{10814F12-7495-4654-BFD8-901C91FFF452}">
  <cacheSource type="worksheet">
    <worksheetSource name="Table158"/>
  </cacheSource>
  <cacheFields count="9">
    <cacheField name="Month" numFmtId="0">
      <sharedItems count="12"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/>
    </cacheField>
    <cacheField name="Sales_Amount" numFmtId="0">
      <sharedItems containsSemiMixedTypes="0" containsString="0" containsNumber="1" containsInteger="1" minValue="760000" maxValue="1900000"/>
    </cacheField>
    <cacheField name="Profit" numFmtId="0">
      <sharedItems containsSemiMixedTypes="0" containsString="0" containsNumber="1" containsInteger="1" minValue="106000" maxValue="285000"/>
    </cacheField>
    <cacheField name="Units_Sold" numFmtId="0">
      <sharedItems containsSemiMixedTypes="0" containsString="0" containsNumber="1" containsInteger="1" minValue="110" maxValue="435"/>
    </cacheField>
    <cacheField name="Growth_%" numFmtId="0">
      <sharedItems containsSemiMixedTypes="0" containsString="0" containsNumber="1" minValue="3.8" maxValue="14.2"/>
    </cacheField>
    <cacheField name="Orders" numFmtId="0">
      <sharedItems containsSemiMixedTypes="0" containsString="0" containsNumber="1" containsInteger="1" minValue="79" maxValue="313"/>
    </cacheField>
    <cacheField name="Profit_Margin_%" numFmtId="0">
      <sharedItems containsSemiMixedTypes="0" containsString="0" containsNumber="1" minValue="12.96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s v="North"/>
    <s v="Laptop"/>
    <x v="0"/>
    <n v="175000"/>
    <n v="140"/>
    <n v="8.1999999999999993"/>
    <n v="101"/>
    <n v="14"/>
  </r>
  <r>
    <x v="0"/>
    <s v="South"/>
    <s v="Laptop"/>
    <x v="1"/>
    <n v="153000"/>
    <n v="132"/>
    <n v="6.5"/>
    <n v="95"/>
    <n v="12.97"/>
  </r>
  <r>
    <x v="0"/>
    <s v="East"/>
    <s v="Laptop"/>
    <x v="2"/>
    <n v="127000"/>
    <n v="110"/>
    <n v="5.8"/>
    <n v="79"/>
    <n v="12.96"/>
  </r>
  <r>
    <x v="0"/>
    <s v="West"/>
    <s v="Laptop"/>
    <x v="3"/>
    <n v="143000"/>
    <n v="124"/>
    <n v="7.1"/>
    <n v="89"/>
    <n v="13"/>
  </r>
  <r>
    <x v="1"/>
    <s v="North"/>
    <s v="Mobile"/>
    <x v="4"/>
    <n v="198000"/>
    <n v="310"/>
    <n v="9.6"/>
    <n v="223"/>
    <n v="15"/>
  </r>
  <r>
    <x v="1"/>
    <s v="South"/>
    <s v="Mobile"/>
    <x v="5"/>
    <n v="176000"/>
    <n v="295"/>
    <n v="6.8"/>
    <n v="212"/>
    <n v="13.97"/>
  </r>
  <r>
    <x v="1"/>
    <s v="East"/>
    <s v="Mobile"/>
    <x v="6"/>
    <n v="147000"/>
    <n v="248"/>
    <n v="7.1"/>
    <n v="179"/>
    <n v="14"/>
  </r>
  <r>
    <x v="1"/>
    <s v="West"/>
    <s v="Mobile"/>
    <x v="7"/>
    <n v="167000"/>
    <n v="276"/>
    <n v="8.3000000000000007"/>
    <n v="199"/>
    <n v="14.03"/>
  </r>
  <r>
    <x v="2"/>
    <s v="North"/>
    <s v="Tablet"/>
    <x v="8"/>
    <n v="138000"/>
    <n v="185"/>
    <n v="4.2"/>
    <n v="133"/>
    <n v="15"/>
  </r>
  <r>
    <x v="2"/>
    <s v="South"/>
    <s v="Tablet"/>
    <x v="9"/>
    <n v="122000"/>
    <n v="172"/>
    <n v="3.8"/>
    <n v="124"/>
    <n v="14.02"/>
  </r>
  <r>
    <x v="2"/>
    <s v="East"/>
    <s v="Tablet"/>
    <x v="10"/>
    <n v="106000"/>
    <n v="151"/>
    <n v="4.5999999999999996"/>
    <n v="109"/>
    <n v="13.95"/>
  </r>
  <r>
    <x v="2"/>
    <s v="West"/>
    <s v="Tablet"/>
    <x v="11"/>
    <n v="118000"/>
    <n v="166"/>
    <n v="5.0999999999999996"/>
    <n v="120"/>
    <n v="14.05"/>
  </r>
  <r>
    <x v="3"/>
    <s v="North"/>
    <s v="Laptop"/>
    <x v="12"/>
    <n v="217500"/>
    <n v="158"/>
    <n v="11.4"/>
    <n v="114"/>
    <n v="15"/>
  </r>
  <r>
    <x v="3"/>
    <s v="South"/>
    <s v="Laptop"/>
    <x v="13"/>
    <n v="191800"/>
    <n v="149"/>
    <n v="9.1999999999999993"/>
    <n v="107"/>
    <n v="14"/>
  </r>
  <r>
    <x v="3"/>
    <s v="East"/>
    <s v="Laptop"/>
    <x v="14"/>
    <n v="161000"/>
    <n v="128"/>
    <n v="8.6999999999999993"/>
    <n v="92"/>
    <n v="14"/>
  </r>
  <r>
    <x v="3"/>
    <s v="West"/>
    <s v="Laptop"/>
    <x v="15"/>
    <n v="180600"/>
    <n v="141"/>
    <n v="10.1"/>
    <n v="102"/>
    <n v="14"/>
  </r>
  <r>
    <x v="4"/>
    <s v="North"/>
    <s v="Mobile"/>
    <x v="16"/>
    <n v="226500"/>
    <n v="352"/>
    <n v="12.8"/>
    <n v="253"/>
    <n v="15"/>
  </r>
  <r>
    <x v="4"/>
    <s v="South"/>
    <s v="Mobile"/>
    <x v="17"/>
    <n v="200200"/>
    <n v="337"/>
    <n v="10.6"/>
    <n v="243"/>
    <n v="14"/>
  </r>
  <r>
    <x v="4"/>
    <s v="East"/>
    <s v="Mobile"/>
    <x v="18"/>
    <n v="169400"/>
    <n v="286"/>
    <n v="9.8000000000000007"/>
    <n v="206"/>
    <n v="14"/>
  </r>
  <r>
    <x v="4"/>
    <s v="West"/>
    <s v="Mobile"/>
    <x v="19"/>
    <n v="187600"/>
    <n v="315"/>
    <n v="11.2"/>
    <n v="227"/>
    <n v="14"/>
  </r>
  <r>
    <x v="5"/>
    <s v="North"/>
    <s v="Tablet"/>
    <x v="2"/>
    <n v="147000"/>
    <n v="202"/>
    <n v="6.5"/>
    <n v="145"/>
    <n v="15"/>
  </r>
  <r>
    <x v="5"/>
    <s v="South"/>
    <s v="Tablet"/>
    <x v="20"/>
    <n v="130200"/>
    <n v="191"/>
    <n v="5.9"/>
    <n v="138"/>
    <n v="14"/>
  </r>
  <r>
    <x v="5"/>
    <s v="East"/>
    <s v="Tablet"/>
    <x v="21"/>
    <n v="113400"/>
    <n v="169"/>
    <n v="6.2"/>
    <n v="122"/>
    <n v="14"/>
  </r>
  <r>
    <x v="5"/>
    <s v="West"/>
    <s v="Tablet"/>
    <x v="22"/>
    <n v="124600"/>
    <n v="181"/>
    <n v="6.8"/>
    <n v="130"/>
    <n v="14"/>
  </r>
  <r>
    <x v="6"/>
    <s v="North"/>
    <s v="Laptop"/>
    <x v="23"/>
    <n v="237000"/>
    <n v="171"/>
    <n v="8.9"/>
    <n v="123"/>
    <n v="15"/>
  </r>
  <r>
    <x v="6"/>
    <s v="South"/>
    <s v="Laptop"/>
    <x v="24"/>
    <n v="208600"/>
    <n v="162"/>
    <n v="7.4"/>
    <n v="117"/>
    <n v="14"/>
  </r>
  <r>
    <x v="6"/>
    <s v="East"/>
    <s v="Laptop"/>
    <x v="5"/>
    <n v="176400"/>
    <n v="139"/>
    <n v="7.1"/>
    <n v="100"/>
    <n v="14"/>
  </r>
  <r>
    <x v="6"/>
    <s v="West"/>
    <s v="Laptop"/>
    <x v="25"/>
    <n v="197400"/>
    <n v="154"/>
    <n v="8"/>
    <n v="111"/>
    <n v="14"/>
  </r>
  <r>
    <x v="7"/>
    <s v="North"/>
    <s v="Mobile"/>
    <x v="26"/>
    <n v="247500"/>
    <n v="381"/>
    <n v="10.5"/>
    <n v="274"/>
    <n v="15"/>
  </r>
  <r>
    <x v="7"/>
    <s v="South"/>
    <s v="Mobile"/>
    <x v="27"/>
    <n v="219800"/>
    <n v="366"/>
    <n v="9.1"/>
    <n v="264"/>
    <n v="14"/>
  </r>
  <r>
    <x v="7"/>
    <s v="East"/>
    <s v="Mobile"/>
    <x v="4"/>
    <n v="184800"/>
    <n v="314"/>
    <n v="8.6"/>
    <n v="226"/>
    <n v="14"/>
  </r>
  <r>
    <x v="7"/>
    <s v="West"/>
    <s v="Mobile"/>
    <x v="28"/>
    <n v="207200"/>
    <n v="345"/>
    <n v="9.6999999999999993"/>
    <n v="248"/>
    <n v="14"/>
  </r>
  <r>
    <x v="8"/>
    <s v="North"/>
    <s v="Tablet"/>
    <x v="6"/>
    <n v="157500"/>
    <n v="218"/>
    <n v="5.4"/>
    <n v="157"/>
    <n v="15"/>
  </r>
  <r>
    <x v="8"/>
    <s v="South"/>
    <s v="Tablet"/>
    <x v="29"/>
    <n v="138600"/>
    <n v="204"/>
    <n v="4.8"/>
    <n v="147"/>
    <n v="14"/>
  </r>
  <r>
    <x v="8"/>
    <s v="East"/>
    <s v="Tablet"/>
    <x v="30"/>
    <n v="120400"/>
    <n v="179"/>
    <n v="5.0999999999999996"/>
    <n v="129"/>
    <n v="14"/>
  </r>
  <r>
    <x v="8"/>
    <s v="West"/>
    <s v="Tablet"/>
    <x v="31"/>
    <n v="133000"/>
    <n v="195"/>
    <n v="5.7"/>
    <n v="140"/>
    <n v="14"/>
  </r>
  <r>
    <x v="9"/>
    <s v="North"/>
    <s v="Laptop"/>
    <x v="32"/>
    <n v="258000"/>
    <n v="188"/>
    <n v="9.8000000000000007"/>
    <n v="135"/>
    <n v="15"/>
  </r>
  <r>
    <x v="9"/>
    <s v="South"/>
    <s v="Laptop"/>
    <x v="33"/>
    <n v="228200"/>
    <n v="177"/>
    <n v="8.6"/>
    <n v="127"/>
    <n v="14"/>
  </r>
  <r>
    <x v="9"/>
    <s v="East"/>
    <s v="Laptop"/>
    <x v="34"/>
    <n v="194600"/>
    <n v="153"/>
    <n v="8"/>
    <n v="110"/>
    <n v="14"/>
  </r>
  <r>
    <x v="9"/>
    <s v="West"/>
    <s v="Laptop"/>
    <x v="35"/>
    <n v="215600"/>
    <n v="169"/>
    <n v="9.1999999999999993"/>
    <n v="122"/>
    <n v="14"/>
  </r>
  <r>
    <x v="10"/>
    <s v="North"/>
    <s v="Mobile"/>
    <x v="36"/>
    <n v="285000"/>
    <n v="435"/>
    <n v="14.2"/>
    <n v="313"/>
    <n v="15"/>
  </r>
  <r>
    <x v="10"/>
    <s v="South"/>
    <s v="Mobile"/>
    <x v="37"/>
    <n v="253400"/>
    <n v="418"/>
    <n v="12.5"/>
    <n v="301"/>
    <n v="14"/>
  </r>
  <r>
    <x v="10"/>
    <s v="East"/>
    <s v="Mobile"/>
    <x v="38"/>
    <n v="214200"/>
    <n v="362"/>
    <n v="11.6"/>
    <n v="261"/>
    <n v="14"/>
  </r>
  <r>
    <x v="10"/>
    <s v="West"/>
    <s v="Mobile"/>
    <x v="39"/>
    <n v="239400"/>
    <n v="396"/>
    <n v="13.1"/>
    <n v="285"/>
    <n v="14"/>
  </r>
  <r>
    <x v="11"/>
    <s v="North"/>
    <s v="Tablet"/>
    <x v="1"/>
    <n v="177000"/>
    <n v="246"/>
    <n v="7.3"/>
    <n v="177"/>
    <n v="15"/>
  </r>
  <r>
    <x v="11"/>
    <s v="South"/>
    <s v="Tablet"/>
    <x v="40"/>
    <n v="155400"/>
    <n v="231"/>
    <n v="6.5"/>
    <n v="166"/>
    <n v="14"/>
  </r>
  <r>
    <x v="11"/>
    <s v="East"/>
    <s v="Tablet"/>
    <x v="41"/>
    <n v="135800"/>
    <n v="202"/>
    <n v="6.1"/>
    <n v="145"/>
    <n v="14"/>
  </r>
  <r>
    <x v="11"/>
    <s v="West"/>
    <s v="Tablet"/>
    <x v="42"/>
    <n v="148400"/>
    <n v="219"/>
    <n v="6.9"/>
    <n v="158"/>
    <n v="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s v="North"/>
    <s v="Laptop"/>
    <n v="1250000"/>
    <n v="175000"/>
    <n v="140"/>
    <n v="8.1999999999999993"/>
    <n v="101"/>
    <n v="14"/>
  </r>
  <r>
    <x v="0"/>
    <s v="South"/>
    <s v="Laptop"/>
    <n v="1180000"/>
    <n v="153000"/>
    <n v="132"/>
    <n v="6.5"/>
    <n v="95"/>
    <n v="12.97"/>
  </r>
  <r>
    <x v="0"/>
    <s v="East"/>
    <s v="Laptop"/>
    <n v="980000"/>
    <n v="127000"/>
    <n v="110"/>
    <n v="5.8"/>
    <n v="79"/>
    <n v="12.96"/>
  </r>
  <r>
    <x v="0"/>
    <s v="West"/>
    <s v="Laptop"/>
    <n v="1100000"/>
    <n v="143000"/>
    <n v="124"/>
    <n v="7.1"/>
    <n v="89"/>
    <n v="13"/>
  </r>
  <r>
    <x v="1"/>
    <s v="North"/>
    <s v="Mobile"/>
    <n v="1320000"/>
    <n v="198000"/>
    <n v="310"/>
    <n v="9.6"/>
    <n v="223"/>
    <n v="15"/>
  </r>
  <r>
    <x v="1"/>
    <s v="South"/>
    <s v="Mobile"/>
    <n v="1260000"/>
    <n v="176000"/>
    <n v="295"/>
    <n v="6.8"/>
    <n v="212"/>
    <n v="13.97"/>
  </r>
  <r>
    <x v="1"/>
    <s v="East"/>
    <s v="Mobile"/>
    <n v="1050000"/>
    <n v="147000"/>
    <n v="248"/>
    <n v="7.1"/>
    <n v="179"/>
    <n v="14"/>
  </r>
  <r>
    <x v="1"/>
    <s v="West"/>
    <s v="Mobile"/>
    <n v="1190000"/>
    <n v="167000"/>
    <n v="276"/>
    <n v="8.3000000000000007"/>
    <n v="199"/>
    <n v="14.03"/>
  </r>
  <r>
    <x v="2"/>
    <s v="North"/>
    <s v="Tablet"/>
    <n v="920000"/>
    <n v="138000"/>
    <n v="185"/>
    <n v="4.2"/>
    <n v="133"/>
    <n v="15"/>
  </r>
  <r>
    <x v="2"/>
    <s v="South"/>
    <s v="Tablet"/>
    <n v="870000"/>
    <n v="122000"/>
    <n v="172"/>
    <n v="3.8"/>
    <n v="124"/>
    <n v="14.02"/>
  </r>
  <r>
    <x v="2"/>
    <s v="East"/>
    <s v="Tablet"/>
    <n v="760000"/>
    <n v="106000"/>
    <n v="151"/>
    <n v="4.5999999999999996"/>
    <n v="109"/>
    <n v="13.95"/>
  </r>
  <r>
    <x v="2"/>
    <s v="West"/>
    <s v="Tablet"/>
    <n v="840000"/>
    <n v="118000"/>
    <n v="166"/>
    <n v="5.0999999999999996"/>
    <n v="120"/>
    <n v="14.05"/>
  </r>
  <r>
    <x v="3"/>
    <s v="North"/>
    <s v="Laptop"/>
    <n v="1450000"/>
    <n v="217500"/>
    <n v="158"/>
    <n v="11.4"/>
    <n v="114"/>
    <n v="15"/>
  </r>
  <r>
    <x v="3"/>
    <s v="South"/>
    <s v="Laptop"/>
    <n v="1370000"/>
    <n v="191800"/>
    <n v="149"/>
    <n v="9.1999999999999993"/>
    <n v="107"/>
    <n v="14"/>
  </r>
  <r>
    <x v="3"/>
    <s v="East"/>
    <s v="Laptop"/>
    <n v="1150000"/>
    <n v="161000"/>
    <n v="128"/>
    <n v="8.6999999999999993"/>
    <n v="92"/>
    <n v="14"/>
  </r>
  <r>
    <x v="3"/>
    <s v="West"/>
    <s v="Laptop"/>
    <n v="1290000"/>
    <n v="180600"/>
    <n v="141"/>
    <n v="10.1"/>
    <n v="102"/>
    <n v="14"/>
  </r>
  <r>
    <x v="4"/>
    <s v="North"/>
    <s v="Mobile"/>
    <n v="1510000"/>
    <n v="226500"/>
    <n v="352"/>
    <n v="12.8"/>
    <n v="253"/>
    <n v="15"/>
  </r>
  <r>
    <x v="4"/>
    <s v="South"/>
    <s v="Mobile"/>
    <n v="1430000"/>
    <n v="200200"/>
    <n v="337"/>
    <n v="10.6"/>
    <n v="243"/>
    <n v="14"/>
  </r>
  <r>
    <x v="4"/>
    <s v="East"/>
    <s v="Mobile"/>
    <n v="1210000"/>
    <n v="169400"/>
    <n v="286"/>
    <n v="9.8000000000000007"/>
    <n v="206"/>
    <n v="14"/>
  </r>
  <r>
    <x v="4"/>
    <s v="West"/>
    <s v="Mobile"/>
    <n v="1340000"/>
    <n v="187600"/>
    <n v="315"/>
    <n v="11.2"/>
    <n v="227"/>
    <n v="14"/>
  </r>
  <r>
    <x v="5"/>
    <s v="North"/>
    <s v="Tablet"/>
    <n v="980000"/>
    <n v="147000"/>
    <n v="202"/>
    <n v="6.5"/>
    <n v="145"/>
    <n v="15"/>
  </r>
  <r>
    <x v="5"/>
    <s v="South"/>
    <s v="Tablet"/>
    <n v="930000"/>
    <n v="130200"/>
    <n v="191"/>
    <n v="5.9"/>
    <n v="138"/>
    <n v="14"/>
  </r>
  <r>
    <x v="5"/>
    <s v="East"/>
    <s v="Tablet"/>
    <n v="810000"/>
    <n v="113400"/>
    <n v="169"/>
    <n v="6.2"/>
    <n v="122"/>
    <n v="14"/>
  </r>
  <r>
    <x v="5"/>
    <s v="West"/>
    <s v="Tablet"/>
    <n v="890000"/>
    <n v="124600"/>
    <n v="181"/>
    <n v="6.8"/>
    <n v="130"/>
    <n v="14"/>
  </r>
  <r>
    <x v="6"/>
    <s v="North"/>
    <s v="Laptop"/>
    <n v="1580000"/>
    <n v="237000"/>
    <n v="171"/>
    <n v="8.9"/>
    <n v="123"/>
    <n v="15"/>
  </r>
  <r>
    <x v="6"/>
    <s v="South"/>
    <s v="Laptop"/>
    <n v="1490000"/>
    <n v="208600"/>
    <n v="162"/>
    <n v="7.4"/>
    <n v="117"/>
    <n v="14"/>
  </r>
  <r>
    <x v="6"/>
    <s v="East"/>
    <s v="Laptop"/>
    <n v="1260000"/>
    <n v="176400"/>
    <n v="139"/>
    <n v="7.1"/>
    <n v="100"/>
    <n v="14"/>
  </r>
  <r>
    <x v="6"/>
    <s v="West"/>
    <s v="Laptop"/>
    <n v="1410000"/>
    <n v="197400"/>
    <n v="154"/>
    <n v="8"/>
    <n v="111"/>
    <n v="14"/>
  </r>
  <r>
    <x v="7"/>
    <s v="North"/>
    <s v="Mobile"/>
    <n v="1650000"/>
    <n v="247500"/>
    <n v="381"/>
    <n v="10.5"/>
    <n v="274"/>
    <n v="15"/>
  </r>
  <r>
    <x v="7"/>
    <s v="South"/>
    <s v="Mobile"/>
    <n v="1570000"/>
    <n v="219800"/>
    <n v="366"/>
    <n v="9.1"/>
    <n v="264"/>
    <n v="14"/>
  </r>
  <r>
    <x v="7"/>
    <s v="East"/>
    <s v="Mobile"/>
    <n v="1320000"/>
    <n v="184800"/>
    <n v="314"/>
    <n v="8.6"/>
    <n v="226"/>
    <n v="14"/>
  </r>
  <r>
    <x v="7"/>
    <s v="West"/>
    <s v="Mobile"/>
    <n v="1480000"/>
    <n v="207200"/>
    <n v="345"/>
    <n v="9.6999999999999993"/>
    <n v="248"/>
    <n v="14"/>
  </r>
  <r>
    <x v="8"/>
    <s v="North"/>
    <s v="Tablet"/>
    <n v="1050000"/>
    <n v="157500"/>
    <n v="218"/>
    <n v="5.4"/>
    <n v="157"/>
    <n v="15"/>
  </r>
  <r>
    <x v="8"/>
    <s v="South"/>
    <s v="Tablet"/>
    <n v="990000"/>
    <n v="138600"/>
    <n v="204"/>
    <n v="4.8"/>
    <n v="147"/>
    <n v="14"/>
  </r>
  <r>
    <x v="8"/>
    <s v="East"/>
    <s v="Tablet"/>
    <n v="860000"/>
    <n v="120400"/>
    <n v="179"/>
    <n v="5.0999999999999996"/>
    <n v="129"/>
    <n v="14"/>
  </r>
  <r>
    <x v="8"/>
    <s v="West"/>
    <s v="Tablet"/>
    <n v="950000"/>
    <n v="133000"/>
    <n v="195"/>
    <n v="5.7"/>
    <n v="140"/>
    <n v="14"/>
  </r>
  <r>
    <x v="9"/>
    <s v="North"/>
    <s v="Laptop"/>
    <n v="1720000"/>
    <n v="258000"/>
    <n v="188"/>
    <n v="9.8000000000000007"/>
    <n v="135"/>
    <n v="15"/>
  </r>
  <r>
    <x v="9"/>
    <s v="South"/>
    <s v="Laptop"/>
    <n v="1630000"/>
    <n v="228200"/>
    <n v="177"/>
    <n v="8.6"/>
    <n v="127"/>
    <n v="14"/>
  </r>
  <r>
    <x v="9"/>
    <s v="East"/>
    <s v="Laptop"/>
    <n v="1390000"/>
    <n v="194600"/>
    <n v="153"/>
    <n v="8"/>
    <n v="110"/>
    <n v="14"/>
  </r>
  <r>
    <x v="9"/>
    <s v="West"/>
    <s v="Laptop"/>
    <n v="1540000"/>
    <n v="215600"/>
    <n v="169"/>
    <n v="9.1999999999999993"/>
    <n v="122"/>
    <n v="14"/>
  </r>
  <r>
    <x v="10"/>
    <s v="North"/>
    <s v="Mobile"/>
    <n v="1900000"/>
    <n v="285000"/>
    <n v="435"/>
    <n v="14.2"/>
    <n v="313"/>
    <n v="15"/>
  </r>
  <r>
    <x v="10"/>
    <s v="South"/>
    <s v="Mobile"/>
    <n v="1810000"/>
    <n v="253400"/>
    <n v="418"/>
    <n v="12.5"/>
    <n v="301"/>
    <n v="14"/>
  </r>
  <r>
    <x v="10"/>
    <s v="East"/>
    <s v="Mobile"/>
    <n v="1530000"/>
    <n v="214200"/>
    <n v="362"/>
    <n v="11.6"/>
    <n v="261"/>
    <n v="14"/>
  </r>
  <r>
    <x v="10"/>
    <s v="West"/>
    <s v="Mobile"/>
    <n v="1710000"/>
    <n v="239400"/>
    <n v="396"/>
    <n v="13.1"/>
    <n v="285"/>
    <n v="14"/>
  </r>
  <r>
    <x v="11"/>
    <s v="North"/>
    <s v="Tablet"/>
    <n v="1180000"/>
    <n v="177000"/>
    <n v="246"/>
    <n v="7.3"/>
    <n v="177"/>
    <n v="15"/>
  </r>
  <r>
    <x v="11"/>
    <s v="South"/>
    <s v="Tablet"/>
    <n v="1110000"/>
    <n v="155400"/>
    <n v="231"/>
    <n v="6.5"/>
    <n v="166"/>
    <n v="14"/>
  </r>
  <r>
    <x v="11"/>
    <s v="East"/>
    <s v="Tablet"/>
    <n v="970000"/>
    <n v="135800"/>
    <n v="202"/>
    <n v="6.1"/>
    <n v="145"/>
    <n v="14"/>
  </r>
  <r>
    <x v="11"/>
    <s v="West"/>
    <s v="Tablet"/>
    <n v="1060000"/>
    <n v="148400"/>
    <n v="219"/>
    <n v="6.9"/>
    <n v="158"/>
    <n v="1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s v="North"/>
    <s v="Laptop"/>
    <n v="1250000"/>
    <n v="175000"/>
    <n v="140"/>
    <n v="8.1999999999999993"/>
    <n v="101"/>
    <n v="14"/>
  </r>
  <r>
    <x v="0"/>
    <s v="South"/>
    <s v="Laptop"/>
    <n v="1180000"/>
    <n v="153000"/>
    <n v="132"/>
    <n v="6.5"/>
    <n v="95"/>
    <n v="12.97"/>
  </r>
  <r>
    <x v="0"/>
    <s v="East"/>
    <s v="Laptop"/>
    <n v="980000"/>
    <n v="127000"/>
    <n v="110"/>
    <n v="5.8"/>
    <n v="79"/>
    <n v="12.96"/>
  </r>
  <r>
    <x v="0"/>
    <s v="West"/>
    <s v="Laptop"/>
    <n v="1100000"/>
    <n v="143000"/>
    <n v="124"/>
    <n v="7.1"/>
    <n v="89"/>
    <n v="13"/>
  </r>
  <r>
    <x v="1"/>
    <s v="North"/>
    <s v="Mobile"/>
    <n v="1320000"/>
    <n v="198000"/>
    <n v="310"/>
    <n v="9.6"/>
    <n v="223"/>
    <n v="15"/>
  </r>
  <r>
    <x v="1"/>
    <s v="South"/>
    <s v="Mobile"/>
    <n v="1260000"/>
    <n v="176000"/>
    <n v="295"/>
    <n v="6.8"/>
    <n v="212"/>
    <n v="13.97"/>
  </r>
  <r>
    <x v="1"/>
    <s v="East"/>
    <s v="Mobile"/>
    <n v="1050000"/>
    <n v="147000"/>
    <n v="248"/>
    <n v="7.1"/>
    <n v="179"/>
    <n v="14"/>
  </r>
  <r>
    <x v="1"/>
    <s v="West"/>
    <s v="Mobile"/>
    <n v="1190000"/>
    <n v="167000"/>
    <n v="276"/>
    <n v="8.3000000000000007"/>
    <n v="199"/>
    <n v="14.03"/>
  </r>
  <r>
    <x v="2"/>
    <s v="North"/>
    <s v="Tablet"/>
    <n v="920000"/>
    <n v="138000"/>
    <n v="185"/>
    <n v="4.2"/>
    <n v="133"/>
    <n v="15"/>
  </r>
  <r>
    <x v="2"/>
    <s v="South"/>
    <s v="Tablet"/>
    <n v="870000"/>
    <n v="122000"/>
    <n v="172"/>
    <n v="3.8"/>
    <n v="124"/>
    <n v="14.02"/>
  </r>
  <r>
    <x v="2"/>
    <s v="East"/>
    <s v="Tablet"/>
    <n v="760000"/>
    <n v="106000"/>
    <n v="151"/>
    <n v="4.5999999999999996"/>
    <n v="109"/>
    <n v="13.95"/>
  </r>
  <r>
    <x v="2"/>
    <s v="West"/>
    <s v="Tablet"/>
    <n v="840000"/>
    <n v="118000"/>
    <n v="166"/>
    <n v="5.0999999999999996"/>
    <n v="120"/>
    <n v="14.05"/>
  </r>
  <r>
    <x v="3"/>
    <s v="North"/>
    <s v="Laptop"/>
    <n v="1450000"/>
    <n v="217500"/>
    <n v="158"/>
    <n v="11.4"/>
    <n v="114"/>
    <n v="15"/>
  </r>
  <r>
    <x v="3"/>
    <s v="South"/>
    <s v="Laptop"/>
    <n v="1370000"/>
    <n v="191800"/>
    <n v="149"/>
    <n v="9.1999999999999993"/>
    <n v="107"/>
    <n v="14"/>
  </r>
  <r>
    <x v="3"/>
    <s v="East"/>
    <s v="Laptop"/>
    <n v="1150000"/>
    <n v="161000"/>
    <n v="128"/>
    <n v="8.6999999999999993"/>
    <n v="92"/>
    <n v="14"/>
  </r>
  <r>
    <x v="3"/>
    <s v="West"/>
    <s v="Laptop"/>
    <n v="1290000"/>
    <n v="180600"/>
    <n v="141"/>
    <n v="10.1"/>
    <n v="102"/>
    <n v="14"/>
  </r>
  <r>
    <x v="4"/>
    <s v="North"/>
    <s v="Mobile"/>
    <n v="1510000"/>
    <n v="226500"/>
    <n v="352"/>
    <n v="12.8"/>
    <n v="253"/>
    <n v="15"/>
  </r>
  <r>
    <x v="4"/>
    <s v="South"/>
    <s v="Mobile"/>
    <n v="1430000"/>
    <n v="200200"/>
    <n v="337"/>
    <n v="10.6"/>
    <n v="243"/>
    <n v="14"/>
  </r>
  <r>
    <x v="4"/>
    <s v="East"/>
    <s v="Mobile"/>
    <n v="1210000"/>
    <n v="169400"/>
    <n v="286"/>
    <n v="9.8000000000000007"/>
    <n v="206"/>
    <n v="14"/>
  </r>
  <r>
    <x v="4"/>
    <s v="West"/>
    <s v="Mobile"/>
    <n v="1340000"/>
    <n v="187600"/>
    <n v="315"/>
    <n v="11.2"/>
    <n v="227"/>
    <n v="14"/>
  </r>
  <r>
    <x v="5"/>
    <s v="North"/>
    <s v="Tablet"/>
    <n v="980000"/>
    <n v="147000"/>
    <n v="202"/>
    <n v="6.5"/>
    <n v="145"/>
    <n v="15"/>
  </r>
  <r>
    <x v="5"/>
    <s v="South"/>
    <s v="Tablet"/>
    <n v="930000"/>
    <n v="130200"/>
    <n v="191"/>
    <n v="5.9"/>
    <n v="138"/>
    <n v="14"/>
  </r>
  <r>
    <x v="5"/>
    <s v="East"/>
    <s v="Tablet"/>
    <n v="810000"/>
    <n v="113400"/>
    <n v="169"/>
    <n v="6.2"/>
    <n v="122"/>
    <n v="14"/>
  </r>
  <r>
    <x v="5"/>
    <s v="West"/>
    <s v="Tablet"/>
    <n v="890000"/>
    <n v="124600"/>
    <n v="181"/>
    <n v="6.8"/>
    <n v="130"/>
    <n v="14"/>
  </r>
  <r>
    <x v="6"/>
    <s v="North"/>
    <s v="Laptop"/>
    <n v="1580000"/>
    <n v="237000"/>
    <n v="171"/>
    <n v="8.9"/>
    <n v="123"/>
    <n v="15"/>
  </r>
  <r>
    <x v="6"/>
    <s v="South"/>
    <s v="Laptop"/>
    <n v="1490000"/>
    <n v="208600"/>
    <n v="162"/>
    <n v="7.4"/>
    <n v="117"/>
    <n v="14"/>
  </r>
  <r>
    <x v="6"/>
    <s v="East"/>
    <s v="Laptop"/>
    <n v="1260000"/>
    <n v="176400"/>
    <n v="139"/>
    <n v="7.1"/>
    <n v="100"/>
    <n v="14"/>
  </r>
  <r>
    <x v="6"/>
    <s v="West"/>
    <s v="Laptop"/>
    <n v="1410000"/>
    <n v="197400"/>
    <n v="154"/>
    <n v="8"/>
    <n v="111"/>
    <n v="14"/>
  </r>
  <r>
    <x v="7"/>
    <s v="North"/>
    <s v="Mobile"/>
    <n v="1650000"/>
    <n v="247500"/>
    <n v="381"/>
    <n v="10.5"/>
    <n v="274"/>
    <n v="15"/>
  </r>
  <r>
    <x v="7"/>
    <s v="South"/>
    <s v="Mobile"/>
    <n v="1570000"/>
    <n v="219800"/>
    <n v="366"/>
    <n v="9.1"/>
    <n v="264"/>
    <n v="14"/>
  </r>
  <r>
    <x v="7"/>
    <s v="East"/>
    <s v="Mobile"/>
    <n v="1320000"/>
    <n v="184800"/>
    <n v="314"/>
    <n v="8.6"/>
    <n v="226"/>
    <n v="14"/>
  </r>
  <r>
    <x v="7"/>
    <s v="West"/>
    <s v="Mobile"/>
    <n v="1480000"/>
    <n v="207200"/>
    <n v="345"/>
    <n v="9.6999999999999993"/>
    <n v="248"/>
    <n v="14"/>
  </r>
  <r>
    <x v="8"/>
    <s v="North"/>
    <s v="Tablet"/>
    <n v="1050000"/>
    <n v="157500"/>
    <n v="218"/>
    <n v="5.4"/>
    <n v="157"/>
    <n v="15"/>
  </r>
  <r>
    <x v="8"/>
    <s v="South"/>
    <s v="Tablet"/>
    <n v="990000"/>
    <n v="138600"/>
    <n v="204"/>
    <n v="4.8"/>
    <n v="147"/>
    <n v="14"/>
  </r>
  <r>
    <x v="8"/>
    <s v="East"/>
    <s v="Tablet"/>
    <n v="860000"/>
    <n v="120400"/>
    <n v="179"/>
    <n v="5.0999999999999996"/>
    <n v="129"/>
    <n v="14"/>
  </r>
  <r>
    <x v="8"/>
    <s v="West"/>
    <s v="Tablet"/>
    <n v="950000"/>
    <n v="133000"/>
    <n v="195"/>
    <n v="5.7"/>
    <n v="140"/>
    <n v="14"/>
  </r>
  <r>
    <x v="9"/>
    <s v="North"/>
    <s v="Laptop"/>
    <n v="1720000"/>
    <n v="258000"/>
    <n v="188"/>
    <n v="9.8000000000000007"/>
    <n v="135"/>
    <n v="15"/>
  </r>
  <r>
    <x v="9"/>
    <s v="South"/>
    <s v="Laptop"/>
    <n v="1630000"/>
    <n v="228200"/>
    <n v="177"/>
    <n v="8.6"/>
    <n v="127"/>
    <n v="14"/>
  </r>
  <r>
    <x v="9"/>
    <s v="East"/>
    <s v="Laptop"/>
    <n v="1390000"/>
    <n v="194600"/>
    <n v="153"/>
    <n v="8"/>
    <n v="110"/>
    <n v="14"/>
  </r>
  <r>
    <x v="9"/>
    <s v="West"/>
    <s v="Laptop"/>
    <n v="1540000"/>
    <n v="215600"/>
    <n v="169"/>
    <n v="9.1999999999999993"/>
    <n v="122"/>
    <n v="14"/>
  </r>
  <r>
    <x v="10"/>
    <s v="North"/>
    <s v="Mobile"/>
    <n v="1900000"/>
    <n v="285000"/>
    <n v="435"/>
    <n v="14.2"/>
    <n v="313"/>
    <n v="15"/>
  </r>
  <r>
    <x v="10"/>
    <s v="South"/>
    <s v="Mobile"/>
    <n v="1810000"/>
    <n v="253400"/>
    <n v="418"/>
    <n v="12.5"/>
    <n v="301"/>
    <n v="14"/>
  </r>
  <r>
    <x v="10"/>
    <s v="East"/>
    <s v="Mobile"/>
    <n v="1530000"/>
    <n v="214200"/>
    <n v="362"/>
    <n v="11.6"/>
    <n v="261"/>
    <n v="14"/>
  </r>
  <r>
    <x v="10"/>
    <s v="West"/>
    <s v="Mobile"/>
    <n v="1710000"/>
    <n v="239400"/>
    <n v="396"/>
    <n v="13.1"/>
    <n v="285"/>
    <n v="14"/>
  </r>
  <r>
    <x v="11"/>
    <s v="North"/>
    <s v="Tablet"/>
    <n v="1180000"/>
    <n v="177000"/>
    <n v="246"/>
    <n v="7.3"/>
    <n v="177"/>
    <n v="15"/>
  </r>
  <r>
    <x v="11"/>
    <s v="South"/>
    <s v="Tablet"/>
    <n v="1110000"/>
    <n v="155400"/>
    <n v="231"/>
    <n v="6.5"/>
    <n v="166"/>
    <n v="14"/>
  </r>
  <r>
    <x v="11"/>
    <s v="East"/>
    <s v="Tablet"/>
    <n v="970000"/>
    <n v="135800"/>
    <n v="202"/>
    <n v="6.1"/>
    <n v="145"/>
    <n v="14"/>
  </r>
  <r>
    <x v="11"/>
    <s v="West"/>
    <s v="Tablet"/>
    <n v="1060000"/>
    <n v="148400"/>
    <n v="219"/>
    <n v="6.9"/>
    <n v="158"/>
    <n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s v="North"/>
    <s v="Laptop"/>
    <x v="0"/>
    <n v="175000"/>
    <n v="140"/>
    <n v="8.1999999999999993"/>
    <n v="101"/>
    <n v="14"/>
  </r>
  <r>
    <x v="0"/>
    <s v="South"/>
    <s v="Laptop"/>
    <x v="1"/>
    <n v="153000"/>
    <n v="132"/>
    <n v="6.5"/>
    <n v="95"/>
    <n v="12.97"/>
  </r>
  <r>
    <x v="0"/>
    <s v="East"/>
    <s v="Laptop"/>
    <x v="2"/>
    <n v="127000"/>
    <n v="110"/>
    <n v="5.8"/>
    <n v="79"/>
    <n v="12.96"/>
  </r>
  <r>
    <x v="0"/>
    <s v="West"/>
    <s v="Laptop"/>
    <x v="3"/>
    <n v="143000"/>
    <n v="124"/>
    <n v="7.1"/>
    <n v="89"/>
    <n v="13"/>
  </r>
  <r>
    <x v="1"/>
    <s v="North"/>
    <s v="Mobile"/>
    <x v="4"/>
    <n v="198000"/>
    <n v="310"/>
    <n v="9.6"/>
    <n v="223"/>
    <n v="15"/>
  </r>
  <r>
    <x v="1"/>
    <s v="South"/>
    <s v="Mobile"/>
    <x v="5"/>
    <n v="176000"/>
    <n v="295"/>
    <n v="6.8"/>
    <n v="212"/>
    <n v="13.97"/>
  </r>
  <r>
    <x v="1"/>
    <s v="East"/>
    <s v="Mobile"/>
    <x v="6"/>
    <n v="147000"/>
    <n v="248"/>
    <n v="7.1"/>
    <n v="179"/>
    <n v="14"/>
  </r>
  <r>
    <x v="1"/>
    <s v="West"/>
    <s v="Mobile"/>
    <x v="7"/>
    <n v="167000"/>
    <n v="276"/>
    <n v="8.3000000000000007"/>
    <n v="199"/>
    <n v="14.03"/>
  </r>
  <r>
    <x v="2"/>
    <s v="North"/>
    <s v="Tablet"/>
    <x v="8"/>
    <n v="138000"/>
    <n v="185"/>
    <n v="4.2"/>
    <n v="133"/>
    <n v="15"/>
  </r>
  <r>
    <x v="2"/>
    <s v="South"/>
    <s v="Tablet"/>
    <x v="9"/>
    <n v="122000"/>
    <n v="172"/>
    <n v="3.8"/>
    <n v="124"/>
    <n v="14.02"/>
  </r>
  <r>
    <x v="2"/>
    <s v="East"/>
    <s v="Tablet"/>
    <x v="10"/>
    <n v="106000"/>
    <n v="151"/>
    <n v="4.5999999999999996"/>
    <n v="109"/>
    <n v="13.95"/>
  </r>
  <r>
    <x v="2"/>
    <s v="West"/>
    <s v="Tablet"/>
    <x v="11"/>
    <n v="118000"/>
    <n v="166"/>
    <n v="5.0999999999999996"/>
    <n v="120"/>
    <n v="14.05"/>
  </r>
  <r>
    <x v="3"/>
    <s v="North"/>
    <s v="Laptop"/>
    <x v="12"/>
    <n v="217500"/>
    <n v="158"/>
    <n v="11.4"/>
    <n v="114"/>
    <n v="15"/>
  </r>
  <r>
    <x v="3"/>
    <s v="South"/>
    <s v="Laptop"/>
    <x v="13"/>
    <n v="191800"/>
    <n v="149"/>
    <n v="9.1999999999999993"/>
    <n v="107"/>
    <n v="14"/>
  </r>
  <r>
    <x v="3"/>
    <s v="East"/>
    <s v="Laptop"/>
    <x v="14"/>
    <n v="161000"/>
    <n v="128"/>
    <n v="8.6999999999999993"/>
    <n v="92"/>
    <n v="14"/>
  </r>
  <r>
    <x v="3"/>
    <s v="West"/>
    <s v="Laptop"/>
    <x v="15"/>
    <n v="180600"/>
    <n v="141"/>
    <n v="10.1"/>
    <n v="102"/>
    <n v="14"/>
  </r>
  <r>
    <x v="4"/>
    <s v="North"/>
    <s v="Mobile"/>
    <x v="16"/>
    <n v="226500"/>
    <n v="352"/>
    <n v="12.8"/>
    <n v="253"/>
    <n v="15"/>
  </r>
  <r>
    <x v="4"/>
    <s v="South"/>
    <s v="Mobile"/>
    <x v="17"/>
    <n v="200200"/>
    <n v="337"/>
    <n v="10.6"/>
    <n v="243"/>
    <n v="14"/>
  </r>
  <r>
    <x v="4"/>
    <s v="East"/>
    <s v="Mobile"/>
    <x v="18"/>
    <n v="169400"/>
    <n v="286"/>
    <n v="9.8000000000000007"/>
    <n v="206"/>
    <n v="14"/>
  </r>
  <r>
    <x v="4"/>
    <s v="West"/>
    <s v="Mobile"/>
    <x v="19"/>
    <n v="187600"/>
    <n v="315"/>
    <n v="11.2"/>
    <n v="227"/>
    <n v="14"/>
  </r>
  <r>
    <x v="5"/>
    <s v="North"/>
    <s v="Tablet"/>
    <x v="2"/>
    <n v="147000"/>
    <n v="202"/>
    <n v="6.5"/>
    <n v="145"/>
    <n v="15"/>
  </r>
  <r>
    <x v="5"/>
    <s v="South"/>
    <s v="Tablet"/>
    <x v="20"/>
    <n v="130200"/>
    <n v="191"/>
    <n v="5.9"/>
    <n v="138"/>
    <n v="14"/>
  </r>
  <r>
    <x v="5"/>
    <s v="East"/>
    <s v="Tablet"/>
    <x v="21"/>
    <n v="113400"/>
    <n v="169"/>
    <n v="6.2"/>
    <n v="122"/>
    <n v="14"/>
  </r>
  <r>
    <x v="5"/>
    <s v="West"/>
    <s v="Tablet"/>
    <x v="22"/>
    <n v="124600"/>
    <n v="181"/>
    <n v="6.8"/>
    <n v="130"/>
    <n v="14"/>
  </r>
  <r>
    <x v="6"/>
    <s v="North"/>
    <s v="Laptop"/>
    <x v="23"/>
    <n v="237000"/>
    <n v="171"/>
    <n v="8.9"/>
    <n v="123"/>
    <n v="15"/>
  </r>
  <r>
    <x v="6"/>
    <s v="South"/>
    <s v="Laptop"/>
    <x v="24"/>
    <n v="208600"/>
    <n v="162"/>
    <n v="7.4"/>
    <n v="117"/>
    <n v="14"/>
  </r>
  <r>
    <x v="6"/>
    <s v="East"/>
    <s v="Laptop"/>
    <x v="5"/>
    <n v="176400"/>
    <n v="139"/>
    <n v="7.1"/>
    <n v="100"/>
    <n v="14"/>
  </r>
  <r>
    <x v="6"/>
    <s v="West"/>
    <s v="Laptop"/>
    <x v="25"/>
    <n v="197400"/>
    <n v="154"/>
    <n v="8"/>
    <n v="111"/>
    <n v="14"/>
  </r>
  <r>
    <x v="7"/>
    <s v="North"/>
    <s v="Mobile"/>
    <x v="26"/>
    <n v="247500"/>
    <n v="381"/>
    <n v="10.5"/>
    <n v="274"/>
    <n v="15"/>
  </r>
  <r>
    <x v="7"/>
    <s v="South"/>
    <s v="Mobile"/>
    <x v="27"/>
    <n v="219800"/>
    <n v="366"/>
    <n v="9.1"/>
    <n v="264"/>
    <n v="14"/>
  </r>
  <r>
    <x v="7"/>
    <s v="East"/>
    <s v="Mobile"/>
    <x v="4"/>
    <n v="184800"/>
    <n v="314"/>
    <n v="8.6"/>
    <n v="226"/>
    <n v="14"/>
  </r>
  <r>
    <x v="7"/>
    <s v="West"/>
    <s v="Mobile"/>
    <x v="28"/>
    <n v="207200"/>
    <n v="345"/>
    <n v="9.6999999999999993"/>
    <n v="248"/>
    <n v="14"/>
  </r>
  <r>
    <x v="8"/>
    <s v="North"/>
    <s v="Tablet"/>
    <x v="6"/>
    <n v="157500"/>
    <n v="218"/>
    <n v="5.4"/>
    <n v="157"/>
    <n v="15"/>
  </r>
  <r>
    <x v="8"/>
    <s v="South"/>
    <s v="Tablet"/>
    <x v="29"/>
    <n v="138600"/>
    <n v="204"/>
    <n v="4.8"/>
    <n v="147"/>
    <n v="14"/>
  </r>
  <r>
    <x v="8"/>
    <s v="East"/>
    <s v="Tablet"/>
    <x v="30"/>
    <n v="120400"/>
    <n v="179"/>
    <n v="5.0999999999999996"/>
    <n v="129"/>
    <n v="14"/>
  </r>
  <r>
    <x v="8"/>
    <s v="West"/>
    <s v="Tablet"/>
    <x v="31"/>
    <n v="133000"/>
    <n v="195"/>
    <n v="5.7"/>
    <n v="140"/>
    <n v="14"/>
  </r>
  <r>
    <x v="9"/>
    <s v="North"/>
    <s v="Laptop"/>
    <x v="32"/>
    <n v="258000"/>
    <n v="188"/>
    <n v="9.8000000000000007"/>
    <n v="135"/>
    <n v="15"/>
  </r>
  <r>
    <x v="9"/>
    <s v="South"/>
    <s v="Laptop"/>
    <x v="33"/>
    <n v="228200"/>
    <n v="177"/>
    <n v="8.6"/>
    <n v="127"/>
    <n v="14"/>
  </r>
  <r>
    <x v="9"/>
    <s v="East"/>
    <s v="Laptop"/>
    <x v="34"/>
    <n v="194600"/>
    <n v="153"/>
    <n v="8"/>
    <n v="110"/>
    <n v="14"/>
  </r>
  <r>
    <x v="9"/>
    <s v="West"/>
    <s v="Laptop"/>
    <x v="35"/>
    <n v="215600"/>
    <n v="169"/>
    <n v="9.1999999999999993"/>
    <n v="122"/>
    <n v="14"/>
  </r>
  <r>
    <x v="10"/>
    <s v="North"/>
    <s v="Mobile"/>
    <x v="36"/>
    <n v="285000"/>
    <n v="435"/>
    <n v="14.2"/>
    <n v="313"/>
    <n v="15"/>
  </r>
  <r>
    <x v="10"/>
    <s v="South"/>
    <s v="Mobile"/>
    <x v="37"/>
    <n v="253400"/>
    <n v="418"/>
    <n v="12.5"/>
    <n v="301"/>
    <n v="14"/>
  </r>
  <r>
    <x v="10"/>
    <s v="East"/>
    <s v="Mobile"/>
    <x v="38"/>
    <n v="214200"/>
    <n v="362"/>
    <n v="11.6"/>
    <n v="261"/>
    <n v="14"/>
  </r>
  <r>
    <x v="10"/>
    <s v="West"/>
    <s v="Mobile"/>
    <x v="39"/>
    <n v="239400"/>
    <n v="396"/>
    <n v="13.1"/>
    <n v="285"/>
    <n v="14"/>
  </r>
  <r>
    <x v="11"/>
    <s v="North"/>
    <s v="Tablet"/>
    <x v="1"/>
    <n v="177000"/>
    <n v="246"/>
    <n v="7.3"/>
    <n v="177"/>
    <n v="15"/>
  </r>
  <r>
    <x v="11"/>
    <s v="South"/>
    <s v="Tablet"/>
    <x v="40"/>
    <n v="155400"/>
    <n v="231"/>
    <n v="6.5"/>
    <n v="166"/>
    <n v="14"/>
  </r>
  <r>
    <x v="11"/>
    <s v="East"/>
    <s v="Tablet"/>
    <x v="41"/>
    <n v="135800"/>
    <n v="202"/>
    <n v="6.1"/>
    <n v="145"/>
    <n v="14"/>
  </r>
  <r>
    <x v="11"/>
    <s v="West"/>
    <s v="Tablet"/>
    <x v="42"/>
    <n v="148400"/>
    <n v="219"/>
    <n v="6.9"/>
    <n v="158"/>
    <n v="1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s v="Laptop"/>
    <n v="1250000"/>
    <n v="175000"/>
    <n v="140"/>
    <n v="8.1999999999999993"/>
    <n v="101"/>
    <n v="14"/>
  </r>
  <r>
    <x v="0"/>
    <x v="1"/>
    <s v="Laptop"/>
    <n v="1180000"/>
    <n v="153000"/>
    <n v="132"/>
    <n v="6.5"/>
    <n v="95"/>
    <n v="12.97"/>
  </r>
  <r>
    <x v="0"/>
    <x v="2"/>
    <s v="Laptop"/>
    <n v="980000"/>
    <n v="127000"/>
    <n v="110"/>
    <n v="5.8"/>
    <n v="79"/>
    <n v="12.96"/>
  </r>
  <r>
    <x v="0"/>
    <x v="3"/>
    <s v="Laptop"/>
    <n v="1100000"/>
    <n v="143000"/>
    <n v="124"/>
    <n v="7.1"/>
    <n v="89"/>
    <n v="13"/>
  </r>
  <r>
    <x v="1"/>
    <x v="0"/>
    <s v="Mobile"/>
    <n v="1320000"/>
    <n v="198000"/>
    <n v="310"/>
    <n v="9.6"/>
    <n v="223"/>
    <n v="15"/>
  </r>
  <r>
    <x v="1"/>
    <x v="1"/>
    <s v="Mobile"/>
    <n v="1260000"/>
    <n v="176000"/>
    <n v="295"/>
    <n v="6.8"/>
    <n v="212"/>
    <n v="13.97"/>
  </r>
  <r>
    <x v="1"/>
    <x v="2"/>
    <s v="Mobile"/>
    <n v="1050000"/>
    <n v="147000"/>
    <n v="248"/>
    <n v="7.1"/>
    <n v="179"/>
    <n v="14"/>
  </r>
  <r>
    <x v="1"/>
    <x v="3"/>
    <s v="Mobile"/>
    <n v="1190000"/>
    <n v="167000"/>
    <n v="276"/>
    <n v="8.3000000000000007"/>
    <n v="199"/>
    <n v="14.03"/>
  </r>
  <r>
    <x v="2"/>
    <x v="0"/>
    <s v="Tablet"/>
    <n v="920000"/>
    <n v="138000"/>
    <n v="185"/>
    <n v="4.2"/>
    <n v="133"/>
    <n v="15"/>
  </r>
  <r>
    <x v="2"/>
    <x v="1"/>
    <s v="Tablet"/>
    <n v="870000"/>
    <n v="122000"/>
    <n v="172"/>
    <n v="3.8"/>
    <n v="124"/>
    <n v="14.02"/>
  </r>
  <r>
    <x v="2"/>
    <x v="2"/>
    <s v="Tablet"/>
    <n v="760000"/>
    <n v="106000"/>
    <n v="151"/>
    <n v="4.5999999999999996"/>
    <n v="109"/>
    <n v="13.95"/>
  </r>
  <r>
    <x v="2"/>
    <x v="3"/>
    <s v="Tablet"/>
    <n v="840000"/>
    <n v="118000"/>
    <n v="166"/>
    <n v="5.0999999999999996"/>
    <n v="120"/>
    <n v="14.05"/>
  </r>
  <r>
    <x v="3"/>
    <x v="0"/>
    <s v="Laptop"/>
    <n v="1450000"/>
    <n v="217500"/>
    <n v="158"/>
    <n v="11.4"/>
    <n v="114"/>
    <n v="15"/>
  </r>
  <r>
    <x v="3"/>
    <x v="1"/>
    <s v="Laptop"/>
    <n v="1370000"/>
    <n v="191800"/>
    <n v="149"/>
    <n v="9.1999999999999993"/>
    <n v="107"/>
    <n v="14"/>
  </r>
  <r>
    <x v="3"/>
    <x v="2"/>
    <s v="Laptop"/>
    <n v="1150000"/>
    <n v="161000"/>
    <n v="128"/>
    <n v="8.6999999999999993"/>
    <n v="92"/>
    <n v="14"/>
  </r>
  <r>
    <x v="3"/>
    <x v="3"/>
    <s v="Laptop"/>
    <n v="1290000"/>
    <n v="180600"/>
    <n v="141"/>
    <n v="10.1"/>
    <n v="102"/>
    <n v="14"/>
  </r>
  <r>
    <x v="4"/>
    <x v="0"/>
    <s v="Mobile"/>
    <n v="1510000"/>
    <n v="226500"/>
    <n v="352"/>
    <n v="12.8"/>
    <n v="253"/>
    <n v="15"/>
  </r>
  <r>
    <x v="4"/>
    <x v="1"/>
    <s v="Mobile"/>
    <n v="1430000"/>
    <n v="200200"/>
    <n v="337"/>
    <n v="10.6"/>
    <n v="243"/>
    <n v="14"/>
  </r>
  <r>
    <x v="4"/>
    <x v="2"/>
    <s v="Mobile"/>
    <n v="1210000"/>
    <n v="169400"/>
    <n v="286"/>
    <n v="9.8000000000000007"/>
    <n v="206"/>
    <n v="14"/>
  </r>
  <r>
    <x v="4"/>
    <x v="3"/>
    <s v="Mobile"/>
    <n v="1340000"/>
    <n v="187600"/>
    <n v="315"/>
    <n v="11.2"/>
    <n v="227"/>
    <n v="14"/>
  </r>
  <r>
    <x v="5"/>
    <x v="0"/>
    <s v="Tablet"/>
    <n v="980000"/>
    <n v="147000"/>
    <n v="202"/>
    <n v="6.5"/>
    <n v="145"/>
    <n v="15"/>
  </r>
  <r>
    <x v="5"/>
    <x v="1"/>
    <s v="Tablet"/>
    <n v="930000"/>
    <n v="130200"/>
    <n v="191"/>
    <n v="5.9"/>
    <n v="138"/>
    <n v="14"/>
  </r>
  <r>
    <x v="5"/>
    <x v="2"/>
    <s v="Tablet"/>
    <n v="810000"/>
    <n v="113400"/>
    <n v="169"/>
    <n v="6.2"/>
    <n v="122"/>
    <n v="14"/>
  </r>
  <r>
    <x v="5"/>
    <x v="3"/>
    <s v="Tablet"/>
    <n v="890000"/>
    <n v="124600"/>
    <n v="181"/>
    <n v="6.8"/>
    <n v="130"/>
    <n v="14"/>
  </r>
  <r>
    <x v="6"/>
    <x v="0"/>
    <s v="Laptop"/>
    <n v="1580000"/>
    <n v="237000"/>
    <n v="171"/>
    <n v="8.9"/>
    <n v="123"/>
    <n v="15"/>
  </r>
  <r>
    <x v="6"/>
    <x v="1"/>
    <s v="Laptop"/>
    <n v="1490000"/>
    <n v="208600"/>
    <n v="162"/>
    <n v="7.4"/>
    <n v="117"/>
    <n v="14"/>
  </r>
  <r>
    <x v="6"/>
    <x v="2"/>
    <s v="Laptop"/>
    <n v="1260000"/>
    <n v="176400"/>
    <n v="139"/>
    <n v="7.1"/>
    <n v="100"/>
    <n v="14"/>
  </r>
  <r>
    <x v="6"/>
    <x v="3"/>
    <s v="Laptop"/>
    <n v="1410000"/>
    <n v="197400"/>
    <n v="154"/>
    <n v="8"/>
    <n v="111"/>
    <n v="14"/>
  </r>
  <r>
    <x v="7"/>
    <x v="0"/>
    <s v="Mobile"/>
    <n v="1650000"/>
    <n v="247500"/>
    <n v="381"/>
    <n v="10.5"/>
    <n v="274"/>
    <n v="15"/>
  </r>
  <r>
    <x v="7"/>
    <x v="1"/>
    <s v="Mobile"/>
    <n v="1570000"/>
    <n v="219800"/>
    <n v="366"/>
    <n v="9.1"/>
    <n v="264"/>
    <n v="14"/>
  </r>
  <r>
    <x v="7"/>
    <x v="2"/>
    <s v="Mobile"/>
    <n v="1320000"/>
    <n v="184800"/>
    <n v="314"/>
    <n v="8.6"/>
    <n v="226"/>
    <n v="14"/>
  </r>
  <r>
    <x v="7"/>
    <x v="3"/>
    <s v="Mobile"/>
    <n v="1480000"/>
    <n v="207200"/>
    <n v="345"/>
    <n v="9.6999999999999993"/>
    <n v="248"/>
    <n v="14"/>
  </r>
  <r>
    <x v="8"/>
    <x v="0"/>
    <s v="Tablet"/>
    <n v="1050000"/>
    <n v="157500"/>
    <n v="218"/>
    <n v="5.4"/>
    <n v="157"/>
    <n v="15"/>
  </r>
  <r>
    <x v="8"/>
    <x v="1"/>
    <s v="Tablet"/>
    <n v="990000"/>
    <n v="138600"/>
    <n v="204"/>
    <n v="4.8"/>
    <n v="147"/>
    <n v="14"/>
  </r>
  <r>
    <x v="8"/>
    <x v="2"/>
    <s v="Tablet"/>
    <n v="860000"/>
    <n v="120400"/>
    <n v="179"/>
    <n v="5.0999999999999996"/>
    <n v="129"/>
    <n v="14"/>
  </r>
  <r>
    <x v="8"/>
    <x v="3"/>
    <s v="Tablet"/>
    <n v="950000"/>
    <n v="133000"/>
    <n v="195"/>
    <n v="5.7"/>
    <n v="140"/>
    <n v="14"/>
  </r>
  <r>
    <x v="9"/>
    <x v="0"/>
    <s v="Laptop"/>
    <n v="1720000"/>
    <n v="258000"/>
    <n v="188"/>
    <n v="9.8000000000000007"/>
    <n v="135"/>
    <n v="15"/>
  </r>
  <r>
    <x v="9"/>
    <x v="1"/>
    <s v="Laptop"/>
    <n v="1630000"/>
    <n v="228200"/>
    <n v="177"/>
    <n v="8.6"/>
    <n v="127"/>
    <n v="14"/>
  </r>
  <r>
    <x v="9"/>
    <x v="2"/>
    <s v="Laptop"/>
    <n v="1390000"/>
    <n v="194600"/>
    <n v="153"/>
    <n v="8"/>
    <n v="110"/>
    <n v="14"/>
  </r>
  <r>
    <x v="9"/>
    <x v="3"/>
    <s v="Laptop"/>
    <n v="1540000"/>
    <n v="215600"/>
    <n v="169"/>
    <n v="9.1999999999999993"/>
    <n v="122"/>
    <n v="14"/>
  </r>
  <r>
    <x v="10"/>
    <x v="0"/>
    <s v="Mobile"/>
    <n v="1900000"/>
    <n v="285000"/>
    <n v="435"/>
    <n v="14.2"/>
    <n v="313"/>
    <n v="15"/>
  </r>
  <r>
    <x v="10"/>
    <x v="1"/>
    <s v="Mobile"/>
    <n v="1810000"/>
    <n v="253400"/>
    <n v="418"/>
    <n v="12.5"/>
    <n v="301"/>
    <n v="14"/>
  </r>
  <r>
    <x v="10"/>
    <x v="2"/>
    <s v="Mobile"/>
    <n v="1530000"/>
    <n v="214200"/>
    <n v="362"/>
    <n v="11.6"/>
    <n v="261"/>
    <n v="14"/>
  </r>
  <r>
    <x v="10"/>
    <x v="3"/>
    <s v="Mobile"/>
    <n v="1710000"/>
    <n v="239400"/>
    <n v="396"/>
    <n v="13.1"/>
    <n v="285"/>
    <n v="14"/>
  </r>
  <r>
    <x v="11"/>
    <x v="0"/>
    <s v="Tablet"/>
    <n v="1180000"/>
    <n v="177000"/>
    <n v="246"/>
    <n v="7.3"/>
    <n v="177"/>
    <n v="15"/>
  </r>
  <r>
    <x v="11"/>
    <x v="1"/>
    <s v="Tablet"/>
    <n v="1110000"/>
    <n v="155400"/>
    <n v="231"/>
    <n v="6.5"/>
    <n v="166"/>
    <n v="14"/>
  </r>
  <r>
    <x v="11"/>
    <x v="2"/>
    <s v="Tablet"/>
    <n v="970000"/>
    <n v="135800"/>
    <n v="202"/>
    <n v="6.1"/>
    <n v="145"/>
    <n v="14"/>
  </r>
  <r>
    <x v="11"/>
    <x v="3"/>
    <s v="Tablet"/>
    <n v="1060000"/>
    <n v="148400"/>
    <n v="219"/>
    <n v="6.9"/>
    <n v="158"/>
    <n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8648B4-9BED-42C6-A9AB-8F5502DEE3FA}" name="PivotTable2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M5:O18" firstHeaderRow="0" firstDataRow="1" firstDataCol="1"/>
  <pivotFields count="9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>
      <items count="44">
        <item x="10"/>
        <item x="21"/>
        <item x="11"/>
        <item x="30"/>
        <item x="9"/>
        <item x="22"/>
        <item x="8"/>
        <item x="20"/>
        <item x="31"/>
        <item x="41"/>
        <item x="2"/>
        <item x="29"/>
        <item x="6"/>
        <item x="42"/>
        <item x="3"/>
        <item x="40"/>
        <item x="14"/>
        <item x="1"/>
        <item x="7"/>
        <item x="18"/>
        <item x="0"/>
        <item x="5"/>
        <item x="15"/>
        <item x="4"/>
        <item x="19"/>
        <item x="13"/>
        <item x="34"/>
        <item x="25"/>
        <item x="17"/>
        <item x="12"/>
        <item x="28"/>
        <item x="24"/>
        <item x="16"/>
        <item x="38"/>
        <item x="35"/>
        <item x="27"/>
        <item x="23"/>
        <item x="33"/>
        <item x="26"/>
        <item x="39"/>
        <item x="32"/>
        <item x="37"/>
        <item x="36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Amount" fld="3" baseField="0" baseItem="0"/>
    <dataField name="Sum of Profit" fld="4" baseField="0" baseItem="0"/>
  </dataFields>
  <formats count="6">
    <format dxfId="112">
      <pivotArea type="all" dataOnly="0" outline="0" fieldPosition="0"/>
    </format>
    <format dxfId="111">
      <pivotArea outline="0" collapsedLevelsAreSubtotals="1" fieldPosition="0"/>
    </format>
    <format dxfId="110">
      <pivotArea field="0" type="button" dataOnly="0" labelOnly="1" outline="0" axis="axisRow" fieldPosition="0"/>
    </format>
    <format dxfId="109">
      <pivotArea dataOnly="0" labelOnly="1" fieldPosition="0">
        <references count="1">
          <reference field="0" count="0"/>
        </references>
      </pivotArea>
    </format>
    <format dxfId="108">
      <pivotArea dataOnly="0" labelOnly="1" grandRow="1" outline="0" fieldPosition="0"/>
    </format>
    <format dxfId="10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34A49-D638-45CD-B637-CDFB547F4D99}" name="PivotTable26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N5:P18" firstHeaderRow="0" firstDataRow="1" firstDataCol="1"/>
  <pivotFields count="9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Amount" fld="3" baseField="0" baseItem="0"/>
    <dataField name="Average of Growth_%" fld="6" subtotal="average" baseField="0" baseItem="0"/>
  </dataFields>
  <formats count="6"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0" type="button" dataOnly="0" labelOnly="1" outline="0" axis="axisRow" fieldPosition="0"/>
    </format>
    <format dxfId="90">
      <pivotArea dataOnly="0" labelOnly="1" fieldPosition="0">
        <references count="1">
          <reference field="0" count="0"/>
        </references>
      </pivotArea>
    </format>
    <format dxfId="89">
      <pivotArea dataOnly="0" labelOnly="1" grandRow="1" outline="0" fieldPosition="0"/>
    </format>
    <format dxfId="8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5C3619-C159-4E01-B462-375371AD98C0}" name="PivotTable4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N6:P19" firstHeaderRow="0" firstDataRow="1" firstDataCol="1"/>
  <pivotFields count="9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/>
    <pivotField showAll="0"/>
    <pivotField showAll="0"/>
    <pivotField showAll="0"/>
    <pivotField dataField="1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Amount" fld="3" baseField="0" baseItem="0"/>
    <dataField name="Sum of Orders" fld="7" baseField="0" baseItem="0"/>
  </dataFields>
  <formats count="6"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0" type="button" dataOnly="0" labelOnly="1" outline="0" axis="axisRow" fieldPosition="0"/>
    </format>
    <format dxfId="71">
      <pivotArea dataOnly="0" labelOnly="1" fieldPosition="0">
        <references count="1">
          <reference field="0" count="0"/>
        </references>
      </pivotArea>
    </format>
    <format dxfId="70">
      <pivotArea dataOnly="0" labelOnly="1" grandRow="1" outline="0" fieldPosition="0"/>
    </format>
    <format dxfId="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EBD746-1212-4F06-B8F1-F47622D2977F}" name="PivotTable42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2">
  <location ref="Q4:S17" firstHeaderRow="0" firstDataRow="1" firstDataCol="1"/>
  <pivotFields count="9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>
      <items count="44">
        <item x="10"/>
        <item x="21"/>
        <item x="11"/>
        <item x="30"/>
        <item x="9"/>
        <item x="22"/>
        <item x="8"/>
        <item x="20"/>
        <item x="31"/>
        <item x="41"/>
        <item x="2"/>
        <item x="29"/>
        <item x="6"/>
        <item x="42"/>
        <item x="3"/>
        <item x="40"/>
        <item x="14"/>
        <item x="1"/>
        <item x="7"/>
        <item x="18"/>
        <item x="0"/>
        <item x="5"/>
        <item x="15"/>
        <item x="4"/>
        <item x="19"/>
        <item x="13"/>
        <item x="34"/>
        <item x="25"/>
        <item x="17"/>
        <item x="12"/>
        <item x="28"/>
        <item x="24"/>
        <item x="16"/>
        <item x="38"/>
        <item x="35"/>
        <item x="27"/>
        <item x="23"/>
        <item x="33"/>
        <item x="26"/>
        <item x="39"/>
        <item x="32"/>
        <item x="37"/>
        <item x="36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Amount" fld="3" baseField="0" baseItem="0"/>
    <dataField name="Sum of Profit" fld="4" baseField="0" baseItem="7"/>
  </dataFields>
  <formats count="6"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0" type="button" dataOnly="0" labelOnly="1" outline="0" axis="axisRow" fieldPosition="0"/>
    </format>
    <format dxfId="52">
      <pivotArea dataOnly="0" labelOnly="1" fieldPosition="0">
        <references count="1">
          <reference field="0" count="0"/>
        </references>
      </pivotArea>
    </format>
    <format dxfId="51">
      <pivotArea dataOnly="0" labelOnly="1" grandRow="1" outline="0" fieldPosition="0"/>
    </format>
    <format dxfId="50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5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7D8065-C976-47A5-B714-F9D3D866C4D3}" name="PivotTable45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 rowHeaderCaption="Region">
  <location ref="N5:P10" firstHeaderRow="0" firstDataRow="1" firstDataCol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dataField="1" showAll="0"/>
    <pivotField showAll="0"/>
    <pivotField showAll="0"/>
    <pivotField showAll="0"/>
    <pivotField showAll="0"/>
  </pivotFields>
  <rowFields count="1">
    <field x="1"/>
  </rowFields>
  <rowItems count="5">
    <i>
      <x v="1"/>
    </i>
    <i>
      <x v="2"/>
    </i>
    <i>
      <x v="3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ales" fld="3" baseField="1" baseItem="1"/>
    <dataField name="Profits" fld="4" baseField="1" baseItem="1"/>
  </dataFields>
  <formats count="6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6">
      <pivotArea dataOnly="0" labelOnly="1" grandRow="1" outline="0" fieldPosition="0"/>
    </format>
    <format dxfId="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75A249-BC0A-452D-AC1B-8E9B2F48B7DF}" name="Table1" displayName="Table1" ref="A1:I49" totalsRowShown="0" headerRowDxfId="106" headerRowBorderDxfId="105" tableBorderDxfId="104" totalsRowBorderDxfId="103">
  <autoFilter ref="A1:I49" xr:uid="{EB75A249-BC0A-452D-AC1B-8E9B2F48B7D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F98C656-2469-45C8-B7B6-73F656E2C5A4}" name="Month" dataDxfId="102"/>
    <tableColumn id="2" xr3:uid="{38AD1629-4C39-47D5-8801-274BCB353D0A}" name="Region" dataDxfId="101"/>
    <tableColumn id="3" xr3:uid="{ED0622D5-D233-4EB0-9972-945D43E38321}" name="Product" dataDxfId="100"/>
    <tableColumn id="4" xr3:uid="{3FFFDB87-73FA-49D8-ACF3-9371C55F098B}" name="Sales_Amount" dataDxfId="99"/>
    <tableColumn id="5" xr3:uid="{F4809FF8-862A-4C6C-949C-FD8135D2512E}" name="Profit" dataDxfId="98"/>
    <tableColumn id="6" xr3:uid="{EBF5A801-BE6D-4CC1-A281-0268B8711D48}" name="Units_Sold" dataDxfId="97"/>
    <tableColumn id="7" xr3:uid="{936A9B14-C680-4CB0-B3D6-C04029A88A68}" name="Growth_%" dataDxfId="96"/>
    <tableColumn id="8" xr3:uid="{3447A060-A03D-4F1E-B92B-0E1A56DA5032}" name="Orders" dataDxfId="95"/>
    <tableColumn id="9" xr3:uid="{ADBB0B9E-1871-4F62-A2B2-FA71B13CCBA6}" name="Profit_Margin_%" dataDxfId="9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5F0395-EED6-40F1-9FB9-B5D521BE49AC}" name="Table13" displayName="Table13" ref="A1:I49" totalsRowShown="0" headerRowDxfId="87" headerRowBorderDxfId="86" tableBorderDxfId="85" totalsRowBorderDxfId="84">
  <autoFilter ref="A1:I49" xr:uid="{9D5F0395-EED6-40F1-9FB9-B5D521BE49A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6A408667-3FA6-4784-AA7C-F08F69EB85AF}" name="Month" dataDxfId="83"/>
    <tableColumn id="2" xr3:uid="{527EFA24-DBFF-4C82-AA01-46E2C29218C6}" name="Region" dataDxfId="82"/>
    <tableColumn id="3" xr3:uid="{477921A4-C307-4866-B037-23D7B512CBD7}" name="Product" dataDxfId="81"/>
    <tableColumn id="4" xr3:uid="{939D60E7-B917-46EC-9ADB-1FBBCE22E989}" name="Sales_Amount" dataDxfId="80"/>
    <tableColumn id="5" xr3:uid="{4B1EE0DE-1C58-4C38-9A45-EDF2C49B541E}" name="Profit" dataDxfId="79"/>
    <tableColumn id="6" xr3:uid="{E99D220C-2182-493D-A088-C475DFACB91D}" name="Units_Sold" dataDxfId="78"/>
    <tableColumn id="7" xr3:uid="{4163D5FB-5F5F-4F2D-9DB7-C7DD136375C1}" name="Growth_%" dataDxfId="77"/>
    <tableColumn id="8" xr3:uid="{D81DE6F1-72B7-42FF-A7BA-26D415B677D2}" name="Orders" dataDxfId="76"/>
    <tableColumn id="9" xr3:uid="{BCDA3C26-839F-4DED-B4EF-249B42DA807E}" name="Profit_Margin_%" dataDxfId="7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3D4152-A61F-47F1-BC65-211827DFB46D}" name="Table134" displayName="Table134" ref="A1:I49" totalsRowShown="0" headerRowDxfId="68" headerRowBorderDxfId="67" tableBorderDxfId="66" totalsRowBorderDxfId="65">
  <autoFilter ref="A1:I49" xr:uid="{753D4152-A61F-47F1-BC65-211827DFB4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6E01901C-426B-427E-A24D-73C508131710}" name="Month" dataDxfId="64"/>
    <tableColumn id="2" xr3:uid="{D0DF389A-106A-48B4-9B9A-9E46BA798042}" name="Region" dataDxfId="63"/>
    <tableColumn id="3" xr3:uid="{EA8CE179-DA7B-4CF6-B92F-2D1534A871D5}" name="Product" dataDxfId="62"/>
    <tableColumn id="4" xr3:uid="{D684B49D-BF18-4920-8DBA-ADC1F2780985}" name="Sales_Amount" dataDxfId="61"/>
    <tableColumn id="5" xr3:uid="{CBF4985B-363E-4E83-9584-90C8654E7D34}" name="Profit" dataDxfId="60"/>
    <tableColumn id="6" xr3:uid="{9470F393-1013-4B0F-B147-7F5B0658D698}" name="Units_Sold" dataDxfId="59"/>
    <tableColumn id="7" xr3:uid="{AE53E203-684F-4E11-97EF-51EAC647B389}" name="Growth_%" dataDxfId="58"/>
    <tableColumn id="8" xr3:uid="{0CFD0F54-0507-46A1-AAB3-29D2B71DBB19}" name="Orders" dataDxfId="57"/>
    <tableColumn id="9" xr3:uid="{55E63EFB-2F3D-4E59-83DF-3631B391741B}" name="Profit_Margin_%" dataDxfId="5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2981418-35D8-4E55-B768-BE17FA2230BE}" name="Table5" displayName="Table5" ref="A1:I5" totalsRowShown="0">
  <autoFilter ref="A1:I5" xr:uid="{22981418-35D8-4E55-B768-BE17FA2230BE}"/>
  <tableColumns count="9">
    <tableColumn id="1" xr3:uid="{A1C1DE5C-B073-4ABA-9D9A-DE24481D72AD}" name="Month"/>
    <tableColumn id="2" xr3:uid="{27BA9665-F4C5-477C-B5C7-7ABD2700539D}" name="Region"/>
    <tableColumn id="3" xr3:uid="{6FEB1DEE-55BB-474B-B1D2-1B466E9010E2}" name="Product"/>
    <tableColumn id="4" xr3:uid="{955DF55C-887B-4A35-AD51-E3CA32AF9216}" name="Sales_Amount"/>
    <tableColumn id="5" xr3:uid="{09E9D9BE-300D-4EF1-B05C-1E5BCBF775CB}" name="Profit"/>
    <tableColumn id="6" xr3:uid="{29B0A9EC-9AF9-4016-9DED-6D821B91AF59}" name="Units_Sold"/>
    <tableColumn id="7" xr3:uid="{0B95834B-357F-4B35-81AC-1C1F958103E5}" name="Growth_%"/>
    <tableColumn id="8" xr3:uid="{4F9891B7-A638-4825-9E71-5E9D1A98AB20}" name="Orders"/>
    <tableColumn id="9" xr3:uid="{A9829E44-8973-47C3-9D11-0CB318A583F9}" name="Profit_Margin_%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91F0E9-7D5E-404C-8849-C68BF794B31D}" name="Table15" displayName="Table15" ref="A1:I49" totalsRowShown="0" headerRowDxfId="49" headerRowBorderDxfId="48" tableBorderDxfId="47" totalsRowBorderDxfId="46">
  <autoFilter ref="A1:I49" xr:uid="{2C91F0E9-7D5E-404C-8849-C68BF794B31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467C2E6-5857-4474-BC25-15C338C6E09D}" name="Month" dataDxfId="45"/>
    <tableColumn id="2" xr3:uid="{1CFF481F-5FE6-4AF4-A5F8-591DFA5D36E3}" name="Region" dataDxfId="44"/>
    <tableColumn id="3" xr3:uid="{BD9F51B2-94AE-4268-9CE5-1DCA15EC3D7A}" name="Product" dataDxfId="43"/>
    <tableColumn id="4" xr3:uid="{0C2480BA-D1BB-463B-8310-1E3E490F2B07}" name="Sales_Amount" dataDxfId="42"/>
    <tableColumn id="5" xr3:uid="{902F371C-0D81-4E0E-AE81-84AA86D8E597}" name="Profit" dataDxfId="41"/>
    <tableColumn id="6" xr3:uid="{6D033BB2-26CD-415F-979F-0CDF7EFB169C}" name="Units_Sold" dataDxfId="40"/>
    <tableColumn id="7" xr3:uid="{D5BFB8D3-38FD-410C-B263-1C220E7305E8}" name="Growth_%" dataDxfId="39"/>
    <tableColumn id="8" xr3:uid="{94A0FB70-BAB1-4515-AE19-D4D65CCCC2E0}" name="Orders" dataDxfId="38"/>
    <tableColumn id="9" xr3:uid="{38D4234A-E475-46B9-AB85-D2202718DD12}" name="Profit_Margin_%" dataDxfId="37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358F044-E3F4-40B9-9CA2-4BAA00DCE02C}" name="Table6" displayName="Table6" ref="K5:M17" totalsRowShown="0" headerRowBorderDxfId="36" tableBorderDxfId="35" totalsRowBorderDxfId="34">
  <autoFilter ref="K5:M17" xr:uid="{A358F044-E3F4-40B9-9CA2-4BAA00DCE02C}">
    <filterColumn colId="0" hiddenButton="1"/>
    <filterColumn colId="1" hiddenButton="1"/>
    <filterColumn colId="2" hiddenButton="1"/>
  </autoFilter>
  <tableColumns count="3">
    <tableColumn id="1" xr3:uid="{C71494A4-E976-42A9-A106-6EF030B9C77D}" name="Month" dataDxfId="33"/>
    <tableColumn id="2" xr3:uid="{7835589B-90F8-4D8A-A262-B7FE18822222}" name="Profit" dataDxfId="32"/>
    <tableColumn id="3" xr3:uid="{2E7780BE-9ECD-412A-8FC0-15777B434433}" name="Profit Margin %" dataDxfId="31">
      <calculatedColumnFormula>S5/R5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C40FCBE-CFEE-4695-9009-B40C4D5A8F06}" name="Table158" displayName="Table158" ref="A1:I49" totalsRowShown="0" headerRowDxfId="24" headerRowBorderDxfId="23" tableBorderDxfId="22" totalsRowBorderDxfId="21">
  <autoFilter ref="A1:I49" xr:uid="{4C40FCBE-CFEE-4695-9009-B40C4D5A8F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7308D1A-84D8-4909-ADD2-00BB230E3BC9}" name="Month" dataDxfId="20"/>
    <tableColumn id="2" xr3:uid="{DFB46EA8-D1F6-45D8-AA9F-D7AA75D1A5BF}" name="Region" dataDxfId="19"/>
    <tableColumn id="3" xr3:uid="{5F5F0505-A6C7-45F7-AD48-DE7A2C342D42}" name="Product" dataDxfId="18"/>
    <tableColumn id="4" xr3:uid="{7907A71A-065B-4DAD-8E02-F4214A6F0AA2}" name="Sales_Amount" dataDxfId="17"/>
    <tableColumn id="5" xr3:uid="{6BF0254F-86E5-488D-870E-1BE8C41E52FD}" name="Profit" dataDxfId="16"/>
    <tableColumn id="6" xr3:uid="{C409ED9A-2C7C-495A-B8BC-941471186151}" name="Units_Sold" dataDxfId="15"/>
    <tableColumn id="7" xr3:uid="{639E3C61-4529-4BE5-890A-6609FFD194BF}" name="Growth_%" dataDxfId="14"/>
    <tableColumn id="8" xr3:uid="{3359F67E-8F26-43E4-800B-9A1C27668489}" name="Orders" dataDxfId="13"/>
    <tableColumn id="9" xr3:uid="{00DDB362-0DB0-4C41-AE32-6435BA5B43C0}" name="Profit_Margin_%" dataDxfId="1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9"/>
  <sheetViews>
    <sheetView topLeftCell="A8" zoomScaleNormal="100" workbookViewId="0">
      <selection sqref="A1:I49"/>
    </sheetView>
  </sheetViews>
  <sheetFormatPr defaultRowHeight="14.4" x14ac:dyDescent="0.3"/>
  <cols>
    <col min="1" max="1" width="8.77734375" customWidth="1"/>
    <col min="2" max="2" width="8.88671875" customWidth="1"/>
    <col min="3" max="3" width="9.5546875" customWidth="1"/>
    <col min="4" max="4" width="15.33203125" customWidth="1"/>
    <col min="5" max="5" width="7.77734375" customWidth="1"/>
    <col min="6" max="6" width="12.21875" customWidth="1"/>
    <col min="7" max="7" width="12" customWidth="1"/>
    <col min="8" max="8" width="8.77734375" customWidth="1"/>
    <col min="9" max="9" width="17.33203125" customWidth="1"/>
    <col min="13" max="13" width="12.77734375" bestFit="1" customWidth="1"/>
    <col min="14" max="14" width="20" bestFit="1" customWidth="1"/>
    <col min="15" max="16" width="12.21875" bestFit="1" customWidth="1"/>
  </cols>
  <sheetData>
    <row r="1" spans="1:17" s="1" customFormat="1" ht="14.4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K1" s="44" t="s">
        <v>33</v>
      </c>
      <c r="L1" s="44"/>
      <c r="M1" s="44"/>
      <c r="N1" s="44"/>
      <c r="O1" s="44"/>
      <c r="P1" s="44"/>
      <c r="Q1" s="44"/>
    </row>
    <row r="2" spans="1:17" x14ac:dyDescent="0.3">
      <c r="A2" s="5" t="s">
        <v>9</v>
      </c>
      <c r="B2" s="6" t="s">
        <v>10</v>
      </c>
      <c r="C2" s="6" t="s">
        <v>11</v>
      </c>
      <c r="D2" s="6">
        <v>1250000</v>
      </c>
      <c r="E2" s="6">
        <v>175000</v>
      </c>
      <c r="F2" s="6">
        <v>140</v>
      </c>
      <c r="G2" s="6">
        <v>8.1999999999999993</v>
      </c>
      <c r="H2" s="6">
        <v>101</v>
      </c>
      <c r="I2" s="7">
        <v>14</v>
      </c>
      <c r="K2" s="44"/>
      <c r="L2" s="44"/>
      <c r="M2" s="44"/>
      <c r="N2" s="44"/>
      <c r="O2" s="44"/>
      <c r="P2" s="44"/>
      <c r="Q2" s="44"/>
    </row>
    <row r="3" spans="1:17" x14ac:dyDescent="0.3">
      <c r="A3" s="5" t="s">
        <v>9</v>
      </c>
      <c r="B3" s="6" t="s">
        <v>12</v>
      </c>
      <c r="C3" s="6" t="s">
        <v>11</v>
      </c>
      <c r="D3" s="6">
        <v>1180000</v>
      </c>
      <c r="E3" s="6">
        <v>153000</v>
      </c>
      <c r="F3" s="6">
        <v>132</v>
      </c>
      <c r="G3" s="6">
        <v>6.5</v>
      </c>
      <c r="H3" s="6">
        <v>95</v>
      </c>
      <c r="I3" s="7">
        <v>12.97</v>
      </c>
      <c r="K3" s="44"/>
      <c r="L3" s="44"/>
      <c r="M3" s="44"/>
      <c r="N3" s="44"/>
      <c r="O3" s="44"/>
      <c r="P3" s="44"/>
      <c r="Q3" s="44"/>
    </row>
    <row r="4" spans="1:17" x14ac:dyDescent="0.3">
      <c r="A4" s="5" t="s">
        <v>9</v>
      </c>
      <c r="B4" s="6" t="s">
        <v>13</v>
      </c>
      <c r="C4" s="6" t="s">
        <v>11</v>
      </c>
      <c r="D4" s="6">
        <v>980000</v>
      </c>
      <c r="E4" s="6">
        <v>127000</v>
      </c>
      <c r="F4" s="6">
        <v>110</v>
      </c>
      <c r="G4" s="6">
        <v>5.8</v>
      </c>
      <c r="H4" s="6">
        <v>79</v>
      </c>
      <c r="I4" s="7">
        <v>12.96</v>
      </c>
    </row>
    <row r="5" spans="1:17" x14ac:dyDescent="0.3">
      <c r="A5" s="5" t="s">
        <v>9</v>
      </c>
      <c r="B5" s="6" t="s">
        <v>14</v>
      </c>
      <c r="C5" s="6" t="s">
        <v>11</v>
      </c>
      <c r="D5" s="6">
        <v>1100000</v>
      </c>
      <c r="E5" s="6">
        <v>143000</v>
      </c>
      <c r="F5" s="6">
        <v>124</v>
      </c>
      <c r="G5" s="6">
        <v>7.1</v>
      </c>
      <c r="H5" s="6">
        <v>89</v>
      </c>
      <c r="I5" s="7">
        <v>13</v>
      </c>
      <c r="M5" s="15" t="s">
        <v>30</v>
      </c>
      <c r="N5" s="6" t="s">
        <v>29</v>
      </c>
      <c r="O5" s="6" t="s">
        <v>28</v>
      </c>
    </row>
    <row r="6" spans="1:17" x14ac:dyDescent="0.3">
      <c r="A6" s="5" t="s">
        <v>15</v>
      </c>
      <c r="B6" s="6" t="s">
        <v>10</v>
      </c>
      <c r="C6" s="6" t="s">
        <v>16</v>
      </c>
      <c r="D6" s="6">
        <v>1320000</v>
      </c>
      <c r="E6" s="6">
        <v>198000</v>
      </c>
      <c r="F6" s="6">
        <v>310</v>
      </c>
      <c r="G6" s="6">
        <v>9.6</v>
      </c>
      <c r="H6" s="6">
        <v>223</v>
      </c>
      <c r="I6" s="7">
        <v>15</v>
      </c>
      <c r="M6" s="16" t="s">
        <v>9</v>
      </c>
      <c r="N6" s="17">
        <v>4510000</v>
      </c>
      <c r="O6" s="17">
        <v>598000</v>
      </c>
    </row>
    <row r="7" spans="1:17" x14ac:dyDescent="0.3">
      <c r="A7" s="5" t="s">
        <v>15</v>
      </c>
      <c r="B7" s="6" t="s">
        <v>12</v>
      </c>
      <c r="C7" s="6" t="s">
        <v>16</v>
      </c>
      <c r="D7" s="6">
        <v>1260000</v>
      </c>
      <c r="E7" s="6">
        <v>176000</v>
      </c>
      <c r="F7" s="6">
        <v>295</v>
      </c>
      <c r="G7" s="6">
        <v>6.8</v>
      </c>
      <c r="H7" s="6">
        <v>212</v>
      </c>
      <c r="I7" s="7">
        <v>13.97</v>
      </c>
      <c r="M7" s="16" t="s">
        <v>15</v>
      </c>
      <c r="N7" s="17">
        <v>4820000</v>
      </c>
      <c r="O7" s="17">
        <v>688000</v>
      </c>
    </row>
    <row r="8" spans="1:17" x14ac:dyDescent="0.3">
      <c r="A8" s="5" t="s">
        <v>15</v>
      </c>
      <c r="B8" s="6" t="s">
        <v>13</v>
      </c>
      <c r="C8" s="6" t="s">
        <v>16</v>
      </c>
      <c r="D8" s="6">
        <v>1050000</v>
      </c>
      <c r="E8" s="6">
        <v>147000</v>
      </c>
      <c r="F8" s="6">
        <v>248</v>
      </c>
      <c r="G8" s="6">
        <v>7.1</v>
      </c>
      <c r="H8" s="6">
        <v>179</v>
      </c>
      <c r="I8" s="7">
        <v>14</v>
      </c>
      <c r="M8" s="16" t="s">
        <v>17</v>
      </c>
      <c r="N8" s="17">
        <v>3390000</v>
      </c>
      <c r="O8" s="17">
        <v>484000</v>
      </c>
    </row>
    <row r="9" spans="1:17" x14ac:dyDescent="0.3">
      <c r="A9" s="5" t="s">
        <v>15</v>
      </c>
      <c r="B9" s="6" t="s">
        <v>14</v>
      </c>
      <c r="C9" s="6" t="s">
        <v>16</v>
      </c>
      <c r="D9" s="6">
        <v>1190000</v>
      </c>
      <c r="E9" s="6">
        <v>167000</v>
      </c>
      <c r="F9" s="6">
        <v>276</v>
      </c>
      <c r="G9" s="6">
        <v>8.3000000000000007</v>
      </c>
      <c r="H9" s="6">
        <v>199</v>
      </c>
      <c r="I9" s="7">
        <v>14.03</v>
      </c>
      <c r="M9" s="16" t="s">
        <v>19</v>
      </c>
      <c r="N9" s="17">
        <v>5260000</v>
      </c>
      <c r="O9" s="17">
        <v>750900</v>
      </c>
    </row>
    <row r="10" spans="1:17" x14ac:dyDescent="0.3">
      <c r="A10" s="5" t="s">
        <v>17</v>
      </c>
      <c r="B10" s="6" t="s">
        <v>10</v>
      </c>
      <c r="C10" s="6" t="s">
        <v>18</v>
      </c>
      <c r="D10" s="6">
        <v>920000</v>
      </c>
      <c r="E10" s="6">
        <v>138000</v>
      </c>
      <c r="F10" s="6">
        <v>185</v>
      </c>
      <c r="G10" s="6">
        <v>4.2</v>
      </c>
      <c r="H10" s="6">
        <v>133</v>
      </c>
      <c r="I10" s="7">
        <v>15</v>
      </c>
      <c r="M10" s="16" t="s">
        <v>20</v>
      </c>
      <c r="N10" s="17">
        <v>5490000</v>
      </c>
      <c r="O10" s="17">
        <v>783700</v>
      </c>
    </row>
    <row r="11" spans="1:17" x14ac:dyDescent="0.3">
      <c r="A11" s="5" t="s">
        <v>17</v>
      </c>
      <c r="B11" s="6" t="s">
        <v>12</v>
      </c>
      <c r="C11" s="6" t="s">
        <v>18</v>
      </c>
      <c r="D11" s="6">
        <v>870000</v>
      </c>
      <c r="E11" s="6">
        <v>122000</v>
      </c>
      <c r="F11" s="6">
        <v>172</v>
      </c>
      <c r="G11" s="6">
        <v>3.8</v>
      </c>
      <c r="H11" s="6">
        <v>124</v>
      </c>
      <c r="I11" s="7">
        <v>14.02</v>
      </c>
      <c r="M11" s="16" t="s">
        <v>21</v>
      </c>
      <c r="N11" s="17">
        <v>3610000</v>
      </c>
      <c r="O11" s="17">
        <v>515200</v>
      </c>
    </row>
    <row r="12" spans="1:17" x14ac:dyDescent="0.3">
      <c r="A12" s="5" t="s">
        <v>17</v>
      </c>
      <c r="B12" s="6" t="s">
        <v>13</v>
      </c>
      <c r="C12" s="6" t="s">
        <v>18</v>
      </c>
      <c r="D12" s="6">
        <v>760000</v>
      </c>
      <c r="E12" s="6">
        <v>106000</v>
      </c>
      <c r="F12" s="6">
        <v>151</v>
      </c>
      <c r="G12" s="6">
        <v>4.5999999999999996</v>
      </c>
      <c r="H12" s="6">
        <v>109</v>
      </c>
      <c r="I12" s="7">
        <v>13.95</v>
      </c>
      <c r="M12" s="16" t="s">
        <v>22</v>
      </c>
      <c r="N12" s="17">
        <v>5740000</v>
      </c>
      <c r="O12" s="17">
        <v>819400</v>
      </c>
    </row>
    <row r="13" spans="1:17" x14ac:dyDescent="0.3">
      <c r="A13" s="5" t="s">
        <v>17</v>
      </c>
      <c r="B13" s="6" t="s">
        <v>14</v>
      </c>
      <c r="C13" s="6" t="s">
        <v>18</v>
      </c>
      <c r="D13" s="6">
        <v>840000</v>
      </c>
      <c r="E13" s="6">
        <v>118000</v>
      </c>
      <c r="F13" s="6">
        <v>166</v>
      </c>
      <c r="G13" s="6">
        <v>5.0999999999999996</v>
      </c>
      <c r="H13" s="6">
        <v>120</v>
      </c>
      <c r="I13" s="7">
        <v>14.05</v>
      </c>
      <c r="M13" s="16" t="s">
        <v>23</v>
      </c>
      <c r="N13" s="17">
        <v>6020000</v>
      </c>
      <c r="O13" s="17">
        <v>859300</v>
      </c>
    </row>
    <row r="14" spans="1:17" x14ac:dyDescent="0.3">
      <c r="A14" s="5" t="s">
        <v>19</v>
      </c>
      <c r="B14" s="6" t="s">
        <v>10</v>
      </c>
      <c r="C14" s="6" t="s">
        <v>11</v>
      </c>
      <c r="D14" s="6">
        <v>1450000</v>
      </c>
      <c r="E14" s="6">
        <v>217500</v>
      </c>
      <c r="F14" s="6">
        <v>158</v>
      </c>
      <c r="G14" s="6">
        <v>11.4</v>
      </c>
      <c r="H14" s="6">
        <v>114</v>
      </c>
      <c r="I14" s="7">
        <v>15</v>
      </c>
      <c r="M14" s="16" t="s">
        <v>24</v>
      </c>
      <c r="N14" s="17">
        <v>3850000</v>
      </c>
      <c r="O14" s="17">
        <v>549500</v>
      </c>
    </row>
    <row r="15" spans="1:17" x14ac:dyDescent="0.3">
      <c r="A15" s="5" t="s">
        <v>19</v>
      </c>
      <c r="B15" s="6" t="s">
        <v>12</v>
      </c>
      <c r="C15" s="6" t="s">
        <v>11</v>
      </c>
      <c r="D15" s="6">
        <v>1370000</v>
      </c>
      <c r="E15" s="6">
        <v>191800</v>
      </c>
      <c r="F15" s="6">
        <v>149</v>
      </c>
      <c r="G15" s="6">
        <v>9.1999999999999993</v>
      </c>
      <c r="H15" s="6">
        <v>107</v>
      </c>
      <c r="I15" s="7">
        <v>14</v>
      </c>
      <c r="M15" s="16" t="s">
        <v>25</v>
      </c>
      <c r="N15" s="17">
        <v>6280000</v>
      </c>
      <c r="O15" s="17">
        <v>896400</v>
      </c>
    </row>
    <row r="16" spans="1:17" x14ac:dyDescent="0.3">
      <c r="A16" s="5" t="s">
        <v>19</v>
      </c>
      <c r="B16" s="6" t="s">
        <v>13</v>
      </c>
      <c r="C16" s="6" t="s">
        <v>11</v>
      </c>
      <c r="D16" s="6">
        <v>1150000</v>
      </c>
      <c r="E16" s="6">
        <v>161000</v>
      </c>
      <c r="F16" s="6">
        <v>128</v>
      </c>
      <c r="G16" s="6">
        <v>8.6999999999999993</v>
      </c>
      <c r="H16" s="6">
        <v>92</v>
      </c>
      <c r="I16" s="7">
        <v>14</v>
      </c>
      <c r="M16" s="16" t="s">
        <v>26</v>
      </c>
      <c r="N16" s="17">
        <v>6950000</v>
      </c>
      <c r="O16" s="17">
        <v>992000</v>
      </c>
    </row>
    <row r="17" spans="1:15" x14ac:dyDescent="0.3">
      <c r="A17" s="5" t="s">
        <v>19</v>
      </c>
      <c r="B17" s="6" t="s">
        <v>14</v>
      </c>
      <c r="C17" s="6" t="s">
        <v>11</v>
      </c>
      <c r="D17" s="6">
        <v>1290000</v>
      </c>
      <c r="E17" s="6">
        <v>180600</v>
      </c>
      <c r="F17" s="6">
        <v>141</v>
      </c>
      <c r="G17" s="6">
        <v>10.1</v>
      </c>
      <c r="H17" s="6">
        <v>102</v>
      </c>
      <c r="I17" s="7">
        <v>14</v>
      </c>
      <c r="M17" s="16" t="s">
        <v>27</v>
      </c>
      <c r="N17" s="17">
        <v>4320000</v>
      </c>
      <c r="O17" s="17">
        <v>616600</v>
      </c>
    </row>
    <row r="18" spans="1:15" x14ac:dyDescent="0.3">
      <c r="A18" s="5" t="s">
        <v>20</v>
      </c>
      <c r="B18" s="6" t="s">
        <v>10</v>
      </c>
      <c r="C18" s="6" t="s">
        <v>16</v>
      </c>
      <c r="D18" s="6">
        <v>1510000</v>
      </c>
      <c r="E18" s="6">
        <v>226500</v>
      </c>
      <c r="F18" s="6">
        <v>352</v>
      </c>
      <c r="G18" s="6">
        <v>12.8</v>
      </c>
      <c r="H18" s="6">
        <v>253</v>
      </c>
      <c r="I18" s="7">
        <v>15</v>
      </c>
      <c r="M18" s="16" t="s">
        <v>31</v>
      </c>
      <c r="N18" s="17">
        <v>60240000</v>
      </c>
      <c r="O18" s="17">
        <v>8553000</v>
      </c>
    </row>
    <row r="19" spans="1:15" x14ac:dyDescent="0.3">
      <c r="A19" s="5" t="s">
        <v>20</v>
      </c>
      <c r="B19" s="6" t="s">
        <v>12</v>
      </c>
      <c r="C19" s="6" t="s">
        <v>16</v>
      </c>
      <c r="D19" s="6">
        <v>1430000</v>
      </c>
      <c r="E19" s="6">
        <v>200200</v>
      </c>
      <c r="F19" s="6">
        <v>337</v>
      </c>
      <c r="G19" s="6">
        <v>10.6</v>
      </c>
      <c r="H19" s="6">
        <v>243</v>
      </c>
      <c r="I19" s="7">
        <v>14</v>
      </c>
    </row>
    <row r="20" spans="1:15" x14ac:dyDescent="0.3">
      <c r="A20" s="5" t="s">
        <v>20</v>
      </c>
      <c r="B20" s="6" t="s">
        <v>13</v>
      </c>
      <c r="C20" s="6" t="s">
        <v>16</v>
      </c>
      <c r="D20" s="6">
        <v>1210000</v>
      </c>
      <c r="E20" s="6">
        <v>169400</v>
      </c>
      <c r="F20" s="6">
        <v>286</v>
      </c>
      <c r="G20" s="6">
        <v>9.8000000000000007</v>
      </c>
      <c r="H20" s="6">
        <v>206</v>
      </c>
      <c r="I20" s="7">
        <v>14</v>
      </c>
    </row>
    <row r="21" spans="1:15" x14ac:dyDescent="0.3">
      <c r="A21" s="5" t="s">
        <v>20</v>
      </c>
      <c r="B21" s="6" t="s">
        <v>14</v>
      </c>
      <c r="C21" s="6" t="s">
        <v>16</v>
      </c>
      <c r="D21" s="6">
        <v>1340000</v>
      </c>
      <c r="E21" s="6">
        <v>187600</v>
      </c>
      <c r="F21" s="6">
        <v>315</v>
      </c>
      <c r="G21" s="6">
        <v>11.2</v>
      </c>
      <c r="H21" s="6">
        <v>227</v>
      </c>
      <c r="I21" s="7">
        <v>14</v>
      </c>
    </row>
    <row r="22" spans="1:15" x14ac:dyDescent="0.3">
      <c r="A22" s="5" t="s">
        <v>21</v>
      </c>
      <c r="B22" s="6" t="s">
        <v>10</v>
      </c>
      <c r="C22" s="6" t="s">
        <v>18</v>
      </c>
      <c r="D22" s="6">
        <v>980000</v>
      </c>
      <c r="E22" s="6">
        <v>147000</v>
      </c>
      <c r="F22" s="6">
        <v>202</v>
      </c>
      <c r="G22" s="6">
        <v>6.5</v>
      </c>
      <c r="H22" s="6">
        <v>145</v>
      </c>
      <c r="I22" s="7">
        <v>15</v>
      </c>
    </row>
    <row r="23" spans="1:15" x14ac:dyDescent="0.3">
      <c r="A23" s="5" t="s">
        <v>21</v>
      </c>
      <c r="B23" s="6" t="s">
        <v>12</v>
      </c>
      <c r="C23" s="6" t="s">
        <v>18</v>
      </c>
      <c r="D23" s="6">
        <v>930000</v>
      </c>
      <c r="E23" s="6">
        <v>130200</v>
      </c>
      <c r="F23" s="6">
        <v>191</v>
      </c>
      <c r="G23" s="6">
        <v>5.9</v>
      </c>
      <c r="H23" s="6">
        <v>138</v>
      </c>
      <c r="I23" s="7">
        <v>14</v>
      </c>
    </row>
    <row r="24" spans="1:15" x14ac:dyDescent="0.3">
      <c r="A24" s="5" t="s">
        <v>21</v>
      </c>
      <c r="B24" s="6" t="s">
        <v>13</v>
      </c>
      <c r="C24" s="6" t="s">
        <v>18</v>
      </c>
      <c r="D24" s="6">
        <v>810000</v>
      </c>
      <c r="E24" s="6">
        <v>113400</v>
      </c>
      <c r="F24" s="6">
        <v>169</v>
      </c>
      <c r="G24" s="6">
        <v>6.2</v>
      </c>
      <c r="H24" s="6">
        <v>122</v>
      </c>
      <c r="I24" s="7">
        <v>14</v>
      </c>
    </row>
    <row r="25" spans="1:15" x14ac:dyDescent="0.3">
      <c r="A25" s="5" t="s">
        <v>21</v>
      </c>
      <c r="B25" s="6" t="s">
        <v>14</v>
      </c>
      <c r="C25" s="6" t="s">
        <v>18</v>
      </c>
      <c r="D25" s="6">
        <v>890000</v>
      </c>
      <c r="E25" s="6">
        <v>124600</v>
      </c>
      <c r="F25" s="6">
        <v>181</v>
      </c>
      <c r="G25" s="6">
        <v>6.8</v>
      </c>
      <c r="H25" s="6">
        <v>130</v>
      </c>
      <c r="I25" s="7">
        <v>14</v>
      </c>
    </row>
    <row r="26" spans="1:15" x14ac:dyDescent="0.3">
      <c r="A26" s="5" t="s">
        <v>22</v>
      </c>
      <c r="B26" s="6" t="s">
        <v>10</v>
      </c>
      <c r="C26" s="6" t="s">
        <v>11</v>
      </c>
      <c r="D26" s="6">
        <v>1580000</v>
      </c>
      <c r="E26" s="6">
        <v>237000</v>
      </c>
      <c r="F26" s="6">
        <v>171</v>
      </c>
      <c r="G26" s="6">
        <v>8.9</v>
      </c>
      <c r="H26" s="6">
        <v>123</v>
      </c>
      <c r="I26" s="7">
        <v>15</v>
      </c>
    </row>
    <row r="27" spans="1:15" x14ac:dyDescent="0.3">
      <c r="A27" s="5" t="s">
        <v>22</v>
      </c>
      <c r="B27" s="6" t="s">
        <v>12</v>
      </c>
      <c r="C27" s="6" t="s">
        <v>11</v>
      </c>
      <c r="D27" s="6">
        <v>1490000</v>
      </c>
      <c r="E27" s="6">
        <v>208600</v>
      </c>
      <c r="F27" s="6">
        <v>162</v>
      </c>
      <c r="G27" s="6">
        <v>7.4</v>
      </c>
      <c r="H27" s="6">
        <v>117</v>
      </c>
      <c r="I27" s="7">
        <v>14</v>
      </c>
    </row>
    <row r="28" spans="1:15" x14ac:dyDescent="0.3">
      <c r="A28" s="5" t="s">
        <v>22</v>
      </c>
      <c r="B28" s="6" t="s">
        <v>13</v>
      </c>
      <c r="C28" s="6" t="s">
        <v>11</v>
      </c>
      <c r="D28" s="6">
        <v>1260000</v>
      </c>
      <c r="E28" s="6">
        <v>176400</v>
      </c>
      <c r="F28" s="6">
        <v>139</v>
      </c>
      <c r="G28" s="6">
        <v>7.1</v>
      </c>
      <c r="H28" s="6">
        <v>100</v>
      </c>
      <c r="I28" s="7">
        <v>14</v>
      </c>
    </row>
    <row r="29" spans="1:15" x14ac:dyDescent="0.3">
      <c r="A29" s="5" t="s">
        <v>22</v>
      </c>
      <c r="B29" s="6" t="s">
        <v>14</v>
      </c>
      <c r="C29" s="6" t="s">
        <v>11</v>
      </c>
      <c r="D29" s="6">
        <v>1410000</v>
      </c>
      <c r="E29" s="6">
        <v>197400</v>
      </c>
      <c r="F29" s="6">
        <v>154</v>
      </c>
      <c r="G29" s="6">
        <v>8</v>
      </c>
      <c r="H29" s="6">
        <v>111</v>
      </c>
      <c r="I29" s="7">
        <v>14</v>
      </c>
    </row>
    <row r="30" spans="1:15" x14ac:dyDescent="0.3">
      <c r="A30" s="5" t="s">
        <v>23</v>
      </c>
      <c r="B30" s="6" t="s">
        <v>10</v>
      </c>
      <c r="C30" s="6" t="s">
        <v>16</v>
      </c>
      <c r="D30" s="6">
        <v>1650000</v>
      </c>
      <c r="E30" s="6">
        <v>247500</v>
      </c>
      <c r="F30" s="6">
        <v>381</v>
      </c>
      <c r="G30" s="6">
        <v>10.5</v>
      </c>
      <c r="H30" s="6">
        <v>274</v>
      </c>
      <c r="I30" s="7">
        <v>15</v>
      </c>
    </row>
    <row r="31" spans="1:15" x14ac:dyDescent="0.3">
      <c r="A31" s="5" t="s">
        <v>23</v>
      </c>
      <c r="B31" s="6" t="s">
        <v>12</v>
      </c>
      <c r="C31" s="6" t="s">
        <v>16</v>
      </c>
      <c r="D31" s="6">
        <v>1570000</v>
      </c>
      <c r="E31" s="6">
        <v>219800</v>
      </c>
      <c r="F31" s="6">
        <v>366</v>
      </c>
      <c r="G31" s="6">
        <v>9.1</v>
      </c>
      <c r="H31" s="6">
        <v>264</v>
      </c>
      <c r="I31" s="7">
        <v>14</v>
      </c>
    </row>
    <row r="32" spans="1:15" x14ac:dyDescent="0.3">
      <c r="A32" s="5" t="s">
        <v>23</v>
      </c>
      <c r="B32" s="6" t="s">
        <v>13</v>
      </c>
      <c r="C32" s="6" t="s">
        <v>16</v>
      </c>
      <c r="D32" s="6">
        <v>1320000</v>
      </c>
      <c r="E32" s="6">
        <v>184800</v>
      </c>
      <c r="F32" s="6">
        <v>314</v>
      </c>
      <c r="G32" s="6">
        <v>8.6</v>
      </c>
      <c r="H32" s="6">
        <v>226</v>
      </c>
      <c r="I32" s="7">
        <v>14</v>
      </c>
    </row>
    <row r="33" spans="1:17" x14ac:dyDescent="0.3">
      <c r="A33" s="5" t="s">
        <v>23</v>
      </c>
      <c r="B33" s="6" t="s">
        <v>14</v>
      </c>
      <c r="C33" s="6" t="s">
        <v>16</v>
      </c>
      <c r="D33" s="6">
        <v>1480000</v>
      </c>
      <c r="E33" s="6">
        <v>207200</v>
      </c>
      <c r="F33" s="6">
        <v>345</v>
      </c>
      <c r="G33" s="6">
        <v>9.6999999999999993</v>
      </c>
      <c r="H33" s="6">
        <v>248</v>
      </c>
      <c r="I33" s="7">
        <v>14</v>
      </c>
    </row>
    <row r="34" spans="1:17" x14ac:dyDescent="0.3">
      <c r="A34" s="5" t="s">
        <v>24</v>
      </c>
      <c r="B34" s="6" t="s">
        <v>10</v>
      </c>
      <c r="C34" s="6" t="s">
        <v>18</v>
      </c>
      <c r="D34" s="6">
        <v>1050000</v>
      </c>
      <c r="E34" s="6">
        <v>157500</v>
      </c>
      <c r="F34" s="6">
        <v>218</v>
      </c>
      <c r="G34" s="6">
        <v>5.4</v>
      </c>
      <c r="H34" s="6">
        <v>157</v>
      </c>
      <c r="I34" s="7">
        <v>15</v>
      </c>
    </row>
    <row r="35" spans="1:17" x14ac:dyDescent="0.3">
      <c r="A35" s="5" t="s">
        <v>24</v>
      </c>
      <c r="B35" s="6" t="s">
        <v>12</v>
      </c>
      <c r="C35" s="6" t="s">
        <v>18</v>
      </c>
      <c r="D35" s="6">
        <v>990000</v>
      </c>
      <c r="E35" s="6">
        <v>138600</v>
      </c>
      <c r="F35" s="6">
        <v>204</v>
      </c>
      <c r="G35" s="6">
        <v>4.8</v>
      </c>
      <c r="H35" s="6">
        <v>147</v>
      </c>
      <c r="I35" s="7">
        <v>14</v>
      </c>
    </row>
    <row r="36" spans="1:17" x14ac:dyDescent="0.3">
      <c r="A36" s="5" t="s">
        <v>24</v>
      </c>
      <c r="B36" s="6" t="s">
        <v>13</v>
      </c>
      <c r="C36" s="6" t="s">
        <v>18</v>
      </c>
      <c r="D36" s="6">
        <v>860000</v>
      </c>
      <c r="E36" s="6">
        <v>120400</v>
      </c>
      <c r="F36" s="6">
        <v>179</v>
      </c>
      <c r="G36" s="6">
        <v>5.0999999999999996</v>
      </c>
      <c r="H36" s="6">
        <v>129</v>
      </c>
      <c r="I36" s="7">
        <v>14</v>
      </c>
    </row>
    <row r="37" spans="1:17" x14ac:dyDescent="0.3">
      <c r="A37" s="5" t="s">
        <v>24</v>
      </c>
      <c r="B37" s="6" t="s">
        <v>14</v>
      </c>
      <c r="C37" s="6" t="s">
        <v>18</v>
      </c>
      <c r="D37" s="6">
        <v>950000</v>
      </c>
      <c r="E37" s="6">
        <v>133000</v>
      </c>
      <c r="F37" s="6">
        <v>195</v>
      </c>
      <c r="G37" s="6">
        <v>5.7</v>
      </c>
      <c r="H37" s="6">
        <v>140</v>
      </c>
      <c r="I37" s="7">
        <v>14</v>
      </c>
    </row>
    <row r="38" spans="1:17" x14ac:dyDescent="0.3">
      <c r="A38" s="5" t="s">
        <v>25</v>
      </c>
      <c r="B38" s="6" t="s">
        <v>10</v>
      </c>
      <c r="C38" s="6" t="s">
        <v>11</v>
      </c>
      <c r="D38" s="6">
        <v>1720000</v>
      </c>
      <c r="E38" s="6">
        <v>258000</v>
      </c>
      <c r="F38" s="6">
        <v>188</v>
      </c>
      <c r="G38" s="6">
        <v>9.8000000000000007</v>
      </c>
      <c r="H38" s="6">
        <v>135</v>
      </c>
      <c r="I38" s="7">
        <v>15</v>
      </c>
    </row>
    <row r="39" spans="1:17" x14ac:dyDescent="0.3">
      <c r="A39" s="5" t="s">
        <v>25</v>
      </c>
      <c r="B39" s="6" t="s">
        <v>12</v>
      </c>
      <c r="C39" s="6" t="s">
        <v>11</v>
      </c>
      <c r="D39" s="6">
        <v>1630000</v>
      </c>
      <c r="E39" s="6">
        <v>228200</v>
      </c>
      <c r="F39" s="6">
        <v>177</v>
      </c>
      <c r="G39" s="6">
        <v>8.6</v>
      </c>
      <c r="H39" s="6">
        <v>127</v>
      </c>
      <c r="I39" s="7">
        <v>14</v>
      </c>
    </row>
    <row r="40" spans="1:17" x14ac:dyDescent="0.3">
      <c r="A40" s="5" t="s">
        <v>25</v>
      </c>
      <c r="B40" s="6" t="s">
        <v>13</v>
      </c>
      <c r="C40" s="6" t="s">
        <v>11</v>
      </c>
      <c r="D40" s="6">
        <v>1390000</v>
      </c>
      <c r="E40" s="6">
        <v>194600</v>
      </c>
      <c r="F40" s="6">
        <v>153</v>
      </c>
      <c r="G40" s="6">
        <v>8</v>
      </c>
      <c r="H40" s="6">
        <v>110</v>
      </c>
      <c r="I40" s="7">
        <v>14</v>
      </c>
      <c r="K40" s="43" t="s">
        <v>32</v>
      </c>
      <c r="L40" s="43"/>
      <c r="M40" s="43"/>
      <c r="N40" s="43"/>
      <c r="O40" s="43"/>
      <c r="P40" s="43"/>
      <c r="Q40" s="43"/>
    </row>
    <row r="41" spans="1:17" x14ac:dyDescent="0.3">
      <c r="A41" s="5" t="s">
        <v>25</v>
      </c>
      <c r="B41" s="6" t="s">
        <v>14</v>
      </c>
      <c r="C41" s="6" t="s">
        <v>11</v>
      </c>
      <c r="D41" s="6">
        <v>1540000</v>
      </c>
      <c r="E41" s="6">
        <v>215600</v>
      </c>
      <c r="F41" s="6">
        <v>169</v>
      </c>
      <c r="G41" s="6">
        <v>9.1999999999999993</v>
      </c>
      <c r="H41" s="6">
        <v>122</v>
      </c>
      <c r="I41" s="7">
        <v>14</v>
      </c>
      <c r="K41" s="43"/>
      <c r="L41" s="43"/>
      <c r="M41" s="43"/>
      <c r="N41" s="43"/>
      <c r="O41" s="43"/>
      <c r="P41" s="43"/>
      <c r="Q41" s="43"/>
    </row>
    <row r="42" spans="1:17" x14ac:dyDescent="0.3">
      <c r="A42" s="5" t="s">
        <v>26</v>
      </c>
      <c r="B42" s="6" t="s">
        <v>10</v>
      </c>
      <c r="C42" s="6" t="s">
        <v>16</v>
      </c>
      <c r="D42" s="6">
        <v>1900000</v>
      </c>
      <c r="E42" s="6">
        <v>285000</v>
      </c>
      <c r="F42" s="6">
        <v>435</v>
      </c>
      <c r="G42" s="6">
        <v>14.2</v>
      </c>
      <c r="H42" s="6">
        <v>313</v>
      </c>
      <c r="I42" s="7">
        <v>15</v>
      </c>
      <c r="K42" s="43"/>
      <c r="L42" s="43"/>
      <c r="M42" s="43"/>
      <c r="N42" s="43"/>
      <c r="O42" s="43"/>
      <c r="P42" s="43"/>
      <c r="Q42" s="43"/>
    </row>
    <row r="43" spans="1:17" x14ac:dyDescent="0.3">
      <c r="A43" s="5" t="s">
        <v>26</v>
      </c>
      <c r="B43" s="6" t="s">
        <v>12</v>
      </c>
      <c r="C43" s="6" t="s">
        <v>16</v>
      </c>
      <c r="D43" s="6">
        <v>1810000</v>
      </c>
      <c r="E43" s="6">
        <v>253400</v>
      </c>
      <c r="F43" s="6">
        <v>418</v>
      </c>
      <c r="G43" s="6">
        <v>12.5</v>
      </c>
      <c r="H43" s="6">
        <v>301</v>
      </c>
      <c r="I43" s="7">
        <v>14</v>
      </c>
    </row>
    <row r="44" spans="1:17" x14ac:dyDescent="0.3">
      <c r="A44" s="5" t="s">
        <v>26</v>
      </c>
      <c r="B44" s="6" t="s">
        <v>13</v>
      </c>
      <c r="C44" s="6" t="s">
        <v>16</v>
      </c>
      <c r="D44" s="6">
        <v>1530000</v>
      </c>
      <c r="E44" s="6">
        <v>214200</v>
      </c>
      <c r="F44" s="6">
        <v>362</v>
      </c>
      <c r="G44" s="6">
        <v>11.6</v>
      </c>
      <c r="H44" s="6">
        <v>261</v>
      </c>
      <c r="I44" s="7">
        <v>14</v>
      </c>
    </row>
    <row r="45" spans="1:17" x14ac:dyDescent="0.3">
      <c r="A45" s="5" t="s">
        <v>26</v>
      </c>
      <c r="B45" s="6" t="s">
        <v>14</v>
      </c>
      <c r="C45" s="6" t="s">
        <v>16</v>
      </c>
      <c r="D45" s="6">
        <v>1710000</v>
      </c>
      <c r="E45" s="6">
        <v>239400</v>
      </c>
      <c r="F45" s="6">
        <v>396</v>
      </c>
      <c r="G45" s="6">
        <v>13.1</v>
      </c>
      <c r="H45" s="6">
        <v>285</v>
      </c>
      <c r="I45" s="7">
        <v>14</v>
      </c>
    </row>
    <row r="46" spans="1:17" x14ac:dyDescent="0.3">
      <c r="A46" s="5" t="s">
        <v>27</v>
      </c>
      <c r="B46" s="6" t="s">
        <v>10</v>
      </c>
      <c r="C46" s="6" t="s">
        <v>18</v>
      </c>
      <c r="D46" s="6">
        <v>1180000</v>
      </c>
      <c r="E46" s="6">
        <v>177000</v>
      </c>
      <c r="F46" s="6">
        <v>246</v>
      </c>
      <c r="G46" s="6">
        <v>7.3</v>
      </c>
      <c r="H46" s="6">
        <v>177</v>
      </c>
      <c r="I46" s="7">
        <v>15</v>
      </c>
    </row>
    <row r="47" spans="1:17" x14ac:dyDescent="0.3">
      <c r="A47" s="5" t="s">
        <v>27</v>
      </c>
      <c r="B47" s="6" t="s">
        <v>12</v>
      </c>
      <c r="C47" s="6" t="s">
        <v>18</v>
      </c>
      <c r="D47" s="6">
        <v>1110000</v>
      </c>
      <c r="E47" s="6">
        <v>155400</v>
      </c>
      <c r="F47" s="6">
        <v>231</v>
      </c>
      <c r="G47" s="6">
        <v>6.5</v>
      </c>
      <c r="H47" s="6">
        <v>166</v>
      </c>
      <c r="I47" s="7">
        <v>14</v>
      </c>
    </row>
    <row r="48" spans="1:17" x14ac:dyDescent="0.3">
      <c r="A48" s="5" t="s">
        <v>27</v>
      </c>
      <c r="B48" s="6" t="s">
        <v>13</v>
      </c>
      <c r="C48" s="6" t="s">
        <v>18</v>
      </c>
      <c r="D48" s="6">
        <v>970000</v>
      </c>
      <c r="E48" s="6">
        <v>135800</v>
      </c>
      <c r="F48" s="6">
        <v>202</v>
      </c>
      <c r="G48" s="6">
        <v>6.1</v>
      </c>
      <c r="H48" s="6">
        <v>145</v>
      </c>
      <c r="I48" s="7">
        <v>14</v>
      </c>
    </row>
    <row r="49" spans="1:9" x14ac:dyDescent="0.3">
      <c r="A49" s="8" t="s">
        <v>27</v>
      </c>
      <c r="B49" s="9" t="s">
        <v>14</v>
      </c>
      <c r="C49" s="9" t="s">
        <v>18</v>
      </c>
      <c r="D49" s="9">
        <v>1060000</v>
      </c>
      <c r="E49" s="9">
        <v>148400</v>
      </c>
      <c r="F49" s="9">
        <v>219</v>
      </c>
      <c r="G49" s="9">
        <v>6.9</v>
      </c>
      <c r="H49" s="9">
        <v>158</v>
      </c>
      <c r="I49" s="10">
        <v>14</v>
      </c>
    </row>
  </sheetData>
  <mergeCells count="2">
    <mergeCell ref="K40:Q42"/>
    <mergeCell ref="K1:Q3"/>
  </mergeCells>
  <pageMargins left="0.75" right="0.75" top="1" bottom="1" header="0.5" footer="0.5"/>
  <pageSetup orientation="portrait" r:id="rId2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81DC-7D98-40A3-9D04-7BE4502C5FDE}">
  <dimension ref="A1:S49"/>
  <sheetViews>
    <sheetView topLeftCell="A14" zoomScale="115" zoomScaleNormal="115" workbookViewId="0">
      <selection activeCell="D1" sqref="A1:I49"/>
    </sheetView>
  </sheetViews>
  <sheetFormatPr defaultRowHeight="14.4" x14ac:dyDescent="0.3"/>
  <cols>
    <col min="1" max="1" width="9" bestFit="1" customWidth="1"/>
    <col min="2" max="2" width="9.109375" bestFit="1" customWidth="1"/>
    <col min="3" max="3" width="9.88671875" bestFit="1" customWidth="1"/>
    <col min="4" max="4" width="15.6640625" bestFit="1" customWidth="1"/>
    <col min="5" max="5" width="8" bestFit="1" customWidth="1"/>
    <col min="6" max="6" width="12.44140625" bestFit="1" customWidth="1"/>
    <col min="7" max="7" width="12.21875" bestFit="1" customWidth="1"/>
    <col min="8" max="8" width="9" bestFit="1" customWidth="1"/>
    <col min="9" max="9" width="17.77734375" bestFit="1" customWidth="1"/>
    <col min="13" max="13" width="12.77734375" bestFit="1" customWidth="1"/>
    <col min="14" max="14" width="12.88671875" bestFit="1" customWidth="1"/>
    <col min="15" max="15" width="19.77734375" bestFit="1" customWidth="1"/>
    <col min="16" max="16" width="19.44140625" bestFit="1" customWidth="1"/>
  </cols>
  <sheetData>
    <row r="1" spans="1:19" ht="14.4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K1" s="45" t="s">
        <v>34</v>
      </c>
      <c r="L1" s="46"/>
      <c r="M1" s="46"/>
      <c r="N1" s="46"/>
      <c r="O1" s="46"/>
      <c r="P1" s="46"/>
      <c r="Q1" s="46"/>
      <c r="R1" s="46"/>
      <c r="S1" s="47"/>
    </row>
    <row r="2" spans="1:19" x14ac:dyDescent="0.3">
      <c r="A2" s="5" t="s">
        <v>9</v>
      </c>
      <c r="B2" s="6" t="s">
        <v>10</v>
      </c>
      <c r="C2" s="6" t="s">
        <v>11</v>
      </c>
      <c r="D2" s="6">
        <v>1250000</v>
      </c>
      <c r="E2" s="6">
        <v>175000</v>
      </c>
      <c r="F2" s="6">
        <v>140</v>
      </c>
      <c r="G2" s="6">
        <v>8.1999999999999993</v>
      </c>
      <c r="H2" s="6">
        <v>101</v>
      </c>
      <c r="I2" s="7">
        <v>14</v>
      </c>
      <c r="K2" s="48"/>
      <c r="L2" s="49"/>
      <c r="M2" s="49"/>
      <c r="N2" s="49"/>
      <c r="O2" s="49"/>
      <c r="P2" s="49"/>
      <c r="Q2" s="49"/>
      <c r="R2" s="49"/>
      <c r="S2" s="50"/>
    </row>
    <row r="3" spans="1:19" x14ac:dyDescent="0.3">
      <c r="A3" s="5" t="s">
        <v>9</v>
      </c>
      <c r="B3" s="6" t="s">
        <v>12</v>
      </c>
      <c r="C3" s="6" t="s">
        <v>11</v>
      </c>
      <c r="D3" s="6">
        <v>1180000</v>
      </c>
      <c r="E3" s="6">
        <v>153000</v>
      </c>
      <c r="F3" s="6">
        <v>132</v>
      </c>
      <c r="G3" s="6">
        <v>6.5</v>
      </c>
      <c r="H3" s="6">
        <v>95</v>
      </c>
      <c r="I3" s="7">
        <v>12.97</v>
      </c>
      <c r="K3" s="51"/>
      <c r="L3" s="52"/>
      <c r="M3" s="52"/>
      <c r="N3" s="52"/>
      <c r="O3" s="52"/>
      <c r="P3" s="52"/>
      <c r="Q3" s="52"/>
      <c r="R3" s="52"/>
      <c r="S3" s="53"/>
    </row>
    <row r="4" spans="1:19" ht="15" thickBot="1" x14ac:dyDescent="0.35">
      <c r="A4" s="5" t="s">
        <v>9</v>
      </c>
      <c r="B4" s="6" t="s">
        <v>13</v>
      </c>
      <c r="C4" s="6" t="s">
        <v>11</v>
      </c>
      <c r="D4" s="6">
        <v>980000</v>
      </c>
      <c r="E4" s="6">
        <v>127000</v>
      </c>
      <c r="F4" s="6">
        <v>110</v>
      </c>
      <c r="G4" s="6">
        <v>5.8</v>
      </c>
      <c r="H4" s="6">
        <v>79</v>
      </c>
      <c r="I4" s="7">
        <v>12.96</v>
      </c>
    </row>
    <row r="5" spans="1:19" x14ac:dyDescent="0.3">
      <c r="A5" s="5" t="s">
        <v>9</v>
      </c>
      <c r="B5" s="6" t="s">
        <v>14</v>
      </c>
      <c r="C5" s="6" t="s">
        <v>11</v>
      </c>
      <c r="D5" s="6">
        <v>1100000</v>
      </c>
      <c r="E5" s="6">
        <v>143000</v>
      </c>
      <c r="F5" s="6">
        <v>124</v>
      </c>
      <c r="G5" s="6">
        <v>7.1</v>
      </c>
      <c r="H5" s="6">
        <v>89</v>
      </c>
      <c r="I5" s="7">
        <v>13</v>
      </c>
      <c r="N5" s="18" t="s">
        <v>30</v>
      </c>
      <c r="O5" s="12" t="s">
        <v>29</v>
      </c>
      <c r="P5" s="13" t="s">
        <v>35</v>
      </c>
    </row>
    <row r="6" spans="1:19" x14ac:dyDescent="0.3">
      <c r="A6" s="5" t="s">
        <v>15</v>
      </c>
      <c r="B6" s="6" t="s">
        <v>10</v>
      </c>
      <c r="C6" s="6" t="s">
        <v>16</v>
      </c>
      <c r="D6" s="6">
        <v>1320000</v>
      </c>
      <c r="E6" s="6">
        <v>198000</v>
      </c>
      <c r="F6" s="6">
        <v>310</v>
      </c>
      <c r="G6" s="6">
        <v>9.6</v>
      </c>
      <c r="H6" s="6">
        <v>223</v>
      </c>
      <c r="I6" s="7">
        <v>15</v>
      </c>
      <c r="N6" s="19" t="s">
        <v>9</v>
      </c>
      <c r="O6" s="17">
        <v>4510000</v>
      </c>
      <c r="P6" s="20">
        <v>6.9</v>
      </c>
    </row>
    <row r="7" spans="1:19" x14ac:dyDescent="0.3">
      <c r="A7" s="5" t="s">
        <v>15</v>
      </c>
      <c r="B7" s="6" t="s">
        <v>12</v>
      </c>
      <c r="C7" s="6" t="s">
        <v>16</v>
      </c>
      <c r="D7" s="6">
        <v>1260000</v>
      </c>
      <c r="E7" s="6">
        <v>176000</v>
      </c>
      <c r="F7" s="6">
        <v>295</v>
      </c>
      <c r="G7" s="6">
        <v>6.8</v>
      </c>
      <c r="H7" s="6">
        <v>212</v>
      </c>
      <c r="I7" s="7">
        <v>13.97</v>
      </c>
      <c r="N7" s="19" t="s">
        <v>15</v>
      </c>
      <c r="O7" s="17">
        <v>4820000</v>
      </c>
      <c r="P7" s="20">
        <v>7.95</v>
      </c>
    </row>
    <row r="8" spans="1:19" x14ac:dyDescent="0.3">
      <c r="A8" s="5" t="s">
        <v>15</v>
      </c>
      <c r="B8" s="6" t="s">
        <v>13</v>
      </c>
      <c r="C8" s="6" t="s">
        <v>16</v>
      </c>
      <c r="D8" s="6">
        <v>1050000</v>
      </c>
      <c r="E8" s="6">
        <v>147000</v>
      </c>
      <c r="F8" s="6">
        <v>248</v>
      </c>
      <c r="G8" s="6">
        <v>7.1</v>
      </c>
      <c r="H8" s="6">
        <v>179</v>
      </c>
      <c r="I8" s="7">
        <v>14</v>
      </c>
      <c r="N8" s="19" t="s">
        <v>17</v>
      </c>
      <c r="O8" s="17">
        <v>3390000</v>
      </c>
      <c r="P8" s="20">
        <v>4.4249999999999998</v>
      </c>
    </row>
    <row r="9" spans="1:19" x14ac:dyDescent="0.3">
      <c r="A9" s="5" t="s">
        <v>15</v>
      </c>
      <c r="B9" s="6" t="s">
        <v>14</v>
      </c>
      <c r="C9" s="6" t="s">
        <v>16</v>
      </c>
      <c r="D9" s="6">
        <v>1190000</v>
      </c>
      <c r="E9" s="6">
        <v>167000</v>
      </c>
      <c r="F9" s="6">
        <v>276</v>
      </c>
      <c r="G9" s="6">
        <v>8.3000000000000007</v>
      </c>
      <c r="H9" s="6">
        <v>199</v>
      </c>
      <c r="I9" s="7">
        <v>14.03</v>
      </c>
      <c r="N9" s="19" t="s">
        <v>19</v>
      </c>
      <c r="O9" s="17">
        <v>5260000</v>
      </c>
      <c r="P9" s="20">
        <v>9.85</v>
      </c>
    </row>
    <row r="10" spans="1:19" x14ac:dyDescent="0.3">
      <c r="A10" s="5" t="s">
        <v>17</v>
      </c>
      <c r="B10" s="6" t="s">
        <v>10</v>
      </c>
      <c r="C10" s="6" t="s">
        <v>18</v>
      </c>
      <c r="D10" s="6">
        <v>920000</v>
      </c>
      <c r="E10" s="6">
        <v>138000</v>
      </c>
      <c r="F10" s="6">
        <v>185</v>
      </c>
      <c r="G10" s="6">
        <v>4.2</v>
      </c>
      <c r="H10" s="6">
        <v>133</v>
      </c>
      <c r="I10" s="7">
        <v>15</v>
      </c>
      <c r="N10" s="19" t="s">
        <v>20</v>
      </c>
      <c r="O10" s="17">
        <v>5490000</v>
      </c>
      <c r="P10" s="20">
        <v>11.100000000000001</v>
      </c>
    </row>
    <row r="11" spans="1:19" x14ac:dyDescent="0.3">
      <c r="A11" s="5" t="s">
        <v>17</v>
      </c>
      <c r="B11" s="6" t="s">
        <v>12</v>
      </c>
      <c r="C11" s="6" t="s">
        <v>18</v>
      </c>
      <c r="D11" s="6">
        <v>870000</v>
      </c>
      <c r="E11" s="6">
        <v>122000</v>
      </c>
      <c r="F11" s="6">
        <v>172</v>
      </c>
      <c r="G11" s="6">
        <v>3.8</v>
      </c>
      <c r="H11" s="6">
        <v>124</v>
      </c>
      <c r="I11" s="7">
        <v>14.02</v>
      </c>
      <c r="N11" s="19" t="s">
        <v>21</v>
      </c>
      <c r="O11" s="17">
        <v>3610000</v>
      </c>
      <c r="P11" s="20">
        <v>6.3500000000000005</v>
      </c>
    </row>
    <row r="12" spans="1:19" x14ac:dyDescent="0.3">
      <c r="A12" s="5" t="s">
        <v>17</v>
      </c>
      <c r="B12" s="6" t="s">
        <v>13</v>
      </c>
      <c r="C12" s="6" t="s">
        <v>18</v>
      </c>
      <c r="D12" s="6">
        <v>760000</v>
      </c>
      <c r="E12" s="6">
        <v>106000</v>
      </c>
      <c r="F12" s="6">
        <v>151</v>
      </c>
      <c r="G12" s="6">
        <v>4.5999999999999996</v>
      </c>
      <c r="H12" s="6">
        <v>109</v>
      </c>
      <c r="I12" s="7">
        <v>13.95</v>
      </c>
      <c r="N12" s="19" t="s">
        <v>22</v>
      </c>
      <c r="O12" s="17">
        <v>5740000</v>
      </c>
      <c r="P12" s="20">
        <v>7.85</v>
      </c>
    </row>
    <row r="13" spans="1:19" x14ac:dyDescent="0.3">
      <c r="A13" s="5" t="s">
        <v>17</v>
      </c>
      <c r="B13" s="6" t="s">
        <v>14</v>
      </c>
      <c r="C13" s="6" t="s">
        <v>18</v>
      </c>
      <c r="D13" s="6">
        <v>840000</v>
      </c>
      <c r="E13" s="6">
        <v>118000</v>
      </c>
      <c r="F13" s="6">
        <v>166</v>
      </c>
      <c r="G13" s="6">
        <v>5.0999999999999996</v>
      </c>
      <c r="H13" s="6">
        <v>120</v>
      </c>
      <c r="I13" s="7">
        <v>14.05</v>
      </c>
      <c r="N13" s="19" t="s">
        <v>23</v>
      </c>
      <c r="O13" s="17">
        <v>6020000</v>
      </c>
      <c r="P13" s="20">
        <v>9.4750000000000014</v>
      </c>
    </row>
    <row r="14" spans="1:19" x14ac:dyDescent="0.3">
      <c r="A14" s="5" t="s">
        <v>19</v>
      </c>
      <c r="B14" s="6" t="s">
        <v>10</v>
      </c>
      <c r="C14" s="6" t="s">
        <v>11</v>
      </c>
      <c r="D14" s="6">
        <v>1450000</v>
      </c>
      <c r="E14" s="6">
        <v>217500</v>
      </c>
      <c r="F14" s="6">
        <v>158</v>
      </c>
      <c r="G14" s="6">
        <v>11.4</v>
      </c>
      <c r="H14" s="6">
        <v>114</v>
      </c>
      <c r="I14" s="7">
        <v>15</v>
      </c>
      <c r="N14" s="19" t="s">
        <v>24</v>
      </c>
      <c r="O14" s="17">
        <v>3850000</v>
      </c>
      <c r="P14" s="20">
        <v>5.25</v>
      </c>
    </row>
    <row r="15" spans="1:19" x14ac:dyDescent="0.3">
      <c r="A15" s="5" t="s">
        <v>19</v>
      </c>
      <c r="B15" s="6" t="s">
        <v>12</v>
      </c>
      <c r="C15" s="6" t="s">
        <v>11</v>
      </c>
      <c r="D15" s="6">
        <v>1370000</v>
      </c>
      <c r="E15" s="6">
        <v>191800</v>
      </c>
      <c r="F15" s="6">
        <v>149</v>
      </c>
      <c r="G15" s="6">
        <v>9.1999999999999993</v>
      </c>
      <c r="H15" s="6">
        <v>107</v>
      </c>
      <c r="I15" s="7">
        <v>14</v>
      </c>
      <c r="N15" s="19" t="s">
        <v>25</v>
      </c>
      <c r="O15" s="17">
        <v>6280000</v>
      </c>
      <c r="P15" s="20">
        <v>8.8999999999999986</v>
      </c>
    </row>
    <row r="16" spans="1:19" x14ac:dyDescent="0.3">
      <c r="A16" s="5" t="s">
        <v>19</v>
      </c>
      <c r="B16" s="6" t="s">
        <v>13</v>
      </c>
      <c r="C16" s="6" t="s">
        <v>11</v>
      </c>
      <c r="D16" s="6">
        <v>1150000</v>
      </c>
      <c r="E16" s="6">
        <v>161000</v>
      </c>
      <c r="F16" s="6">
        <v>128</v>
      </c>
      <c r="G16" s="6">
        <v>8.6999999999999993</v>
      </c>
      <c r="H16" s="6">
        <v>92</v>
      </c>
      <c r="I16" s="7">
        <v>14</v>
      </c>
      <c r="N16" s="19" t="s">
        <v>26</v>
      </c>
      <c r="O16" s="17">
        <v>6950000</v>
      </c>
      <c r="P16" s="20">
        <v>12.85</v>
      </c>
    </row>
    <row r="17" spans="1:16" x14ac:dyDescent="0.3">
      <c r="A17" s="5" t="s">
        <v>19</v>
      </c>
      <c r="B17" s="6" t="s">
        <v>14</v>
      </c>
      <c r="C17" s="6" t="s">
        <v>11</v>
      </c>
      <c r="D17" s="6">
        <v>1290000</v>
      </c>
      <c r="E17" s="6">
        <v>180600</v>
      </c>
      <c r="F17" s="6">
        <v>141</v>
      </c>
      <c r="G17" s="6">
        <v>10.1</v>
      </c>
      <c r="H17" s="6">
        <v>102</v>
      </c>
      <c r="I17" s="7">
        <v>14</v>
      </c>
      <c r="N17" s="19" t="s">
        <v>27</v>
      </c>
      <c r="O17" s="17">
        <v>4320000</v>
      </c>
      <c r="P17" s="20">
        <v>6.6999999999999993</v>
      </c>
    </row>
    <row r="18" spans="1:16" ht="15" thickBot="1" x14ac:dyDescent="0.35">
      <c r="A18" s="5" t="s">
        <v>20</v>
      </c>
      <c r="B18" s="6" t="s">
        <v>10</v>
      </c>
      <c r="C18" s="6" t="s">
        <v>16</v>
      </c>
      <c r="D18" s="6">
        <v>1510000</v>
      </c>
      <c r="E18" s="6">
        <v>226500</v>
      </c>
      <c r="F18" s="6">
        <v>352</v>
      </c>
      <c r="G18" s="6">
        <v>12.8</v>
      </c>
      <c r="H18" s="6">
        <v>253</v>
      </c>
      <c r="I18" s="7">
        <v>15</v>
      </c>
      <c r="N18" s="21" t="s">
        <v>31</v>
      </c>
      <c r="O18" s="22">
        <v>60240000</v>
      </c>
      <c r="P18" s="23">
        <v>8.1333333333333346</v>
      </c>
    </row>
    <row r="19" spans="1:16" x14ac:dyDescent="0.3">
      <c r="A19" s="5" t="s">
        <v>20</v>
      </c>
      <c r="B19" s="6" t="s">
        <v>12</v>
      </c>
      <c r="C19" s="6" t="s">
        <v>16</v>
      </c>
      <c r="D19" s="6">
        <v>1430000</v>
      </c>
      <c r="E19" s="6">
        <v>200200</v>
      </c>
      <c r="F19" s="6">
        <v>337</v>
      </c>
      <c r="G19" s="6">
        <v>10.6</v>
      </c>
      <c r="H19" s="6">
        <v>243</v>
      </c>
      <c r="I19" s="7">
        <v>14</v>
      </c>
    </row>
    <row r="20" spans="1:16" x14ac:dyDescent="0.3">
      <c r="A20" s="5" t="s">
        <v>20</v>
      </c>
      <c r="B20" s="6" t="s">
        <v>13</v>
      </c>
      <c r="C20" s="6" t="s">
        <v>16</v>
      </c>
      <c r="D20" s="6">
        <v>1210000</v>
      </c>
      <c r="E20" s="6">
        <v>169400</v>
      </c>
      <c r="F20" s="6">
        <v>286</v>
      </c>
      <c r="G20" s="6">
        <v>9.8000000000000007</v>
      </c>
      <c r="H20" s="6">
        <v>206</v>
      </c>
      <c r="I20" s="7">
        <v>14</v>
      </c>
    </row>
    <row r="21" spans="1:16" x14ac:dyDescent="0.3">
      <c r="A21" s="5" t="s">
        <v>20</v>
      </c>
      <c r="B21" s="6" t="s">
        <v>14</v>
      </c>
      <c r="C21" s="6" t="s">
        <v>16</v>
      </c>
      <c r="D21" s="6">
        <v>1340000</v>
      </c>
      <c r="E21" s="6">
        <v>187600</v>
      </c>
      <c r="F21" s="6">
        <v>315</v>
      </c>
      <c r="G21" s="6">
        <v>11.2</v>
      </c>
      <c r="H21" s="6">
        <v>227</v>
      </c>
      <c r="I21" s="7">
        <v>14</v>
      </c>
    </row>
    <row r="22" spans="1:16" x14ac:dyDescent="0.3">
      <c r="A22" s="5" t="s">
        <v>21</v>
      </c>
      <c r="B22" s="6" t="s">
        <v>10</v>
      </c>
      <c r="C22" s="6" t="s">
        <v>18</v>
      </c>
      <c r="D22" s="6">
        <v>980000</v>
      </c>
      <c r="E22" s="6">
        <v>147000</v>
      </c>
      <c r="F22" s="6">
        <v>202</v>
      </c>
      <c r="G22" s="6">
        <v>6.5</v>
      </c>
      <c r="H22" s="6">
        <v>145</v>
      </c>
      <c r="I22" s="7">
        <v>15</v>
      </c>
    </row>
    <row r="23" spans="1:16" x14ac:dyDescent="0.3">
      <c r="A23" s="5" t="s">
        <v>21</v>
      </c>
      <c r="B23" s="6" t="s">
        <v>12</v>
      </c>
      <c r="C23" s="6" t="s">
        <v>18</v>
      </c>
      <c r="D23" s="6">
        <v>930000</v>
      </c>
      <c r="E23" s="6">
        <v>130200</v>
      </c>
      <c r="F23" s="6">
        <v>191</v>
      </c>
      <c r="G23" s="6">
        <v>5.9</v>
      </c>
      <c r="H23" s="6">
        <v>138</v>
      </c>
      <c r="I23" s="7">
        <v>14</v>
      </c>
    </row>
    <row r="24" spans="1:16" x14ac:dyDescent="0.3">
      <c r="A24" s="5" t="s">
        <v>21</v>
      </c>
      <c r="B24" s="6" t="s">
        <v>13</v>
      </c>
      <c r="C24" s="6" t="s">
        <v>18</v>
      </c>
      <c r="D24" s="6">
        <v>810000</v>
      </c>
      <c r="E24" s="6">
        <v>113400</v>
      </c>
      <c r="F24" s="6">
        <v>169</v>
      </c>
      <c r="G24" s="6">
        <v>6.2</v>
      </c>
      <c r="H24" s="6">
        <v>122</v>
      </c>
      <c r="I24" s="7">
        <v>14</v>
      </c>
    </row>
    <row r="25" spans="1:16" x14ac:dyDescent="0.3">
      <c r="A25" s="5" t="s">
        <v>21</v>
      </c>
      <c r="B25" s="6" t="s">
        <v>14</v>
      </c>
      <c r="C25" s="6" t="s">
        <v>18</v>
      </c>
      <c r="D25" s="6">
        <v>890000</v>
      </c>
      <c r="E25" s="6">
        <v>124600</v>
      </c>
      <c r="F25" s="6">
        <v>181</v>
      </c>
      <c r="G25" s="6">
        <v>6.8</v>
      </c>
      <c r="H25" s="6">
        <v>130</v>
      </c>
      <c r="I25" s="7">
        <v>14</v>
      </c>
    </row>
    <row r="26" spans="1:16" x14ac:dyDescent="0.3">
      <c r="A26" s="5" t="s">
        <v>22</v>
      </c>
      <c r="B26" s="6" t="s">
        <v>10</v>
      </c>
      <c r="C26" s="6" t="s">
        <v>11</v>
      </c>
      <c r="D26" s="6">
        <v>1580000</v>
      </c>
      <c r="E26" s="6">
        <v>237000</v>
      </c>
      <c r="F26" s="6">
        <v>171</v>
      </c>
      <c r="G26" s="6">
        <v>8.9</v>
      </c>
      <c r="H26" s="6">
        <v>123</v>
      </c>
      <c r="I26" s="7">
        <v>15</v>
      </c>
    </row>
    <row r="27" spans="1:16" x14ac:dyDescent="0.3">
      <c r="A27" s="5" t="s">
        <v>22</v>
      </c>
      <c r="B27" s="6" t="s">
        <v>12</v>
      </c>
      <c r="C27" s="6" t="s">
        <v>11</v>
      </c>
      <c r="D27" s="6">
        <v>1490000</v>
      </c>
      <c r="E27" s="6">
        <v>208600</v>
      </c>
      <c r="F27" s="6">
        <v>162</v>
      </c>
      <c r="G27" s="6">
        <v>7.4</v>
      </c>
      <c r="H27" s="6">
        <v>117</v>
      </c>
      <c r="I27" s="7">
        <v>14</v>
      </c>
    </row>
    <row r="28" spans="1:16" x14ac:dyDescent="0.3">
      <c r="A28" s="5" t="s">
        <v>22</v>
      </c>
      <c r="B28" s="6" t="s">
        <v>13</v>
      </c>
      <c r="C28" s="6" t="s">
        <v>11</v>
      </c>
      <c r="D28" s="6">
        <v>1260000</v>
      </c>
      <c r="E28" s="6">
        <v>176400</v>
      </c>
      <c r="F28" s="6">
        <v>139</v>
      </c>
      <c r="G28" s="6">
        <v>7.1</v>
      </c>
      <c r="H28" s="6">
        <v>100</v>
      </c>
      <c r="I28" s="7">
        <v>14</v>
      </c>
    </row>
    <row r="29" spans="1:16" x14ac:dyDescent="0.3">
      <c r="A29" s="5" t="s">
        <v>22</v>
      </c>
      <c r="B29" s="6" t="s">
        <v>14</v>
      </c>
      <c r="C29" s="6" t="s">
        <v>11</v>
      </c>
      <c r="D29" s="6">
        <v>1410000</v>
      </c>
      <c r="E29" s="6">
        <v>197400</v>
      </c>
      <c r="F29" s="6">
        <v>154</v>
      </c>
      <c r="G29" s="6">
        <v>8</v>
      </c>
      <c r="H29" s="6">
        <v>111</v>
      </c>
      <c r="I29" s="7">
        <v>14</v>
      </c>
    </row>
    <row r="30" spans="1:16" x14ac:dyDescent="0.3">
      <c r="A30" s="5" t="s">
        <v>23</v>
      </c>
      <c r="B30" s="6" t="s">
        <v>10</v>
      </c>
      <c r="C30" s="6" t="s">
        <v>16</v>
      </c>
      <c r="D30" s="6">
        <v>1650000</v>
      </c>
      <c r="E30" s="6">
        <v>247500</v>
      </c>
      <c r="F30" s="6">
        <v>381</v>
      </c>
      <c r="G30" s="6">
        <v>10.5</v>
      </c>
      <c r="H30" s="6">
        <v>274</v>
      </c>
      <c r="I30" s="7">
        <v>15</v>
      </c>
    </row>
    <row r="31" spans="1:16" x14ac:dyDescent="0.3">
      <c r="A31" s="5" t="s">
        <v>23</v>
      </c>
      <c r="B31" s="6" t="s">
        <v>12</v>
      </c>
      <c r="C31" s="6" t="s">
        <v>16</v>
      </c>
      <c r="D31" s="6">
        <v>1570000</v>
      </c>
      <c r="E31" s="6">
        <v>219800</v>
      </c>
      <c r="F31" s="6">
        <v>366</v>
      </c>
      <c r="G31" s="6">
        <v>9.1</v>
      </c>
      <c r="H31" s="6">
        <v>264</v>
      </c>
      <c r="I31" s="7">
        <v>14</v>
      </c>
    </row>
    <row r="32" spans="1:16" x14ac:dyDescent="0.3">
      <c r="A32" s="5" t="s">
        <v>23</v>
      </c>
      <c r="B32" s="6" t="s">
        <v>13</v>
      </c>
      <c r="C32" s="6" t="s">
        <v>16</v>
      </c>
      <c r="D32" s="6">
        <v>1320000</v>
      </c>
      <c r="E32" s="6">
        <v>184800</v>
      </c>
      <c r="F32" s="6">
        <v>314</v>
      </c>
      <c r="G32" s="6">
        <v>8.6</v>
      </c>
      <c r="H32" s="6">
        <v>226</v>
      </c>
      <c r="I32" s="7">
        <v>14</v>
      </c>
    </row>
    <row r="33" spans="1:19" x14ac:dyDescent="0.3">
      <c r="A33" s="5" t="s">
        <v>23</v>
      </c>
      <c r="B33" s="6" t="s">
        <v>14</v>
      </c>
      <c r="C33" s="6" t="s">
        <v>16</v>
      </c>
      <c r="D33" s="6">
        <v>1480000</v>
      </c>
      <c r="E33" s="6">
        <v>207200</v>
      </c>
      <c r="F33" s="6">
        <v>345</v>
      </c>
      <c r="G33" s="6">
        <v>9.6999999999999993</v>
      </c>
      <c r="H33" s="6">
        <v>248</v>
      </c>
      <c r="I33" s="7">
        <v>14</v>
      </c>
    </row>
    <row r="34" spans="1:19" x14ac:dyDescent="0.3">
      <c r="A34" s="5" t="s">
        <v>24</v>
      </c>
      <c r="B34" s="6" t="s">
        <v>10</v>
      </c>
      <c r="C34" s="6" t="s">
        <v>18</v>
      </c>
      <c r="D34" s="6">
        <v>1050000</v>
      </c>
      <c r="E34" s="6">
        <v>157500</v>
      </c>
      <c r="F34" s="6">
        <v>218</v>
      </c>
      <c r="G34" s="6">
        <v>5.4</v>
      </c>
      <c r="H34" s="6">
        <v>157</v>
      </c>
      <c r="I34" s="7">
        <v>15</v>
      </c>
    </row>
    <row r="35" spans="1:19" x14ac:dyDescent="0.3">
      <c r="A35" s="5" t="s">
        <v>24</v>
      </c>
      <c r="B35" s="6" t="s">
        <v>12</v>
      </c>
      <c r="C35" s="6" t="s">
        <v>18</v>
      </c>
      <c r="D35" s="6">
        <v>990000</v>
      </c>
      <c r="E35" s="6">
        <v>138600</v>
      </c>
      <c r="F35" s="6">
        <v>204</v>
      </c>
      <c r="G35" s="6">
        <v>4.8</v>
      </c>
      <c r="H35" s="6">
        <v>147</v>
      </c>
      <c r="I35" s="7">
        <v>14</v>
      </c>
    </row>
    <row r="36" spans="1:19" x14ac:dyDescent="0.3">
      <c r="A36" s="5" t="s">
        <v>24</v>
      </c>
      <c r="B36" s="6" t="s">
        <v>13</v>
      </c>
      <c r="C36" s="6" t="s">
        <v>18</v>
      </c>
      <c r="D36" s="6">
        <v>860000</v>
      </c>
      <c r="E36" s="6">
        <v>120400</v>
      </c>
      <c r="F36" s="6">
        <v>179</v>
      </c>
      <c r="G36" s="6">
        <v>5.0999999999999996</v>
      </c>
      <c r="H36" s="6">
        <v>129</v>
      </c>
      <c r="I36" s="7">
        <v>14</v>
      </c>
    </row>
    <row r="37" spans="1:19" x14ac:dyDescent="0.3">
      <c r="A37" s="5" t="s">
        <v>24</v>
      </c>
      <c r="B37" s="6" t="s">
        <v>14</v>
      </c>
      <c r="C37" s="6" t="s">
        <v>18</v>
      </c>
      <c r="D37" s="6">
        <v>950000</v>
      </c>
      <c r="E37" s="6">
        <v>133000</v>
      </c>
      <c r="F37" s="6">
        <v>195</v>
      </c>
      <c r="G37" s="6">
        <v>5.7</v>
      </c>
      <c r="H37" s="6">
        <v>140</v>
      </c>
      <c r="I37" s="7">
        <v>14</v>
      </c>
    </row>
    <row r="38" spans="1:19" x14ac:dyDescent="0.3">
      <c r="A38" s="5" t="s">
        <v>25</v>
      </c>
      <c r="B38" s="6" t="s">
        <v>10</v>
      </c>
      <c r="C38" s="6" t="s">
        <v>11</v>
      </c>
      <c r="D38" s="6">
        <v>1720000</v>
      </c>
      <c r="E38" s="6">
        <v>258000</v>
      </c>
      <c r="F38" s="6">
        <v>188</v>
      </c>
      <c r="G38" s="6">
        <v>9.8000000000000007</v>
      </c>
      <c r="H38" s="6">
        <v>135</v>
      </c>
      <c r="I38" s="7">
        <v>15</v>
      </c>
    </row>
    <row r="39" spans="1:19" x14ac:dyDescent="0.3">
      <c r="A39" s="5" t="s">
        <v>25</v>
      </c>
      <c r="B39" s="6" t="s">
        <v>12</v>
      </c>
      <c r="C39" s="6" t="s">
        <v>11</v>
      </c>
      <c r="D39" s="6">
        <v>1630000</v>
      </c>
      <c r="E39" s="6">
        <v>228200</v>
      </c>
      <c r="F39" s="6">
        <v>177</v>
      </c>
      <c r="G39" s="6">
        <v>8.6</v>
      </c>
      <c r="H39" s="6">
        <v>127</v>
      </c>
      <c r="I39" s="7">
        <v>14</v>
      </c>
    </row>
    <row r="40" spans="1:19" x14ac:dyDescent="0.3">
      <c r="A40" s="5" t="s">
        <v>25</v>
      </c>
      <c r="B40" s="6" t="s">
        <v>13</v>
      </c>
      <c r="C40" s="6" t="s">
        <v>11</v>
      </c>
      <c r="D40" s="6">
        <v>1390000</v>
      </c>
      <c r="E40" s="6">
        <v>194600</v>
      </c>
      <c r="F40" s="6">
        <v>153</v>
      </c>
      <c r="G40" s="6">
        <v>8</v>
      </c>
      <c r="H40" s="6">
        <v>110</v>
      </c>
      <c r="I40" s="7">
        <v>14</v>
      </c>
      <c r="K40" s="54" t="s">
        <v>36</v>
      </c>
      <c r="L40" s="54"/>
      <c r="M40" s="54"/>
      <c r="N40" s="54"/>
      <c r="O40" s="54"/>
      <c r="P40" s="54"/>
      <c r="Q40" s="54"/>
      <c r="R40" s="54"/>
      <c r="S40" s="54"/>
    </row>
    <row r="41" spans="1:19" x14ac:dyDescent="0.3">
      <c r="A41" s="5" t="s">
        <v>25</v>
      </c>
      <c r="B41" s="6" t="s">
        <v>14</v>
      </c>
      <c r="C41" s="6" t="s">
        <v>11</v>
      </c>
      <c r="D41" s="6">
        <v>1540000</v>
      </c>
      <c r="E41" s="6">
        <v>215600</v>
      </c>
      <c r="F41" s="6">
        <v>169</v>
      </c>
      <c r="G41" s="6">
        <v>9.1999999999999993</v>
      </c>
      <c r="H41" s="6">
        <v>122</v>
      </c>
      <c r="I41" s="7">
        <v>14</v>
      </c>
      <c r="K41" s="54"/>
      <c r="L41" s="54"/>
      <c r="M41" s="54"/>
      <c r="N41" s="54"/>
      <c r="O41" s="54"/>
      <c r="P41" s="54"/>
      <c r="Q41" s="54"/>
      <c r="R41" s="54"/>
      <c r="S41" s="54"/>
    </row>
    <row r="42" spans="1:19" x14ac:dyDescent="0.3">
      <c r="A42" s="5" t="s">
        <v>26</v>
      </c>
      <c r="B42" s="6" t="s">
        <v>10</v>
      </c>
      <c r="C42" s="6" t="s">
        <v>16</v>
      </c>
      <c r="D42" s="6">
        <v>1900000</v>
      </c>
      <c r="E42" s="6">
        <v>285000</v>
      </c>
      <c r="F42" s="6">
        <v>435</v>
      </c>
      <c r="G42" s="6">
        <v>14.2</v>
      </c>
      <c r="H42" s="6">
        <v>313</v>
      </c>
      <c r="I42" s="7">
        <v>15</v>
      </c>
      <c r="K42" s="54"/>
      <c r="L42" s="54"/>
      <c r="M42" s="54"/>
      <c r="N42" s="54"/>
      <c r="O42" s="54"/>
      <c r="P42" s="54"/>
      <c r="Q42" s="54"/>
      <c r="R42" s="54"/>
      <c r="S42" s="54"/>
    </row>
    <row r="43" spans="1:19" x14ac:dyDescent="0.3">
      <c r="A43" s="5" t="s">
        <v>26</v>
      </c>
      <c r="B43" s="6" t="s">
        <v>12</v>
      </c>
      <c r="C43" s="6" t="s">
        <v>16</v>
      </c>
      <c r="D43" s="6">
        <v>1810000</v>
      </c>
      <c r="E43" s="6">
        <v>253400</v>
      </c>
      <c r="F43" s="6">
        <v>418</v>
      </c>
      <c r="G43" s="6">
        <v>12.5</v>
      </c>
      <c r="H43" s="6">
        <v>301</v>
      </c>
      <c r="I43" s="7">
        <v>14</v>
      </c>
      <c r="K43" s="54"/>
      <c r="L43" s="54"/>
      <c r="M43" s="54"/>
      <c r="N43" s="54"/>
      <c r="O43" s="54"/>
      <c r="P43" s="54"/>
      <c r="Q43" s="54"/>
      <c r="R43" s="54"/>
      <c r="S43" s="54"/>
    </row>
    <row r="44" spans="1:19" x14ac:dyDescent="0.3">
      <c r="A44" s="5" t="s">
        <v>26</v>
      </c>
      <c r="B44" s="6" t="s">
        <v>13</v>
      </c>
      <c r="C44" s="6" t="s">
        <v>16</v>
      </c>
      <c r="D44" s="6">
        <v>1530000</v>
      </c>
      <c r="E44" s="6">
        <v>214200</v>
      </c>
      <c r="F44" s="6">
        <v>362</v>
      </c>
      <c r="G44" s="6">
        <v>11.6</v>
      </c>
      <c r="H44" s="6">
        <v>261</v>
      </c>
      <c r="I44" s="7">
        <v>14</v>
      </c>
    </row>
    <row r="45" spans="1:19" x14ac:dyDescent="0.3">
      <c r="A45" s="5" t="s">
        <v>26</v>
      </c>
      <c r="B45" s="6" t="s">
        <v>14</v>
      </c>
      <c r="C45" s="6" t="s">
        <v>16</v>
      </c>
      <c r="D45" s="6">
        <v>1710000</v>
      </c>
      <c r="E45" s="6">
        <v>239400</v>
      </c>
      <c r="F45" s="6">
        <v>396</v>
      </c>
      <c r="G45" s="6">
        <v>13.1</v>
      </c>
      <c r="H45" s="6">
        <v>285</v>
      </c>
      <c r="I45" s="7">
        <v>14</v>
      </c>
    </row>
    <row r="46" spans="1:19" x14ac:dyDescent="0.3">
      <c r="A46" s="5" t="s">
        <v>27</v>
      </c>
      <c r="B46" s="6" t="s">
        <v>10</v>
      </c>
      <c r="C46" s="6" t="s">
        <v>18</v>
      </c>
      <c r="D46" s="6">
        <v>1180000</v>
      </c>
      <c r="E46" s="6">
        <v>177000</v>
      </c>
      <c r="F46" s="6">
        <v>246</v>
      </c>
      <c r="G46" s="6">
        <v>7.3</v>
      </c>
      <c r="H46" s="6">
        <v>177</v>
      </c>
      <c r="I46" s="7">
        <v>15</v>
      </c>
    </row>
    <row r="47" spans="1:19" x14ac:dyDescent="0.3">
      <c r="A47" s="5" t="s">
        <v>27</v>
      </c>
      <c r="B47" s="6" t="s">
        <v>12</v>
      </c>
      <c r="C47" s="6" t="s">
        <v>18</v>
      </c>
      <c r="D47" s="6">
        <v>1110000</v>
      </c>
      <c r="E47" s="6">
        <v>155400</v>
      </c>
      <c r="F47" s="6">
        <v>231</v>
      </c>
      <c r="G47" s="6">
        <v>6.5</v>
      </c>
      <c r="H47" s="6">
        <v>166</v>
      </c>
      <c r="I47" s="7">
        <v>14</v>
      </c>
    </row>
    <row r="48" spans="1:19" x14ac:dyDescent="0.3">
      <c r="A48" s="5" t="s">
        <v>27</v>
      </c>
      <c r="B48" s="6" t="s">
        <v>13</v>
      </c>
      <c r="C48" s="6" t="s">
        <v>18</v>
      </c>
      <c r="D48" s="6">
        <v>970000</v>
      </c>
      <c r="E48" s="6">
        <v>135800</v>
      </c>
      <c r="F48" s="6">
        <v>202</v>
      </c>
      <c r="G48" s="6">
        <v>6.1</v>
      </c>
      <c r="H48" s="6">
        <v>145</v>
      </c>
      <c r="I48" s="7">
        <v>14</v>
      </c>
    </row>
    <row r="49" spans="1:9" x14ac:dyDescent="0.3">
      <c r="A49" s="8" t="s">
        <v>27</v>
      </c>
      <c r="B49" s="9" t="s">
        <v>14</v>
      </c>
      <c r="C49" s="9" t="s">
        <v>18</v>
      </c>
      <c r="D49" s="9">
        <v>1060000</v>
      </c>
      <c r="E49" s="9">
        <v>148400</v>
      </c>
      <c r="F49" s="9">
        <v>219</v>
      </c>
      <c r="G49" s="9">
        <v>6.9</v>
      </c>
      <c r="H49" s="9">
        <v>158</v>
      </c>
      <c r="I49" s="10">
        <v>14</v>
      </c>
    </row>
  </sheetData>
  <mergeCells count="2">
    <mergeCell ref="K1:S3"/>
    <mergeCell ref="K40:S43"/>
  </mergeCells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9CC3A-EC0B-4458-A5E7-D952C5DBEA43}">
  <dimension ref="A1:T49"/>
  <sheetViews>
    <sheetView topLeftCell="A16" workbookViewId="0">
      <selection activeCell="T15" sqref="T15"/>
    </sheetView>
  </sheetViews>
  <sheetFormatPr defaultRowHeight="14.4" x14ac:dyDescent="0.3"/>
  <cols>
    <col min="1" max="1" width="7.6640625" bestFit="1" customWidth="1"/>
    <col min="2" max="2" width="6.88671875" bestFit="1" customWidth="1"/>
    <col min="3" max="3" width="7.6640625" bestFit="1" customWidth="1"/>
    <col min="4" max="4" width="13.44140625" bestFit="1" customWidth="1"/>
    <col min="5" max="5" width="7" bestFit="1" customWidth="1"/>
    <col min="6" max="6" width="10.21875" bestFit="1" customWidth="1"/>
    <col min="7" max="7" width="10" bestFit="1" customWidth="1"/>
    <col min="8" max="8" width="6.77734375" bestFit="1" customWidth="1"/>
    <col min="9" max="9" width="15.5546875" bestFit="1" customWidth="1"/>
    <col min="13" max="14" width="12.77734375" bestFit="1" customWidth="1"/>
    <col min="15" max="15" width="20" bestFit="1" customWidth="1"/>
    <col min="16" max="16" width="13.33203125" bestFit="1" customWidth="1"/>
  </cols>
  <sheetData>
    <row r="1" spans="1:20" ht="14.4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K1" s="55" t="s">
        <v>37</v>
      </c>
      <c r="L1" s="56"/>
      <c r="M1" s="56"/>
      <c r="N1" s="56"/>
      <c r="O1" s="56"/>
      <c r="P1" s="56"/>
      <c r="Q1" s="56"/>
      <c r="R1" s="56"/>
      <c r="S1" s="56"/>
      <c r="T1" s="57"/>
    </row>
    <row r="2" spans="1:20" x14ac:dyDescent="0.3">
      <c r="A2" s="5" t="s">
        <v>9</v>
      </c>
      <c r="B2" s="6" t="s">
        <v>10</v>
      </c>
      <c r="C2" s="6" t="s">
        <v>11</v>
      </c>
      <c r="D2" s="6">
        <v>1250000</v>
      </c>
      <c r="E2" s="6">
        <v>175000</v>
      </c>
      <c r="F2" s="6">
        <v>140</v>
      </c>
      <c r="G2" s="6">
        <v>8.1999999999999993</v>
      </c>
      <c r="H2" s="6">
        <v>101</v>
      </c>
      <c r="I2" s="7">
        <v>14</v>
      </c>
      <c r="K2" s="58"/>
      <c r="L2" s="59"/>
      <c r="M2" s="59"/>
      <c r="N2" s="59"/>
      <c r="O2" s="59"/>
      <c r="P2" s="59"/>
      <c r="Q2" s="59"/>
      <c r="R2" s="59"/>
      <c r="S2" s="59"/>
      <c r="T2" s="60"/>
    </row>
    <row r="3" spans="1:20" x14ac:dyDescent="0.3">
      <c r="A3" s="5" t="s">
        <v>9</v>
      </c>
      <c r="B3" s="6" t="s">
        <v>12</v>
      </c>
      <c r="C3" s="6" t="s">
        <v>11</v>
      </c>
      <c r="D3" s="6">
        <v>1180000</v>
      </c>
      <c r="E3" s="6">
        <v>153000</v>
      </c>
      <c r="F3" s="6">
        <v>132</v>
      </c>
      <c r="G3" s="6">
        <v>6.5</v>
      </c>
      <c r="H3" s="6">
        <v>95</v>
      </c>
      <c r="I3" s="7">
        <v>12.97</v>
      </c>
      <c r="K3" s="58"/>
      <c r="L3" s="59"/>
      <c r="M3" s="59"/>
      <c r="N3" s="59"/>
      <c r="O3" s="59"/>
      <c r="P3" s="59"/>
      <c r="Q3" s="59"/>
      <c r="R3" s="59"/>
      <c r="S3" s="59"/>
      <c r="T3" s="60"/>
    </row>
    <row r="4" spans="1:20" ht="15" thickBot="1" x14ac:dyDescent="0.35">
      <c r="A4" s="5" t="s">
        <v>9</v>
      </c>
      <c r="B4" s="6" t="s">
        <v>13</v>
      </c>
      <c r="C4" s="6" t="s">
        <v>11</v>
      </c>
      <c r="D4" s="6">
        <v>980000</v>
      </c>
      <c r="E4" s="6">
        <v>127000</v>
      </c>
      <c r="F4" s="6">
        <v>110</v>
      </c>
      <c r="G4" s="6">
        <v>5.8</v>
      </c>
      <c r="H4" s="6">
        <v>79</v>
      </c>
      <c r="I4" s="7">
        <v>12.96</v>
      </c>
      <c r="K4" s="61"/>
      <c r="L4" s="62"/>
      <c r="M4" s="62"/>
      <c r="N4" s="62"/>
      <c r="O4" s="62"/>
      <c r="P4" s="62"/>
      <c r="Q4" s="62"/>
      <c r="R4" s="62"/>
      <c r="S4" s="62"/>
      <c r="T4" s="63"/>
    </row>
    <row r="5" spans="1:20" ht="15" thickBot="1" x14ac:dyDescent="0.35">
      <c r="A5" s="5" t="s">
        <v>9</v>
      </c>
      <c r="B5" s="6" t="s">
        <v>14</v>
      </c>
      <c r="C5" s="6" t="s">
        <v>11</v>
      </c>
      <c r="D5" s="6">
        <v>1100000</v>
      </c>
      <c r="E5" s="6">
        <v>143000</v>
      </c>
      <c r="F5" s="6">
        <v>124</v>
      </c>
      <c r="G5" s="6">
        <v>7.1</v>
      </c>
      <c r="H5" s="6">
        <v>89</v>
      </c>
      <c r="I5" s="7">
        <v>13</v>
      </c>
    </row>
    <row r="6" spans="1:20" x14ac:dyDescent="0.3">
      <c r="A6" s="5" t="s">
        <v>15</v>
      </c>
      <c r="B6" s="6" t="s">
        <v>10</v>
      </c>
      <c r="C6" s="6" t="s">
        <v>16</v>
      </c>
      <c r="D6" s="6">
        <v>1320000</v>
      </c>
      <c r="E6" s="6">
        <v>198000</v>
      </c>
      <c r="F6" s="6">
        <v>310</v>
      </c>
      <c r="G6" s="6">
        <v>9.6</v>
      </c>
      <c r="H6" s="6">
        <v>223</v>
      </c>
      <c r="I6" s="7">
        <v>15</v>
      </c>
      <c r="N6" s="18" t="s">
        <v>30</v>
      </c>
      <c r="O6" s="12" t="s">
        <v>29</v>
      </c>
      <c r="P6" s="13" t="s">
        <v>38</v>
      </c>
    </row>
    <row r="7" spans="1:20" x14ac:dyDescent="0.3">
      <c r="A7" s="5" t="s">
        <v>15</v>
      </c>
      <c r="B7" s="6" t="s">
        <v>12</v>
      </c>
      <c r="C7" s="6" t="s">
        <v>16</v>
      </c>
      <c r="D7" s="6">
        <v>1260000</v>
      </c>
      <c r="E7" s="6">
        <v>176000</v>
      </c>
      <c r="F7" s="6">
        <v>295</v>
      </c>
      <c r="G7" s="6">
        <v>6.8</v>
      </c>
      <c r="H7" s="6">
        <v>212</v>
      </c>
      <c r="I7" s="7">
        <v>13.97</v>
      </c>
      <c r="N7" s="19" t="s">
        <v>9</v>
      </c>
      <c r="O7" s="17">
        <v>4510000</v>
      </c>
      <c r="P7" s="20">
        <v>364</v>
      </c>
    </row>
    <row r="8" spans="1:20" x14ac:dyDescent="0.3">
      <c r="A8" s="5" t="s">
        <v>15</v>
      </c>
      <c r="B8" s="6" t="s">
        <v>13</v>
      </c>
      <c r="C8" s="6" t="s">
        <v>16</v>
      </c>
      <c r="D8" s="6">
        <v>1050000</v>
      </c>
      <c r="E8" s="6">
        <v>147000</v>
      </c>
      <c r="F8" s="6">
        <v>248</v>
      </c>
      <c r="G8" s="6">
        <v>7.1</v>
      </c>
      <c r="H8" s="6">
        <v>179</v>
      </c>
      <c r="I8" s="7">
        <v>14</v>
      </c>
      <c r="N8" s="19" t="s">
        <v>15</v>
      </c>
      <c r="O8" s="17">
        <v>4820000</v>
      </c>
      <c r="P8" s="20">
        <v>813</v>
      </c>
    </row>
    <row r="9" spans="1:20" x14ac:dyDescent="0.3">
      <c r="A9" s="5" t="s">
        <v>15</v>
      </c>
      <c r="B9" s="6" t="s">
        <v>14</v>
      </c>
      <c r="C9" s="6" t="s">
        <v>16</v>
      </c>
      <c r="D9" s="6">
        <v>1190000</v>
      </c>
      <c r="E9" s="6">
        <v>167000</v>
      </c>
      <c r="F9" s="6">
        <v>276</v>
      </c>
      <c r="G9" s="6">
        <v>8.3000000000000007</v>
      </c>
      <c r="H9" s="6">
        <v>199</v>
      </c>
      <c r="I9" s="7">
        <v>14.03</v>
      </c>
      <c r="N9" s="19" t="s">
        <v>17</v>
      </c>
      <c r="O9" s="17">
        <v>3390000</v>
      </c>
      <c r="P9" s="20">
        <v>486</v>
      </c>
    </row>
    <row r="10" spans="1:20" x14ac:dyDescent="0.3">
      <c r="A10" s="5" t="s">
        <v>17</v>
      </c>
      <c r="B10" s="6" t="s">
        <v>10</v>
      </c>
      <c r="C10" s="6" t="s">
        <v>18</v>
      </c>
      <c r="D10" s="6">
        <v>920000</v>
      </c>
      <c r="E10" s="6">
        <v>138000</v>
      </c>
      <c r="F10" s="6">
        <v>185</v>
      </c>
      <c r="G10" s="6">
        <v>4.2</v>
      </c>
      <c r="H10" s="6">
        <v>133</v>
      </c>
      <c r="I10" s="7">
        <v>15</v>
      </c>
      <c r="N10" s="19" t="s">
        <v>19</v>
      </c>
      <c r="O10" s="17">
        <v>5260000</v>
      </c>
      <c r="P10" s="20">
        <v>415</v>
      </c>
    </row>
    <row r="11" spans="1:20" x14ac:dyDescent="0.3">
      <c r="A11" s="5" t="s">
        <v>17</v>
      </c>
      <c r="B11" s="6" t="s">
        <v>12</v>
      </c>
      <c r="C11" s="6" t="s">
        <v>18</v>
      </c>
      <c r="D11" s="6">
        <v>870000</v>
      </c>
      <c r="E11" s="6">
        <v>122000</v>
      </c>
      <c r="F11" s="6">
        <v>172</v>
      </c>
      <c r="G11" s="6">
        <v>3.8</v>
      </c>
      <c r="H11" s="6">
        <v>124</v>
      </c>
      <c r="I11" s="7">
        <v>14.02</v>
      </c>
      <c r="N11" s="19" t="s">
        <v>20</v>
      </c>
      <c r="O11" s="17">
        <v>5490000</v>
      </c>
      <c r="P11" s="20">
        <v>929</v>
      </c>
    </row>
    <row r="12" spans="1:20" x14ac:dyDescent="0.3">
      <c r="A12" s="5" t="s">
        <v>17</v>
      </c>
      <c r="B12" s="6" t="s">
        <v>13</v>
      </c>
      <c r="C12" s="6" t="s">
        <v>18</v>
      </c>
      <c r="D12" s="6">
        <v>760000</v>
      </c>
      <c r="E12" s="6">
        <v>106000</v>
      </c>
      <c r="F12" s="6">
        <v>151</v>
      </c>
      <c r="G12" s="6">
        <v>4.5999999999999996</v>
      </c>
      <c r="H12" s="6">
        <v>109</v>
      </c>
      <c r="I12" s="7">
        <v>13.95</v>
      </c>
      <c r="N12" s="19" t="s">
        <v>21</v>
      </c>
      <c r="O12" s="17">
        <v>3610000</v>
      </c>
      <c r="P12" s="20">
        <v>535</v>
      </c>
    </row>
    <row r="13" spans="1:20" x14ac:dyDescent="0.3">
      <c r="A13" s="5" t="s">
        <v>17</v>
      </c>
      <c r="B13" s="6" t="s">
        <v>14</v>
      </c>
      <c r="C13" s="6" t="s">
        <v>18</v>
      </c>
      <c r="D13" s="6">
        <v>840000</v>
      </c>
      <c r="E13" s="6">
        <v>118000</v>
      </c>
      <c r="F13" s="6">
        <v>166</v>
      </c>
      <c r="G13" s="6">
        <v>5.0999999999999996</v>
      </c>
      <c r="H13" s="6">
        <v>120</v>
      </c>
      <c r="I13" s="7">
        <v>14.05</v>
      </c>
      <c r="N13" s="19" t="s">
        <v>22</v>
      </c>
      <c r="O13" s="17">
        <v>5740000</v>
      </c>
      <c r="P13" s="20">
        <v>451</v>
      </c>
    </row>
    <row r="14" spans="1:20" x14ac:dyDescent="0.3">
      <c r="A14" s="5" t="s">
        <v>19</v>
      </c>
      <c r="B14" s="6" t="s">
        <v>10</v>
      </c>
      <c r="C14" s="6" t="s">
        <v>11</v>
      </c>
      <c r="D14" s="6">
        <v>1450000</v>
      </c>
      <c r="E14" s="6">
        <v>217500</v>
      </c>
      <c r="F14" s="6">
        <v>158</v>
      </c>
      <c r="G14" s="6">
        <v>11.4</v>
      </c>
      <c r="H14" s="6">
        <v>114</v>
      </c>
      <c r="I14" s="7">
        <v>15</v>
      </c>
      <c r="N14" s="19" t="s">
        <v>23</v>
      </c>
      <c r="O14" s="17">
        <v>6020000</v>
      </c>
      <c r="P14" s="20">
        <v>1012</v>
      </c>
    </row>
    <row r="15" spans="1:20" x14ac:dyDescent="0.3">
      <c r="A15" s="5" t="s">
        <v>19</v>
      </c>
      <c r="B15" s="6" t="s">
        <v>12</v>
      </c>
      <c r="C15" s="6" t="s">
        <v>11</v>
      </c>
      <c r="D15" s="6">
        <v>1370000</v>
      </c>
      <c r="E15" s="6">
        <v>191800</v>
      </c>
      <c r="F15" s="6">
        <v>149</v>
      </c>
      <c r="G15" s="6">
        <v>9.1999999999999993</v>
      </c>
      <c r="H15" s="6">
        <v>107</v>
      </c>
      <c r="I15" s="7">
        <v>14</v>
      </c>
      <c r="N15" s="19" t="s">
        <v>24</v>
      </c>
      <c r="O15" s="17">
        <v>3850000</v>
      </c>
      <c r="P15" s="20">
        <v>573</v>
      </c>
    </row>
    <row r="16" spans="1:20" x14ac:dyDescent="0.3">
      <c r="A16" s="5" t="s">
        <v>19</v>
      </c>
      <c r="B16" s="6" t="s">
        <v>13</v>
      </c>
      <c r="C16" s="6" t="s">
        <v>11</v>
      </c>
      <c r="D16" s="6">
        <v>1150000</v>
      </c>
      <c r="E16" s="6">
        <v>161000</v>
      </c>
      <c r="F16" s="6">
        <v>128</v>
      </c>
      <c r="G16" s="6">
        <v>8.6999999999999993</v>
      </c>
      <c r="H16" s="6">
        <v>92</v>
      </c>
      <c r="I16" s="7">
        <v>14</v>
      </c>
      <c r="N16" s="19" t="s">
        <v>25</v>
      </c>
      <c r="O16" s="17">
        <v>6280000</v>
      </c>
      <c r="P16" s="20">
        <v>494</v>
      </c>
    </row>
    <row r="17" spans="1:16" x14ac:dyDescent="0.3">
      <c r="A17" s="5" t="s">
        <v>19</v>
      </c>
      <c r="B17" s="6" t="s">
        <v>14</v>
      </c>
      <c r="C17" s="6" t="s">
        <v>11</v>
      </c>
      <c r="D17" s="6">
        <v>1290000</v>
      </c>
      <c r="E17" s="6">
        <v>180600</v>
      </c>
      <c r="F17" s="6">
        <v>141</v>
      </c>
      <c r="G17" s="6">
        <v>10.1</v>
      </c>
      <c r="H17" s="6">
        <v>102</v>
      </c>
      <c r="I17" s="7">
        <v>14</v>
      </c>
      <c r="N17" s="19" t="s">
        <v>26</v>
      </c>
      <c r="O17" s="17">
        <v>6950000</v>
      </c>
      <c r="P17" s="20">
        <v>1160</v>
      </c>
    </row>
    <row r="18" spans="1:16" x14ac:dyDescent="0.3">
      <c r="A18" s="5" t="s">
        <v>20</v>
      </c>
      <c r="B18" s="6" t="s">
        <v>10</v>
      </c>
      <c r="C18" s="6" t="s">
        <v>16</v>
      </c>
      <c r="D18" s="6">
        <v>1510000</v>
      </c>
      <c r="E18" s="6">
        <v>226500</v>
      </c>
      <c r="F18" s="6">
        <v>352</v>
      </c>
      <c r="G18" s="6">
        <v>12.8</v>
      </c>
      <c r="H18" s="6">
        <v>253</v>
      </c>
      <c r="I18" s="7">
        <v>15</v>
      </c>
      <c r="N18" s="19" t="s">
        <v>27</v>
      </c>
      <c r="O18" s="17">
        <v>4320000</v>
      </c>
      <c r="P18" s="20">
        <v>646</v>
      </c>
    </row>
    <row r="19" spans="1:16" ht="15" thickBot="1" x14ac:dyDescent="0.35">
      <c r="A19" s="5" t="s">
        <v>20</v>
      </c>
      <c r="B19" s="6" t="s">
        <v>12</v>
      </c>
      <c r="C19" s="6" t="s">
        <v>16</v>
      </c>
      <c r="D19" s="6">
        <v>1430000</v>
      </c>
      <c r="E19" s="6">
        <v>200200</v>
      </c>
      <c r="F19" s="6">
        <v>337</v>
      </c>
      <c r="G19" s="6">
        <v>10.6</v>
      </c>
      <c r="H19" s="6">
        <v>243</v>
      </c>
      <c r="I19" s="7">
        <v>14</v>
      </c>
      <c r="N19" s="21" t="s">
        <v>31</v>
      </c>
      <c r="O19" s="22">
        <v>60240000</v>
      </c>
      <c r="P19" s="23">
        <v>7878</v>
      </c>
    </row>
    <row r="20" spans="1:16" x14ac:dyDescent="0.3">
      <c r="A20" s="5" t="s">
        <v>20</v>
      </c>
      <c r="B20" s="6" t="s">
        <v>13</v>
      </c>
      <c r="C20" s="6" t="s">
        <v>16</v>
      </c>
      <c r="D20" s="6">
        <v>1210000</v>
      </c>
      <c r="E20" s="6">
        <v>169400</v>
      </c>
      <c r="F20" s="6">
        <v>286</v>
      </c>
      <c r="G20" s="6">
        <v>9.8000000000000007</v>
      </c>
      <c r="H20" s="6">
        <v>206</v>
      </c>
      <c r="I20" s="7">
        <v>14</v>
      </c>
    </row>
    <row r="21" spans="1:16" x14ac:dyDescent="0.3">
      <c r="A21" s="5" t="s">
        <v>20</v>
      </c>
      <c r="B21" s="6" t="s">
        <v>14</v>
      </c>
      <c r="C21" s="6" t="s">
        <v>16</v>
      </c>
      <c r="D21" s="6">
        <v>1340000</v>
      </c>
      <c r="E21" s="6">
        <v>187600</v>
      </c>
      <c r="F21" s="6">
        <v>315</v>
      </c>
      <c r="G21" s="6">
        <v>11.2</v>
      </c>
      <c r="H21" s="6">
        <v>227</v>
      </c>
      <c r="I21" s="7">
        <v>14</v>
      </c>
    </row>
    <row r="22" spans="1:16" x14ac:dyDescent="0.3">
      <c r="A22" s="5" t="s">
        <v>21</v>
      </c>
      <c r="B22" s="6" t="s">
        <v>10</v>
      </c>
      <c r="C22" s="6" t="s">
        <v>18</v>
      </c>
      <c r="D22" s="6">
        <v>980000</v>
      </c>
      <c r="E22" s="6">
        <v>147000</v>
      </c>
      <c r="F22" s="6">
        <v>202</v>
      </c>
      <c r="G22" s="6">
        <v>6.5</v>
      </c>
      <c r="H22" s="6">
        <v>145</v>
      </c>
      <c r="I22" s="7">
        <v>15</v>
      </c>
    </row>
    <row r="23" spans="1:16" x14ac:dyDescent="0.3">
      <c r="A23" s="5" t="s">
        <v>21</v>
      </c>
      <c r="B23" s="6" t="s">
        <v>12</v>
      </c>
      <c r="C23" s="6" t="s">
        <v>18</v>
      </c>
      <c r="D23" s="6">
        <v>930000</v>
      </c>
      <c r="E23" s="6">
        <v>130200</v>
      </c>
      <c r="F23" s="6">
        <v>191</v>
      </c>
      <c r="G23" s="6">
        <v>5.9</v>
      </c>
      <c r="H23" s="6">
        <v>138</v>
      </c>
      <c r="I23" s="7">
        <v>14</v>
      </c>
    </row>
    <row r="24" spans="1:16" x14ac:dyDescent="0.3">
      <c r="A24" s="5" t="s">
        <v>21</v>
      </c>
      <c r="B24" s="6" t="s">
        <v>13</v>
      </c>
      <c r="C24" s="6" t="s">
        <v>18</v>
      </c>
      <c r="D24" s="6">
        <v>810000</v>
      </c>
      <c r="E24" s="6">
        <v>113400</v>
      </c>
      <c r="F24" s="6">
        <v>169</v>
      </c>
      <c r="G24" s="6">
        <v>6.2</v>
      </c>
      <c r="H24" s="6">
        <v>122</v>
      </c>
      <c r="I24" s="7">
        <v>14</v>
      </c>
    </row>
    <row r="25" spans="1:16" x14ac:dyDescent="0.3">
      <c r="A25" s="5" t="s">
        <v>21</v>
      </c>
      <c r="B25" s="6" t="s">
        <v>14</v>
      </c>
      <c r="C25" s="6" t="s">
        <v>18</v>
      </c>
      <c r="D25" s="6">
        <v>890000</v>
      </c>
      <c r="E25" s="6">
        <v>124600</v>
      </c>
      <c r="F25" s="6">
        <v>181</v>
      </c>
      <c r="G25" s="6">
        <v>6.8</v>
      </c>
      <c r="H25" s="6">
        <v>130</v>
      </c>
      <c r="I25" s="7">
        <v>14</v>
      </c>
    </row>
    <row r="26" spans="1:16" x14ac:dyDescent="0.3">
      <c r="A26" s="5" t="s">
        <v>22</v>
      </c>
      <c r="B26" s="6" t="s">
        <v>10</v>
      </c>
      <c r="C26" s="6" t="s">
        <v>11</v>
      </c>
      <c r="D26" s="6">
        <v>1580000</v>
      </c>
      <c r="E26" s="6">
        <v>237000</v>
      </c>
      <c r="F26" s="6">
        <v>171</v>
      </c>
      <c r="G26" s="6">
        <v>8.9</v>
      </c>
      <c r="H26" s="6">
        <v>123</v>
      </c>
      <c r="I26" s="7">
        <v>15</v>
      </c>
    </row>
    <row r="27" spans="1:16" x14ac:dyDescent="0.3">
      <c r="A27" s="5" t="s">
        <v>22</v>
      </c>
      <c r="B27" s="6" t="s">
        <v>12</v>
      </c>
      <c r="C27" s="6" t="s">
        <v>11</v>
      </c>
      <c r="D27" s="6">
        <v>1490000</v>
      </c>
      <c r="E27" s="6">
        <v>208600</v>
      </c>
      <c r="F27" s="6">
        <v>162</v>
      </c>
      <c r="G27" s="6">
        <v>7.4</v>
      </c>
      <c r="H27" s="6">
        <v>117</v>
      </c>
      <c r="I27" s="7">
        <v>14</v>
      </c>
    </row>
    <row r="28" spans="1:16" x14ac:dyDescent="0.3">
      <c r="A28" s="5" t="s">
        <v>22</v>
      </c>
      <c r="B28" s="6" t="s">
        <v>13</v>
      </c>
      <c r="C28" s="6" t="s">
        <v>11</v>
      </c>
      <c r="D28" s="6">
        <v>1260000</v>
      </c>
      <c r="E28" s="6">
        <v>176400</v>
      </c>
      <c r="F28" s="6">
        <v>139</v>
      </c>
      <c r="G28" s="6">
        <v>7.1</v>
      </c>
      <c r="H28" s="6">
        <v>100</v>
      </c>
      <c r="I28" s="7">
        <v>14</v>
      </c>
    </row>
    <row r="29" spans="1:16" x14ac:dyDescent="0.3">
      <c r="A29" s="5" t="s">
        <v>22</v>
      </c>
      <c r="B29" s="6" t="s">
        <v>14</v>
      </c>
      <c r="C29" s="6" t="s">
        <v>11</v>
      </c>
      <c r="D29" s="6">
        <v>1410000</v>
      </c>
      <c r="E29" s="6">
        <v>197400</v>
      </c>
      <c r="F29" s="6">
        <v>154</v>
      </c>
      <c r="G29" s="6">
        <v>8</v>
      </c>
      <c r="H29" s="6">
        <v>111</v>
      </c>
      <c r="I29" s="7">
        <v>14</v>
      </c>
    </row>
    <row r="30" spans="1:16" x14ac:dyDescent="0.3">
      <c r="A30" s="5" t="s">
        <v>23</v>
      </c>
      <c r="B30" s="6" t="s">
        <v>10</v>
      </c>
      <c r="C30" s="6" t="s">
        <v>16</v>
      </c>
      <c r="D30" s="6">
        <v>1650000</v>
      </c>
      <c r="E30" s="6">
        <v>247500</v>
      </c>
      <c r="F30" s="6">
        <v>381</v>
      </c>
      <c r="G30" s="6">
        <v>10.5</v>
      </c>
      <c r="H30" s="6">
        <v>274</v>
      </c>
      <c r="I30" s="7">
        <v>15</v>
      </c>
    </row>
    <row r="31" spans="1:16" x14ac:dyDescent="0.3">
      <c r="A31" s="5" t="s">
        <v>23</v>
      </c>
      <c r="B31" s="6" t="s">
        <v>12</v>
      </c>
      <c r="C31" s="6" t="s">
        <v>16</v>
      </c>
      <c r="D31" s="6">
        <v>1570000</v>
      </c>
      <c r="E31" s="6">
        <v>219800</v>
      </c>
      <c r="F31" s="6">
        <v>366</v>
      </c>
      <c r="G31" s="6">
        <v>9.1</v>
      </c>
      <c r="H31" s="6">
        <v>264</v>
      </c>
      <c r="I31" s="7">
        <v>14</v>
      </c>
    </row>
    <row r="32" spans="1:16" x14ac:dyDescent="0.3">
      <c r="A32" s="5" t="s">
        <v>23</v>
      </c>
      <c r="B32" s="6" t="s">
        <v>13</v>
      </c>
      <c r="C32" s="6" t="s">
        <v>16</v>
      </c>
      <c r="D32" s="6">
        <v>1320000</v>
      </c>
      <c r="E32" s="6">
        <v>184800</v>
      </c>
      <c r="F32" s="6">
        <v>314</v>
      </c>
      <c r="G32" s="6">
        <v>8.6</v>
      </c>
      <c r="H32" s="6">
        <v>226</v>
      </c>
      <c r="I32" s="7">
        <v>14</v>
      </c>
    </row>
    <row r="33" spans="1:20" x14ac:dyDescent="0.3">
      <c r="A33" s="5" t="s">
        <v>23</v>
      </c>
      <c r="B33" s="6" t="s">
        <v>14</v>
      </c>
      <c r="C33" s="6" t="s">
        <v>16</v>
      </c>
      <c r="D33" s="6">
        <v>1480000</v>
      </c>
      <c r="E33" s="6">
        <v>207200</v>
      </c>
      <c r="F33" s="6">
        <v>345</v>
      </c>
      <c r="G33" s="6">
        <v>9.6999999999999993</v>
      </c>
      <c r="H33" s="6">
        <v>248</v>
      </c>
      <c r="I33" s="7">
        <v>14</v>
      </c>
    </row>
    <row r="34" spans="1:20" x14ac:dyDescent="0.3">
      <c r="A34" s="5" t="s">
        <v>24</v>
      </c>
      <c r="B34" s="6" t="s">
        <v>10</v>
      </c>
      <c r="C34" s="6" t="s">
        <v>18</v>
      </c>
      <c r="D34" s="6">
        <v>1050000</v>
      </c>
      <c r="E34" s="6">
        <v>157500</v>
      </c>
      <c r="F34" s="6">
        <v>218</v>
      </c>
      <c r="G34" s="6">
        <v>5.4</v>
      </c>
      <c r="H34" s="6">
        <v>157</v>
      </c>
      <c r="I34" s="7">
        <v>15</v>
      </c>
    </row>
    <row r="35" spans="1:20" x14ac:dyDescent="0.3">
      <c r="A35" s="5" t="s">
        <v>24</v>
      </c>
      <c r="B35" s="6" t="s">
        <v>12</v>
      </c>
      <c r="C35" s="6" t="s">
        <v>18</v>
      </c>
      <c r="D35" s="6">
        <v>990000</v>
      </c>
      <c r="E35" s="6">
        <v>138600</v>
      </c>
      <c r="F35" s="6">
        <v>204</v>
      </c>
      <c r="G35" s="6">
        <v>4.8</v>
      </c>
      <c r="H35" s="6">
        <v>147</v>
      </c>
      <c r="I35" s="7">
        <v>14</v>
      </c>
    </row>
    <row r="36" spans="1:20" x14ac:dyDescent="0.3">
      <c r="A36" s="5" t="s">
        <v>24</v>
      </c>
      <c r="B36" s="6" t="s">
        <v>13</v>
      </c>
      <c r="C36" s="6" t="s">
        <v>18</v>
      </c>
      <c r="D36" s="6">
        <v>860000</v>
      </c>
      <c r="E36" s="6">
        <v>120400</v>
      </c>
      <c r="F36" s="6">
        <v>179</v>
      </c>
      <c r="G36" s="6">
        <v>5.0999999999999996</v>
      </c>
      <c r="H36" s="6">
        <v>129</v>
      </c>
      <c r="I36" s="7">
        <v>14</v>
      </c>
    </row>
    <row r="37" spans="1:20" x14ac:dyDescent="0.3">
      <c r="A37" s="5" t="s">
        <v>24</v>
      </c>
      <c r="B37" s="6" t="s">
        <v>14</v>
      </c>
      <c r="C37" s="6" t="s">
        <v>18</v>
      </c>
      <c r="D37" s="6">
        <v>950000</v>
      </c>
      <c r="E37" s="6">
        <v>133000</v>
      </c>
      <c r="F37" s="6">
        <v>195</v>
      </c>
      <c r="G37" s="6">
        <v>5.7</v>
      </c>
      <c r="H37" s="6">
        <v>140</v>
      </c>
      <c r="I37" s="7">
        <v>14</v>
      </c>
    </row>
    <row r="38" spans="1:20" x14ac:dyDescent="0.3">
      <c r="A38" s="5" t="s">
        <v>25</v>
      </c>
      <c r="B38" s="6" t="s">
        <v>10</v>
      </c>
      <c r="C38" s="6" t="s">
        <v>11</v>
      </c>
      <c r="D38" s="6">
        <v>1720000</v>
      </c>
      <c r="E38" s="6">
        <v>258000</v>
      </c>
      <c r="F38" s="6">
        <v>188</v>
      </c>
      <c r="G38" s="6">
        <v>9.8000000000000007</v>
      </c>
      <c r="H38" s="6">
        <v>135</v>
      </c>
      <c r="I38" s="7">
        <v>15</v>
      </c>
    </row>
    <row r="39" spans="1:20" x14ac:dyDescent="0.3">
      <c r="A39" s="5" t="s">
        <v>25</v>
      </c>
      <c r="B39" s="6" t="s">
        <v>12</v>
      </c>
      <c r="C39" s="6" t="s">
        <v>11</v>
      </c>
      <c r="D39" s="6">
        <v>1630000</v>
      </c>
      <c r="E39" s="6">
        <v>228200</v>
      </c>
      <c r="F39" s="6">
        <v>177</v>
      </c>
      <c r="G39" s="6">
        <v>8.6</v>
      </c>
      <c r="H39" s="6">
        <v>127</v>
      </c>
      <c r="I39" s="7">
        <v>14</v>
      </c>
    </row>
    <row r="40" spans="1:20" x14ac:dyDescent="0.3">
      <c r="A40" s="5" t="s">
        <v>25</v>
      </c>
      <c r="B40" s="6" t="s">
        <v>13</v>
      </c>
      <c r="C40" s="6" t="s">
        <v>11</v>
      </c>
      <c r="D40" s="6">
        <v>1390000</v>
      </c>
      <c r="E40" s="6">
        <v>194600</v>
      </c>
      <c r="F40" s="6">
        <v>153</v>
      </c>
      <c r="G40" s="6">
        <v>8</v>
      </c>
      <c r="H40" s="6">
        <v>110</v>
      </c>
      <c r="I40" s="7">
        <v>14</v>
      </c>
    </row>
    <row r="41" spans="1:20" x14ac:dyDescent="0.3">
      <c r="A41" s="5" t="s">
        <v>25</v>
      </c>
      <c r="B41" s="6" t="s">
        <v>14</v>
      </c>
      <c r="C41" s="6" t="s">
        <v>11</v>
      </c>
      <c r="D41" s="6">
        <v>1540000</v>
      </c>
      <c r="E41" s="6">
        <v>215600</v>
      </c>
      <c r="F41" s="6">
        <v>169</v>
      </c>
      <c r="G41" s="6">
        <v>9.1999999999999993</v>
      </c>
      <c r="H41" s="6">
        <v>122</v>
      </c>
      <c r="I41" s="7">
        <v>14</v>
      </c>
      <c r="K41" s="64" t="s">
        <v>39</v>
      </c>
      <c r="L41" s="64"/>
      <c r="M41" s="64"/>
      <c r="N41" s="64"/>
      <c r="O41" s="64"/>
      <c r="P41" s="64"/>
      <c r="Q41" s="64"/>
      <c r="R41" s="64"/>
      <c r="S41" s="64"/>
      <c r="T41" s="64"/>
    </row>
    <row r="42" spans="1:20" x14ac:dyDescent="0.3">
      <c r="A42" s="5" t="s">
        <v>26</v>
      </c>
      <c r="B42" s="6" t="s">
        <v>10</v>
      </c>
      <c r="C42" s="6" t="s">
        <v>16</v>
      </c>
      <c r="D42" s="6">
        <v>1900000</v>
      </c>
      <c r="E42" s="6">
        <v>285000</v>
      </c>
      <c r="F42" s="6">
        <v>435</v>
      </c>
      <c r="G42" s="6">
        <v>14.2</v>
      </c>
      <c r="H42" s="6">
        <v>313</v>
      </c>
      <c r="I42" s="7">
        <v>15</v>
      </c>
      <c r="K42" s="65" t="s">
        <v>40</v>
      </c>
      <c r="L42" s="65"/>
      <c r="M42" s="65"/>
      <c r="N42" s="65"/>
      <c r="O42" s="65"/>
      <c r="P42" s="65"/>
      <c r="Q42" s="65"/>
      <c r="R42" s="65"/>
      <c r="S42" s="65"/>
      <c r="T42" s="65"/>
    </row>
    <row r="43" spans="1:20" x14ac:dyDescent="0.3">
      <c r="A43" s="5" t="s">
        <v>26</v>
      </c>
      <c r="B43" s="6" t="s">
        <v>12</v>
      </c>
      <c r="C43" s="6" t="s">
        <v>16</v>
      </c>
      <c r="D43" s="6">
        <v>1810000</v>
      </c>
      <c r="E43" s="6">
        <v>253400</v>
      </c>
      <c r="F43" s="6">
        <v>418</v>
      </c>
      <c r="G43" s="6">
        <v>12.5</v>
      </c>
      <c r="H43" s="6">
        <v>301</v>
      </c>
      <c r="I43" s="7">
        <v>14</v>
      </c>
      <c r="K43" s="65"/>
      <c r="L43" s="65"/>
      <c r="M43" s="65"/>
      <c r="N43" s="65"/>
      <c r="O43" s="65"/>
      <c r="P43" s="65"/>
      <c r="Q43" s="65"/>
      <c r="R43" s="65"/>
      <c r="S43" s="65"/>
      <c r="T43" s="65"/>
    </row>
    <row r="44" spans="1:20" x14ac:dyDescent="0.3">
      <c r="A44" s="5" t="s">
        <v>26</v>
      </c>
      <c r="B44" s="6" t="s">
        <v>13</v>
      </c>
      <c r="C44" s="6" t="s">
        <v>16</v>
      </c>
      <c r="D44" s="6">
        <v>1530000</v>
      </c>
      <c r="E44" s="6">
        <v>214200</v>
      </c>
      <c r="F44" s="6">
        <v>362</v>
      </c>
      <c r="G44" s="6">
        <v>11.6</v>
      </c>
      <c r="H44" s="6">
        <v>261</v>
      </c>
      <c r="I44" s="7">
        <v>14</v>
      </c>
      <c r="K44" s="65"/>
      <c r="L44" s="65"/>
      <c r="M44" s="65"/>
      <c r="N44" s="65"/>
      <c r="O44" s="65"/>
      <c r="P44" s="65"/>
      <c r="Q44" s="65"/>
      <c r="R44" s="65"/>
      <c r="S44" s="65"/>
      <c r="T44" s="65"/>
    </row>
    <row r="45" spans="1:20" x14ac:dyDescent="0.3">
      <c r="A45" s="5" t="s">
        <v>26</v>
      </c>
      <c r="B45" s="6" t="s">
        <v>14</v>
      </c>
      <c r="C45" s="6" t="s">
        <v>16</v>
      </c>
      <c r="D45" s="6">
        <v>1710000</v>
      </c>
      <c r="E45" s="6">
        <v>239400</v>
      </c>
      <c r="F45" s="6">
        <v>396</v>
      </c>
      <c r="G45" s="6">
        <v>13.1</v>
      </c>
      <c r="H45" s="6">
        <v>285</v>
      </c>
      <c r="I45" s="7">
        <v>14</v>
      </c>
      <c r="K45" s="65"/>
      <c r="L45" s="65"/>
      <c r="M45" s="65"/>
      <c r="N45" s="65"/>
      <c r="O45" s="65"/>
      <c r="P45" s="65"/>
      <c r="Q45" s="65"/>
      <c r="R45" s="65"/>
      <c r="S45" s="65"/>
      <c r="T45" s="65"/>
    </row>
    <row r="46" spans="1:20" x14ac:dyDescent="0.3">
      <c r="A46" s="5" t="s">
        <v>27</v>
      </c>
      <c r="B46" s="6" t="s">
        <v>10</v>
      </c>
      <c r="C46" s="6" t="s">
        <v>18</v>
      </c>
      <c r="D46" s="6">
        <v>1180000</v>
      </c>
      <c r="E46" s="6">
        <v>177000</v>
      </c>
      <c r="F46" s="6">
        <v>246</v>
      </c>
      <c r="G46" s="6">
        <v>7.3</v>
      </c>
      <c r="H46" s="6">
        <v>177</v>
      </c>
      <c r="I46" s="7">
        <v>15</v>
      </c>
      <c r="K46" s="65"/>
      <c r="L46" s="65"/>
      <c r="M46" s="65"/>
      <c r="N46" s="65"/>
      <c r="O46" s="65"/>
      <c r="P46" s="65"/>
      <c r="Q46" s="65"/>
      <c r="R46" s="65"/>
      <c r="S46" s="65"/>
      <c r="T46" s="65"/>
    </row>
    <row r="47" spans="1:20" x14ac:dyDescent="0.3">
      <c r="A47" s="5" t="s">
        <v>27</v>
      </c>
      <c r="B47" s="6" t="s">
        <v>12</v>
      </c>
      <c r="C47" s="6" t="s">
        <v>18</v>
      </c>
      <c r="D47" s="6">
        <v>1110000</v>
      </c>
      <c r="E47" s="6">
        <v>155400</v>
      </c>
      <c r="F47" s="6">
        <v>231</v>
      </c>
      <c r="G47" s="6">
        <v>6.5</v>
      </c>
      <c r="H47" s="6">
        <v>166</v>
      </c>
      <c r="I47" s="7">
        <v>14</v>
      </c>
    </row>
    <row r="48" spans="1:20" x14ac:dyDescent="0.3">
      <c r="A48" s="5" t="s">
        <v>27</v>
      </c>
      <c r="B48" s="6" t="s">
        <v>13</v>
      </c>
      <c r="C48" s="6" t="s">
        <v>18</v>
      </c>
      <c r="D48" s="6">
        <v>970000</v>
      </c>
      <c r="E48" s="6">
        <v>135800</v>
      </c>
      <c r="F48" s="6">
        <v>202</v>
      </c>
      <c r="G48" s="6">
        <v>6.1</v>
      </c>
      <c r="H48" s="6">
        <v>145</v>
      </c>
      <c r="I48" s="7">
        <v>14</v>
      </c>
    </row>
    <row r="49" spans="1:19" x14ac:dyDescent="0.3">
      <c r="A49" s="8" t="s">
        <v>27</v>
      </c>
      <c r="B49" s="9" t="s">
        <v>14</v>
      </c>
      <c r="C49" s="9" t="s">
        <v>18</v>
      </c>
      <c r="D49" s="9">
        <v>1060000</v>
      </c>
      <c r="E49" s="9">
        <v>148400</v>
      </c>
      <c r="F49" s="9">
        <v>219</v>
      </c>
      <c r="G49" s="9">
        <v>6.9</v>
      </c>
      <c r="H49" s="9">
        <v>158</v>
      </c>
      <c r="I49" s="10">
        <v>14</v>
      </c>
      <c r="S49" s="6"/>
    </row>
  </sheetData>
  <mergeCells count="3">
    <mergeCell ref="K1:T4"/>
    <mergeCell ref="K41:T41"/>
    <mergeCell ref="K42:T46"/>
  </mergeCells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1E8A7-A513-465E-BED0-C9772924C955}">
  <dimension ref="A1:I5"/>
  <sheetViews>
    <sheetView workbookViewId="0">
      <selection sqref="A1:I5"/>
    </sheetView>
  </sheetViews>
  <sheetFormatPr defaultRowHeight="14.4" x14ac:dyDescent="0.3"/>
  <cols>
    <col min="3" max="3" width="9.5546875" customWidth="1"/>
    <col min="4" max="4" width="15.33203125" customWidth="1"/>
    <col min="6" max="6" width="12.21875" customWidth="1"/>
    <col min="7" max="7" width="12" customWidth="1"/>
    <col min="9" max="9" width="17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1250000</v>
      </c>
      <c r="E2">
        <v>175000</v>
      </c>
      <c r="F2">
        <v>140</v>
      </c>
      <c r="G2">
        <v>8.1999999999999993</v>
      </c>
      <c r="H2">
        <v>101</v>
      </c>
      <c r="I2">
        <v>14</v>
      </c>
    </row>
    <row r="3" spans="1:9" x14ac:dyDescent="0.3">
      <c r="A3" t="s">
        <v>9</v>
      </c>
      <c r="B3" t="s">
        <v>12</v>
      </c>
      <c r="C3" t="s">
        <v>11</v>
      </c>
      <c r="D3">
        <v>1180000</v>
      </c>
      <c r="E3">
        <v>153000</v>
      </c>
      <c r="F3">
        <v>132</v>
      </c>
      <c r="G3">
        <v>6.5</v>
      </c>
      <c r="H3">
        <v>95</v>
      </c>
      <c r="I3">
        <v>12.97</v>
      </c>
    </row>
    <row r="4" spans="1:9" x14ac:dyDescent="0.3">
      <c r="A4" t="s">
        <v>9</v>
      </c>
      <c r="B4" t="s">
        <v>13</v>
      </c>
      <c r="C4" t="s">
        <v>11</v>
      </c>
      <c r="D4">
        <v>980000</v>
      </c>
      <c r="E4">
        <v>127000</v>
      </c>
      <c r="F4">
        <v>110</v>
      </c>
      <c r="G4">
        <v>5.8</v>
      </c>
      <c r="H4">
        <v>79</v>
      </c>
      <c r="I4">
        <v>12.96</v>
      </c>
    </row>
    <row r="5" spans="1:9" x14ac:dyDescent="0.3">
      <c r="A5" t="s">
        <v>9</v>
      </c>
      <c r="B5" t="s">
        <v>14</v>
      </c>
      <c r="C5" t="s">
        <v>11</v>
      </c>
      <c r="D5">
        <v>1100000</v>
      </c>
      <c r="E5">
        <v>143000</v>
      </c>
      <c r="F5">
        <v>124</v>
      </c>
      <c r="G5">
        <v>7.1</v>
      </c>
      <c r="H5">
        <v>89</v>
      </c>
      <c r="I5">
        <v>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7BE10-8AE1-470F-B0E5-5A5982DCF69C}">
  <sheetPr>
    <pageSetUpPr fitToPage="1"/>
  </sheetPr>
  <dimension ref="A1:S49"/>
  <sheetViews>
    <sheetView workbookViewId="0">
      <selection activeCell="T24" sqref="T24"/>
    </sheetView>
  </sheetViews>
  <sheetFormatPr defaultRowHeight="14.4" x14ac:dyDescent="0.3"/>
  <cols>
    <col min="1" max="1" width="7.6640625" bestFit="1" customWidth="1"/>
    <col min="2" max="2" width="6.88671875" bestFit="1" customWidth="1"/>
    <col min="3" max="3" width="7.6640625" bestFit="1" customWidth="1"/>
    <col min="4" max="4" width="13.44140625" bestFit="1" customWidth="1"/>
    <col min="5" max="5" width="7" bestFit="1" customWidth="1"/>
    <col min="6" max="6" width="10.21875" bestFit="1" customWidth="1"/>
    <col min="7" max="7" width="10" bestFit="1" customWidth="1"/>
    <col min="8" max="8" width="6.77734375" bestFit="1" customWidth="1"/>
    <col min="9" max="9" width="15.5546875" bestFit="1" customWidth="1"/>
    <col min="13" max="13" width="12.77734375" bestFit="1" customWidth="1"/>
    <col min="14" max="14" width="8.77734375" customWidth="1"/>
    <col min="15" max="15" width="7.77734375" customWidth="1"/>
    <col min="16" max="16" width="16.21875" customWidth="1"/>
    <col min="17" max="17" width="14.33203125" bestFit="1" customWidth="1"/>
    <col min="18" max="18" width="12.77734375" bestFit="1" customWidth="1"/>
    <col min="19" max="19" width="20" bestFit="1" customWidth="1"/>
    <col min="20" max="20" width="12.21875" bestFit="1" customWidth="1"/>
    <col min="22" max="22" width="12.77734375" bestFit="1" customWidth="1"/>
    <col min="23" max="23" width="20" bestFit="1" customWidth="1"/>
    <col min="24" max="24" width="12.21875" bestFit="1" customWidth="1"/>
  </cols>
  <sheetData>
    <row r="1" spans="1:19" ht="14.4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K1" s="44" t="s">
        <v>41</v>
      </c>
      <c r="L1" s="44"/>
      <c r="M1" s="44"/>
      <c r="N1" s="44"/>
      <c r="O1" s="44"/>
      <c r="P1" s="44"/>
      <c r="Q1" s="44"/>
      <c r="R1" s="44"/>
      <c r="S1" s="44"/>
    </row>
    <row r="2" spans="1:19" x14ac:dyDescent="0.3">
      <c r="A2" s="5" t="s">
        <v>9</v>
      </c>
      <c r="B2" s="6" t="s">
        <v>10</v>
      </c>
      <c r="C2" s="6" t="s">
        <v>11</v>
      </c>
      <c r="D2" s="6">
        <v>1250000</v>
      </c>
      <c r="E2" s="6">
        <v>175000</v>
      </c>
      <c r="F2" s="6">
        <v>140</v>
      </c>
      <c r="G2" s="6">
        <v>8.1999999999999993</v>
      </c>
      <c r="H2" s="6">
        <v>101</v>
      </c>
      <c r="I2" s="7">
        <v>14</v>
      </c>
      <c r="K2" s="44"/>
      <c r="L2" s="44"/>
      <c r="M2" s="44"/>
      <c r="N2" s="44"/>
      <c r="O2" s="44"/>
      <c r="P2" s="44"/>
      <c r="Q2" s="44"/>
      <c r="R2" s="44"/>
      <c r="S2" s="44"/>
    </row>
    <row r="3" spans="1:19" ht="15" thickBot="1" x14ac:dyDescent="0.35">
      <c r="A3" s="5" t="s">
        <v>9</v>
      </c>
      <c r="B3" s="6" t="s">
        <v>12</v>
      </c>
      <c r="C3" s="6" t="s">
        <v>11</v>
      </c>
      <c r="D3" s="6">
        <v>1180000</v>
      </c>
      <c r="E3" s="6">
        <v>153000</v>
      </c>
      <c r="F3" s="6">
        <v>132</v>
      </c>
      <c r="G3" s="6">
        <v>6.5</v>
      </c>
      <c r="H3" s="6">
        <v>95</v>
      </c>
      <c r="I3" s="7">
        <v>12.97</v>
      </c>
      <c r="K3" s="44"/>
      <c r="L3" s="44"/>
      <c r="M3" s="44"/>
      <c r="N3" s="44"/>
      <c r="O3" s="44"/>
      <c r="P3" s="44"/>
      <c r="Q3" s="44"/>
      <c r="R3" s="44"/>
      <c r="S3" s="44"/>
    </row>
    <row r="4" spans="1:19" ht="15" thickBot="1" x14ac:dyDescent="0.35">
      <c r="A4" s="5" t="s">
        <v>9</v>
      </c>
      <c r="B4" s="6" t="s">
        <v>13</v>
      </c>
      <c r="C4" s="6" t="s">
        <v>11</v>
      </c>
      <c r="D4" s="6">
        <v>980000</v>
      </c>
      <c r="E4" s="6">
        <v>127000</v>
      </c>
      <c r="F4" s="6">
        <v>110</v>
      </c>
      <c r="G4" s="6">
        <v>5.8</v>
      </c>
      <c r="H4" s="6">
        <v>79</v>
      </c>
      <c r="I4" s="7">
        <v>12.96</v>
      </c>
      <c r="Q4" s="30" t="s">
        <v>30</v>
      </c>
      <c r="R4" s="14" t="s">
        <v>29</v>
      </c>
      <c r="S4" s="35" t="s">
        <v>28</v>
      </c>
    </row>
    <row r="5" spans="1:19" x14ac:dyDescent="0.3">
      <c r="A5" s="5" t="s">
        <v>9</v>
      </c>
      <c r="B5" s="6" t="s">
        <v>14</v>
      </c>
      <c r="C5" s="6" t="s">
        <v>11</v>
      </c>
      <c r="D5" s="6">
        <v>1100000</v>
      </c>
      <c r="E5" s="6">
        <v>143000</v>
      </c>
      <c r="F5" s="6">
        <v>124</v>
      </c>
      <c r="G5" s="6">
        <v>7.1</v>
      </c>
      <c r="H5" s="6">
        <v>89</v>
      </c>
      <c r="I5" s="7">
        <v>13</v>
      </c>
      <c r="K5" s="11" t="s">
        <v>0</v>
      </c>
      <c r="L5" s="38" t="s">
        <v>4</v>
      </c>
      <c r="M5" s="39" t="s">
        <v>42</v>
      </c>
      <c r="Q5" s="31" t="s">
        <v>9</v>
      </c>
      <c r="R5" s="26">
        <v>4510000</v>
      </c>
      <c r="S5" s="27">
        <v>598000</v>
      </c>
    </row>
    <row r="6" spans="1:19" x14ac:dyDescent="0.3">
      <c r="A6" s="5" t="s">
        <v>15</v>
      </c>
      <c r="B6" s="6" t="s">
        <v>10</v>
      </c>
      <c r="C6" s="6" t="s">
        <v>16</v>
      </c>
      <c r="D6" s="6">
        <v>1320000</v>
      </c>
      <c r="E6" s="6">
        <v>198000</v>
      </c>
      <c r="F6" s="6">
        <v>310</v>
      </c>
      <c r="G6" s="6">
        <v>9.6</v>
      </c>
      <c r="H6" s="6">
        <v>223</v>
      </c>
      <c r="I6" s="7">
        <v>15</v>
      </c>
      <c r="K6" s="36" t="s">
        <v>9</v>
      </c>
      <c r="L6" s="17">
        <v>598000</v>
      </c>
      <c r="M6" s="37">
        <f>S5/R5</f>
        <v>0.13259423503325943</v>
      </c>
      <c r="Q6" s="32" t="s">
        <v>15</v>
      </c>
      <c r="R6" s="28">
        <v>4820000</v>
      </c>
      <c r="S6" s="24">
        <v>688000</v>
      </c>
    </row>
    <row r="7" spans="1:19" x14ac:dyDescent="0.3">
      <c r="A7" s="5" t="s">
        <v>15</v>
      </c>
      <c r="B7" s="6" t="s">
        <v>12</v>
      </c>
      <c r="C7" s="6" t="s">
        <v>16</v>
      </c>
      <c r="D7" s="6">
        <v>1260000</v>
      </c>
      <c r="E7" s="6">
        <v>176000</v>
      </c>
      <c r="F7" s="6">
        <v>295</v>
      </c>
      <c r="G7" s="6">
        <v>6.8</v>
      </c>
      <c r="H7" s="6">
        <v>212</v>
      </c>
      <c r="I7" s="7">
        <v>13.97</v>
      </c>
      <c r="K7" s="36" t="s">
        <v>15</v>
      </c>
      <c r="L7" s="17">
        <v>688000</v>
      </c>
      <c r="M7" s="37">
        <f>S6/R6</f>
        <v>0.14273858921161825</v>
      </c>
      <c r="Q7" s="32" t="s">
        <v>17</v>
      </c>
      <c r="R7" s="28">
        <v>3390000</v>
      </c>
      <c r="S7" s="24">
        <v>484000</v>
      </c>
    </row>
    <row r="8" spans="1:19" x14ac:dyDescent="0.3">
      <c r="A8" s="5" t="s">
        <v>15</v>
      </c>
      <c r="B8" s="6" t="s">
        <v>13</v>
      </c>
      <c r="C8" s="6" t="s">
        <v>16</v>
      </c>
      <c r="D8" s="6">
        <v>1050000</v>
      </c>
      <c r="E8" s="6">
        <v>147000</v>
      </c>
      <c r="F8" s="6">
        <v>248</v>
      </c>
      <c r="G8" s="6">
        <v>7.1</v>
      </c>
      <c r="H8" s="6">
        <v>179</v>
      </c>
      <c r="I8" s="7">
        <v>14</v>
      </c>
      <c r="K8" s="36" t="s">
        <v>17</v>
      </c>
      <c r="L8" s="17">
        <v>484000</v>
      </c>
      <c r="M8" s="37">
        <f>S7/R7</f>
        <v>0.14277286135693215</v>
      </c>
      <c r="Q8" s="32" t="s">
        <v>19</v>
      </c>
      <c r="R8" s="28">
        <v>5260000</v>
      </c>
      <c r="S8" s="24">
        <v>750900</v>
      </c>
    </row>
    <row r="9" spans="1:19" x14ac:dyDescent="0.3">
      <c r="A9" s="5" t="s">
        <v>15</v>
      </c>
      <c r="B9" s="6" t="s">
        <v>14</v>
      </c>
      <c r="C9" s="6" t="s">
        <v>16</v>
      </c>
      <c r="D9" s="6">
        <v>1190000</v>
      </c>
      <c r="E9" s="6">
        <v>167000</v>
      </c>
      <c r="F9" s="6">
        <v>276</v>
      </c>
      <c r="G9" s="6">
        <v>8.3000000000000007</v>
      </c>
      <c r="H9" s="6">
        <v>199</v>
      </c>
      <c r="I9" s="7">
        <v>14.03</v>
      </c>
      <c r="K9" s="36" t="s">
        <v>19</v>
      </c>
      <c r="L9" s="17">
        <v>750900</v>
      </c>
      <c r="M9" s="37">
        <f>S8/R8</f>
        <v>0.14275665399239543</v>
      </c>
      <c r="Q9" s="32" t="s">
        <v>20</v>
      </c>
      <c r="R9" s="28">
        <v>5490000</v>
      </c>
      <c r="S9" s="24">
        <v>783700</v>
      </c>
    </row>
    <row r="10" spans="1:19" x14ac:dyDescent="0.3">
      <c r="A10" s="5" t="s">
        <v>17</v>
      </c>
      <c r="B10" s="6" t="s">
        <v>10</v>
      </c>
      <c r="C10" s="6" t="s">
        <v>18</v>
      </c>
      <c r="D10" s="6">
        <v>920000</v>
      </c>
      <c r="E10" s="6">
        <v>138000</v>
      </c>
      <c r="F10" s="6">
        <v>185</v>
      </c>
      <c r="G10" s="6">
        <v>4.2</v>
      </c>
      <c r="H10" s="6">
        <v>133</v>
      </c>
      <c r="I10" s="7">
        <v>15</v>
      </c>
      <c r="K10" s="36" t="s">
        <v>20</v>
      </c>
      <c r="L10" s="17">
        <v>783700</v>
      </c>
      <c r="M10" s="37">
        <f>S9/R9</f>
        <v>0.14275045537340619</v>
      </c>
      <c r="Q10" s="32" t="s">
        <v>21</v>
      </c>
      <c r="R10" s="28">
        <v>3610000</v>
      </c>
      <c r="S10" s="24">
        <v>515200</v>
      </c>
    </row>
    <row r="11" spans="1:19" x14ac:dyDescent="0.3">
      <c r="A11" s="5" t="s">
        <v>17</v>
      </c>
      <c r="B11" s="6" t="s">
        <v>12</v>
      </c>
      <c r="C11" s="6" t="s">
        <v>18</v>
      </c>
      <c r="D11" s="6">
        <v>870000</v>
      </c>
      <c r="E11" s="6">
        <v>122000</v>
      </c>
      <c r="F11" s="6">
        <v>172</v>
      </c>
      <c r="G11" s="6">
        <v>3.8</v>
      </c>
      <c r="H11" s="6">
        <v>124</v>
      </c>
      <c r="I11" s="7">
        <v>14.02</v>
      </c>
      <c r="K11" s="36" t="s">
        <v>21</v>
      </c>
      <c r="L11" s="17">
        <v>515200</v>
      </c>
      <c r="M11" s="37">
        <f>S10/R10</f>
        <v>0.14271468144044322</v>
      </c>
      <c r="Q11" s="32" t="s">
        <v>22</v>
      </c>
      <c r="R11" s="28">
        <v>5740000</v>
      </c>
      <c r="S11" s="24">
        <v>819400</v>
      </c>
    </row>
    <row r="12" spans="1:19" x14ac:dyDescent="0.3">
      <c r="A12" s="5" t="s">
        <v>17</v>
      </c>
      <c r="B12" s="6" t="s">
        <v>13</v>
      </c>
      <c r="C12" s="6" t="s">
        <v>18</v>
      </c>
      <c r="D12" s="6">
        <v>760000</v>
      </c>
      <c r="E12" s="6">
        <v>106000</v>
      </c>
      <c r="F12" s="6">
        <v>151</v>
      </c>
      <c r="G12" s="6">
        <v>4.5999999999999996</v>
      </c>
      <c r="H12" s="6">
        <v>109</v>
      </c>
      <c r="I12" s="7">
        <v>13.95</v>
      </c>
      <c r="K12" s="36" t="s">
        <v>22</v>
      </c>
      <c r="L12" s="17">
        <v>819400</v>
      </c>
      <c r="M12" s="37">
        <f>S11/R11</f>
        <v>0.14275261324041813</v>
      </c>
      <c r="Q12" s="32" t="s">
        <v>23</v>
      </c>
      <c r="R12" s="28">
        <v>6020000</v>
      </c>
      <c r="S12" s="24">
        <v>859300</v>
      </c>
    </row>
    <row r="13" spans="1:19" x14ac:dyDescent="0.3">
      <c r="A13" s="5" t="s">
        <v>17</v>
      </c>
      <c r="B13" s="6" t="s">
        <v>14</v>
      </c>
      <c r="C13" s="6" t="s">
        <v>18</v>
      </c>
      <c r="D13" s="6">
        <v>840000</v>
      </c>
      <c r="E13" s="6">
        <v>118000</v>
      </c>
      <c r="F13" s="6">
        <v>166</v>
      </c>
      <c r="G13" s="6">
        <v>5.0999999999999996</v>
      </c>
      <c r="H13" s="6">
        <v>120</v>
      </c>
      <c r="I13" s="7">
        <v>14.05</v>
      </c>
      <c r="K13" s="36" t="s">
        <v>23</v>
      </c>
      <c r="L13" s="17">
        <v>859300</v>
      </c>
      <c r="M13" s="37">
        <f>S12/R12</f>
        <v>0.14274086378737541</v>
      </c>
      <c r="Q13" s="32" t="s">
        <v>24</v>
      </c>
      <c r="R13" s="28">
        <v>3850000</v>
      </c>
      <c r="S13" s="24">
        <v>549500</v>
      </c>
    </row>
    <row r="14" spans="1:19" x14ac:dyDescent="0.3">
      <c r="A14" s="5" t="s">
        <v>19</v>
      </c>
      <c r="B14" s="6" t="s">
        <v>10</v>
      </c>
      <c r="C14" s="6" t="s">
        <v>11</v>
      </c>
      <c r="D14" s="6">
        <v>1450000</v>
      </c>
      <c r="E14" s="6">
        <v>217500</v>
      </c>
      <c r="F14" s="6">
        <v>158</v>
      </c>
      <c r="G14" s="6">
        <v>11.4</v>
      </c>
      <c r="H14" s="6">
        <v>114</v>
      </c>
      <c r="I14" s="7">
        <v>15</v>
      </c>
      <c r="K14" s="36" t="s">
        <v>24</v>
      </c>
      <c r="L14" s="17">
        <v>549500</v>
      </c>
      <c r="M14" s="37">
        <f>S13/R13</f>
        <v>0.14272727272727273</v>
      </c>
      <c r="Q14" s="32" t="s">
        <v>25</v>
      </c>
      <c r="R14" s="28">
        <v>6280000</v>
      </c>
      <c r="S14" s="24">
        <v>896400</v>
      </c>
    </row>
    <row r="15" spans="1:19" x14ac:dyDescent="0.3">
      <c r="A15" s="5" t="s">
        <v>19</v>
      </c>
      <c r="B15" s="6" t="s">
        <v>12</v>
      </c>
      <c r="C15" s="6" t="s">
        <v>11</v>
      </c>
      <c r="D15" s="6">
        <v>1370000</v>
      </c>
      <c r="E15" s="6">
        <v>191800</v>
      </c>
      <c r="F15" s="6">
        <v>149</v>
      </c>
      <c r="G15" s="6">
        <v>9.1999999999999993</v>
      </c>
      <c r="H15" s="6">
        <v>107</v>
      </c>
      <c r="I15" s="7">
        <v>14</v>
      </c>
      <c r="K15" s="36" t="s">
        <v>25</v>
      </c>
      <c r="L15" s="17">
        <v>896400</v>
      </c>
      <c r="M15" s="37">
        <f>S14/R14</f>
        <v>0.14273885350318471</v>
      </c>
      <c r="Q15" s="32" t="s">
        <v>26</v>
      </c>
      <c r="R15" s="28">
        <v>6950000</v>
      </c>
      <c r="S15" s="24">
        <v>992000</v>
      </c>
    </row>
    <row r="16" spans="1:19" ht="15" thickBot="1" x14ac:dyDescent="0.35">
      <c r="A16" s="5" t="s">
        <v>19</v>
      </c>
      <c r="B16" s="6" t="s">
        <v>13</v>
      </c>
      <c r="C16" s="6" t="s">
        <v>11</v>
      </c>
      <c r="D16" s="6">
        <v>1150000</v>
      </c>
      <c r="E16" s="6">
        <v>161000</v>
      </c>
      <c r="F16" s="6">
        <v>128</v>
      </c>
      <c r="G16" s="6">
        <v>8.6999999999999993</v>
      </c>
      <c r="H16" s="6">
        <v>92</v>
      </c>
      <c r="I16" s="7">
        <v>14</v>
      </c>
      <c r="K16" s="36" t="s">
        <v>26</v>
      </c>
      <c r="L16" s="17">
        <v>992000</v>
      </c>
      <c r="M16" s="37">
        <f>S15/R15</f>
        <v>0.1427338129496403</v>
      </c>
      <c r="Q16" s="33" t="s">
        <v>27</v>
      </c>
      <c r="R16" s="28">
        <v>4320000</v>
      </c>
      <c r="S16" s="24">
        <v>616600</v>
      </c>
    </row>
    <row r="17" spans="1:19" ht="15" thickBot="1" x14ac:dyDescent="0.35">
      <c r="A17" s="5" t="s">
        <v>19</v>
      </c>
      <c r="B17" s="6" t="s">
        <v>14</v>
      </c>
      <c r="C17" s="6" t="s">
        <v>11</v>
      </c>
      <c r="D17" s="6">
        <v>1290000</v>
      </c>
      <c r="E17" s="6">
        <v>180600</v>
      </c>
      <c r="F17" s="6">
        <v>141</v>
      </c>
      <c r="G17" s="6">
        <v>10.1</v>
      </c>
      <c r="H17" s="6">
        <v>102</v>
      </c>
      <c r="I17" s="7">
        <v>14</v>
      </c>
      <c r="K17" s="40" t="s">
        <v>27</v>
      </c>
      <c r="L17" s="41">
        <v>616600</v>
      </c>
      <c r="M17" s="42">
        <f>S16/R16</f>
        <v>0.14273148148148149</v>
      </c>
      <c r="Q17" s="34" t="s">
        <v>31</v>
      </c>
      <c r="R17" s="29">
        <v>60240000</v>
      </c>
      <c r="S17" s="25">
        <v>8553000</v>
      </c>
    </row>
    <row r="18" spans="1:19" x14ac:dyDescent="0.3">
      <c r="A18" s="5" t="s">
        <v>20</v>
      </c>
      <c r="B18" s="6" t="s">
        <v>10</v>
      </c>
      <c r="C18" s="6" t="s">
        <v>16</v>
      </c>
      <c r="D18" s="6">
        <v>1510000</v>
      </c>
      <c r="E18" s="6">
        <v>226500</v>
      </c>
      <c r="F18" s="6">
        <v>352</v>
      </c>
      <c r="G18" s="6">
        <v>12.8</v>
      </c>
      <c r="H18" s="6">
        <v>253</v>
      </c>
      <c r="I18" s="7">
        <v>15</v>
      </c>
    </row>
    <row r="19" spans="1:19" x14ac:dyDescent="0.3">
      <c r="A19" s="5" t="s">
        <v>20</v>
      </c>
      <c r="B19" s="6" t="s">
        <v>12</v>
      </c>
      <c r="C19" s="6" t="s">
        <v>16</v>
      </c>
      <c r="D19" s="6">
        <v>1430000</v>
      </c>
      <c r="E19" s="6">
        <v>200200</v>
      </c>
      <c r="F19" s="6">
        <v>337</v>
      </c>
      <c r="G19" s="6">
        <v>10.6</v>
      </c>
      <c r="H19" s="6">
        <v>243</v>
      </c>
      <c r="I19" s="7">
        <v>14</v>
      </c>
    </row>
    <row r="20" spans="1:19" x14ac:dyDescent="0.3">
      <c r="A20" s="5" t="s">
        <v>20</v>
      </c>
      <c r="B20" s="6" t="s">
        <v>13</v>
      </c>
      <c r="C20" s="6" t="s">
        <v>16</v>
      </c>
      <c r="D20" s="6">
        <v>1210000</v>
      </c>
      <c r="E20" s="6">
        <v>169400</v>
      </c>
      <c r="F20" s="6">
        <v>286</v>
      </c>
      <c r="G20" s="6">
        <v>9.8000000000000007</v>
      </c>
      <c r="H20" s="6">
        <v>206</v>
      </c>
      <c r="I20" s="7">
        <v>14</v>
      </c>
    </row>
    <row r="21" spans="1:19" x14ac:dyDescent="0.3">
      <c r="A21" s="5" t="s">
        <v>20</v>
      </c>
      <c r="B21" s="6" t="s">
        <v>14</v>
      </c>
      <c r="C21" s="6" t="s">
        <v>16</v>
      </c>
      <c r="D21" s="6">
        <v>1340000</v>
      </c>
      <c r="E21" s="6">
        <v>187600</v>
      </c>
      <c r="F21" s="6">
        <v>315</v>
      </c>
      <c r="G21" s="6">
        <v>11.2</v>
      </c>
      <c r="H21" s="6">
        <v>227</v>
      </c>
      <c r="I21" s="7">
        <v>14</v>
      </c>
    </row>
    <row r="22" spans="1:19" x14ac:dyDescent="0.3">
      <c r="A22" s="5" t="s">
        <v>21</v>
      </c>
      <c r="B22" s="6" t="s">
        <v>10</v>
      </c>
      <c r="C22" s="6" t="s">
        <v>18</v>
      </c>
      <c r="D22" s="6">
        <v>980000</v>
      </c>
      <c r="E22" s="6">
        <v>147000</v>
      </c>
      <c r="F22" s="6">
        <v>202</v>
      </c>
      <c r="G22" s="6">
        <v>6.5</v>
      </c>
      <c r="H22" s="6">
        <v>145</v>
      </c>
      <c r="I22" s="7">
        <v>15</v>
      </c>
    </row>
    <row r="23" spans="1:19" x14ac:dyDescent="0.3">
      <c r="A23" s="5" t="s">
        <v>21</v>
      </c>
      <c r="B23" s="6" t="s">
        <v>12</v>
      </c>
      <c r="C23" s="6" t="s">
        <v>18</v>
      </c>
      <c r="D23" s="6">
        <v>930000</v>
      </c>
      <c r="E23" s="6">
        <v>130200</v>
      </c>
      <c r="F23" s="6">
        <v>191</v>
      </c>
      <c r="G23" s="6">
        <v>5.9</v>
      </c>
      <c r="H23" s="6">
        <v>138</v>
      </c>
      <c r="I23" s="7">
        <v>14</v>
      </c>
    </row>
    <row r="24" spans="1:19" x14ac:dyDescent="0.3">
      <c r="A24" s="5" t="s">
        <v>21</v>
      </c>
      <c r="B24" s="6" t="s">
        <v>13</v>
      </c>
      <c r="C24" s="6" t="s">
        <v>18</v>
      </c>
      <c r="D24" s="6">
        <v>810000</v>
      </c>
      <c r="E24" s="6">
        <v>113400</v>
      </c>
      <c r="F24" s="6">
        <v>169</v>
      </c>
      <c r="G24" s="6">
        <v>6.2</v>
      </c>
      <c r="H24" s="6">
        <v>122</v>
      </c>
      <c r="I24" s="7">
        <v>14</v>
      </c>
    </row>
    <row r="25" spans="1:19" x14ac:dyDescent="0.3">
      <c r="A25" s="5" t="s">
        <v>21</v>
      </c>
      <c r="B25" s="6" t="s">
        <v>14</v>
      </c>
      <c r="C25" s="6" t="s">
        <v>18</v>
      </c>
      <c r="D25" s="6">
        <v>890000</v>
      </c>
      <c r="E25" s="6">
        <v>124600</v>
      </c>
      <c r="F25" s="6">
        <v>181</v>
      </c>
      <c r="G25" s="6">
        <v>6.8</v>
      </c>
      <c r="H25" s="6">
        <v>130</v>
      </c>
      <c r="I25" s="7">
        <v>14</v>
      </c>
    </row>
    <row r="26" spans="1:19" x14ac:dyDescent="0.3">
      <c r="A26" s="5" t="s">
        <v>22</v>
      </c>
      <c r="B26" s="6" t="s">
        <v>10</v>
      </c>
      <c r="C26" s="6" t="s">
        <v>11</v>
      </c>
      <c r="D26" s="6">
        <v>1580000</v>
      </c>
      <c r="E26" s="6">
        <v>237000</v>
      </c>
      <c r="F26" s="6">
        <v>171</v>
      </c>
      <c r="G26" s="6">
        <v>8.9</v>
      </c>
      <c r="H26" s="6">
        <v>123</v>
      </c>
      <c r="I26" s="7">
        <v>15</v>
      </c>
    </row>
    <row r="27" spans="1:19" x14ac:dyDescent="0.3">
      <c r="A27" s="5" t="s">
        <v>22</v>
      </c>
      <c r="B27" s="6" t="s">
        <v>12</v>
      </c>
      <c r="C27" s="6" t="s">
        <v>11</v>
      </c>
      <c r="D27" s="6">
        <v>1490000</v>
      </c>
      <c r="E27" s="6">
        <v>208600</v>
      </c>
      <c r="F27" s="6">
        <v>162</v>
      </c>
      <c r="G27" s="6">
        <v>7.4</v>
      </c>
      <c r="H27" s="6">
        <v>117</v>
      </c>
      <c r="I27" s="7">
        <v>14</v>
      </c>
    </row>
    <row r="28" spans="1:19" x14ac:dyDescent="0.3">
      <c r="A28" s="5" t="s">
        <v>22</v>
      </c>
      <c r="B28" s="6" t="s">
        <v>13</v>
      </c>
      <c r="C28" s="6" t="s">
        <v>11</v>
      </c>
      <c r="D28" s="6">
        <v>1260000</v>
      </c>
      <c r="E28" s="6">
        <v>176400</v>
      </c>
      <c r="F28" s="6">
        <v>139</v>
      </c>
      <c r="G28" s="6">
        <v>7.1</v>
      </c>
      <c r="H28" s="6">
        <v>100</v>
      </c>
      <c r="I28" s="7">
        <v>14</v>
      </c>
    </row>
    <row r="29" spans="1:19" x14ac:dyDescent="0.3">
      <c r="A29" s="5" t="s">
        <v>22</v>
      </c>
      <c r="B29" s="6" t="s">
        <v>14</v>
      </c>
      <c r="C29" s="6" t="s">
        <v>11</v>
      </c>
      <c r="D29" s="6">
        <v>1410000</v>
      </c>
      <c r="E29" s="6">
        <v>197400</v>
      </c>
      <c r="F29" s="6">
        <v>154</v>
      </c>
      <c r="G29" s="6">
        <v>8</v>
      </c>
      <c r="H29" s="6">
        <v>111</v>
      </c>
      <c r="I29" s="7">
        <v>14</v>
      </c>
    </row>
    <row r="30" spans="1:19" x14ac:dyDescent="0.3">
      <c r="A30" s="5" t="s">
        <v>23</v>
      </c>
      <c r="B30" s="6" t="s">
        <v>10</v>
      </c>
      <c r="C30" s="6" t="s">
        <v>16</v>
      </c>
      <c r="D30" s="6">
        <v>1650000</v>
      </c>
      <c r="E30" s="6">
        <v>247500</v>
      </c>
      <c r="F30" s="6">
        <v>381</v>
      </c>
      <c r="G30" s="6">
        <v>10.5</v>
      </c>
      <c r="H30" s="6">
        <v>274</v>
      </c>
      <c r="I30" s="7">
        <v>15</v>
      </c>
    </row>
    <row r="31" spans="1:19" x14ac:dyDescent="0.3">
      <c r="A31" s="5" t="s">
        <v>23</v>
      </c>
      <c r="B31" s="6" t="s">
        <v>12</v>
      </c>
      <c r="C31" s="6" t="s">
        <v>16</v>
      </c>
      <c r="D31" s="6">
        <v>1570000</v>
      </c>
      <c r="E31" s="6">
        <v>219800</v>
      </c>
      <c r="F31" s="6">
        <v>366</v>
      </c>
      <c r="G31" s="6">
        <v>9.1</v>
      </c>
      <c r="H31" s="6">
        <v>264</v>
      </c>
      <c r="I31" s="7">
        <v>14</v>
      </c>
    </row>
    <row r="32" spans="1:19" x14ac:dyDescent="0.3">
      <c r="A32" s="5" t="s">
        <v>23</v>
      </c>
      <c r="B32" s="6" t="s">
        <v>13</v>
      </c>
      <c r="C32" s="6" t="s">
        <v>16</v>
      </c>
      <c r="D32" s="6">
        <v>1320000</v>
      </c>
      <c r="E32" s="6">
        <v>184800</v>
      </c>
      <c r="F32" s="6">
        <v>314</v>
      </c>
      <c r="G32" s="6">
        <v>8.6</v>
      </c>
      <c r="H32" s="6">
        <v>226</v>
      </c>
      <c r="I32" s="7">
        <v>14</v>
      </c>
    </row>
    <row r="33" spans="1:19" x14ac:dyDescent="0.3">
      <c r="A33" s="5" t="s">
        <v>23</v>
      </c>
      <c r="B33" s="6" t="s">
        <v>14</v>
      </c>
      <c r="C33" s="6" t="s">
        <v>16</v>
      </c>
      <c r="D33" s="6">
        <v>1480000</v>
      </c>
      <c r="E33" s="6">
        <v>207200</v>
      </c>
      <c r="F33" s="6">
        <v>345</v>
      </c>
      <c r="G33" s="6">
        <v>9.6999999999999993</v>
      </c>
      <c r="H33" s="6">
        <v>248</v>
      </c>
      <c r="I33" s="7">
        <v>14</v>
      </c>
    </row>
    <row r="34" spans="1:19" x14ac:dyDescent="0.3">
      <c r="A34" s="5" t="s">
        <v>24</v>
      </c>
      <c r="B34" s="6" t="s">
        <v>10</v>
      </c>
      <c r="C34" s="6" t="s">
        <v>18</v>
      </c>
      <c r="D34" s="6">
        <v>1050000</v>
      </c>
      <c r="E34" s="6">
        <v>157500</v>
      </c>
      <c r="F34" s="6">
        <v>218</v>
      </c>
      <c r="G34" s="6">
        <v>5.4</v>
      </c>
      <c r="H34" s="6">
        <v>157</v>
      </c>
      <c r="I34" s="7">
        <v>15</v>
      </c>
    </row>
    <row r="35" spans="1:19" x14ac:dyDescent="0.3">
      <c r="A35" s="5" t="s">
        <v>24</v>
      </c>
      <c r="B35" s="6" t="s">
        <v>12</v>
      </c>
      <c r="C35" s="6" t="s">
        <v>18</v>
      </c>
      <c r="D35" s="6">
        <v>990000</v>
      </c>
      <c r="E35" s="6">
        <v>138600</v>
      </c>
      <c r="F35" s="6">
        <v>204</v>
      </c>
      <c r="G35" s="6">
        <v>4.8</v>
      </c>
      <c r="H35" s="6">
        <v>147</v>
      </c>
      <c r="I35" s="7">
        <v>14</v>
      </c>
    </row>
    <row r="36" spans="1:19" x14ac:dyDescent="0.3">
      <c r="A36" s="5" t="s">
        <v>24</v>
      </c>
      <c r="B36" s="6" t="s">
        <v>13</v>
      </c>
      <c r="C36" s="6" t="s">
        <v>18</v>
      </c>
      <c r="D36" s="6">
        <v>860000</v>
      </c>
      <c r="E36" s="6">
        <v>120400</v>
      </c>
      <c r="F36" s="6">
        <v>179</v>
      </c>
      <c r="G36" s="6">
        <v>5.0999999999999996</v>
      </c>
      <c r="H36" s="6">
        <v>129</v>
      </c>
      <c r="I36" s="7">
        <v>14</v>
      </c>
    </row>
    <row r="37" spans="1:19" x14ac:dyDescent="0.3">
      <c r="A37" s="5" t="s">
        <v>24</v>
      </c>
      <c r="B37" s="6" t="s">
        <v>14</v>
      </c>
      <c r="C37" s="6" t="s">
        <v>18</v>
      </c>
      <c r="D37" s="6">
        <v>950000</v>
      </c>
      <c r="E37" s="6">
        <v>133000</v>
      </c>
      <c r="F37" s="6">
        <v>195</v>
      </c>
      <c r="G37" s="6">
        <v>5.7</v>
      </c>
      <c r="H37" s="6">
        <v>140</v>
      </c>
      <c r="I37" s="7">
        <v>14</v>
      </c>
    </row>
    <row r="38" spans="1:19" ht="15" thickBot="1" x14ac:dyDescent="0.35">
      <c r="A38" s="5" t="s">
        <v>25</v>
      </c>
      <c r="B38" s="6" t="s">
        <v>10</v>
      </c>
      <c r="C38" s="6" t="s">
        <v>11</v>
      </c>
      <c r="D38" s="6">
        <v>1720000</v>
      </c>
      <c r="E38" s="6">
        <v>258000</v>
      </c>
      <c r="F38" s="6">
        <v>188</v>
      </c>
      <c r="G38" s="6">
        <v>9.8000000000000007</v>
      </c>
      <c r="H38" s="6">
        <v>135</v>
      </c>
      <c r="I38" s="7">
        <v>15</v>
      </c>
    </row>
    <row r="39" spans="1:19" x14ac:dyDescent="0.3">
      <c r="A39" s="5" t="s">
        <v>25</v>
      </c>
      <c r="B39" s="6" t="s">
        <v>12</v>
      </c>
      <c r="C39" s="6" t="s">
        <v>11</v>
      </c>
      <c r="D39" s="6">
        <v>1630000</v>
      </c>
      <c r="E39" s="6">
        <v>228200</v>
      </c>
      <c r="F39" s="6">
        <v>177</v>
      </c>
      <c r="G39" s="6">
        <v>8.6</v>
      </c>
      <c r="H39" s="6">
        <v>127</v>
      </c>
      <c r="I39" s="7">
        <v>14</v>
      </c>
      <c r="K39" s="66" t="s">
        <v>43</v>
      </c>
      <c r="L39" s="67"/>
      <c r="M39" s="67"/>
      <c r="N39" s="67"/>
      <c r="O39" s="67"/>
      <c r="P39" s="67"/>
      <c r="Q39" s="67"/>
      <c r="R39" s="67"/>
      <c r="S39" s="68"/>
    </row>
    <row r="40" spans="1:19" ht="15" thickBot="1" x14ac:dyDescent="0.35">
      <c r="A40" s="5" t="s">
        <v>25</v>
      </c>
      <c r="B40" s="6" t="s">
        <v>13</v>
      </c>
      <c r="C40" s="6" t="s">
        <v>11</v>
      </c>
      <c r="D40" s="6">
        <v>1390000</v>
      </c>
      <c r="E40" s="6">
        <v>194600</v>
      </c>
      <c r="F40" s="6">
        <v>153</v>
      </c>
      <c r="G40" s="6">
        <v>8</v>
      </c>
      <c r="H40" s="6">
        <v>110</v>
      </c>
      <c r="I40" s="7">
        <v>14</v>
      </c>
      <c r="K40" s="69"/>
      <c r="L40" s="70"/>
      <c r="M40" s="70"/>
      <c r="N40" s="70"/>
      <c r="O40" s="70"/>
      <c r="P40" s="70"/>
      <c r="Q40" s="70"/>
      <c r="R40" s="70"/>
      <c r="S40" s="71"/>
    </row>
    <row r="41" spans="1:19" x14ac:dyDescent="0.3">
      <c r="A41" s="5" t="s">
        <v>25</v>
      </c>
      <c r="B41" s="6" t="s">
        <v>14</v>
      </c>
      <c r="C41" s="6" t="s">
        <v>11</v>
      </c>
      <c r="D41" s="6">
        <v>1540000</v>
      </c>
      <c r="E41" s="6">
        <v>215600</v>
      </c>
      <c r="F41" s="6">
        <v>169</v>
      </c>
      <c r="G41" s="6">
        <v>9.1999999999999993</v>
      </c>
      <c r="H41" s="6">
        <v>122</v>
      </c>
      <c r="I41" s="7">
        <v>14</v>
      </c>
      <c r="K41" s="72" t="s">
        <v>44</v>
      </c>
      <c r="L41" s="73"/>
      <c r="M41" s="73"/>
      <c r="N41" s="73"/>
      <c r="O41" s="73"/>
      <c r="P41" s="73"/>
      <c r="Q41" s="73"/>
      <c r="R41" s="73"/>
      <c r="S41" s="74"/>
    </row>
    <row r="42" spans="1:19" x14ac:dyDescent="0.3">
      <c r="A42" s="5" t="s">
        <v>26</v>
      </c>
      <c r="B42" s="6" t="s">
        <v>10</v>
      </c>
      <c r="C42" s="6" t="s">
        <v>16</v>
      </c>
      <c r="D42" s="6">
        <v>1900000</v>
      </c>
      <c r="E42" s="6">
        <v>285000</v>
      </c>
      <c r="F42" s="6">
        <v>435</v>
      </c>
      <c r="G42" s="6">
        <v>14.2</v>
      </c>
      <c r="H42" s="6">
        <v>313</v>
      </c>
      <c r="I42" s="7">
        <v>15</v>
      </c>
      <c r="K42" s="75"/>
      <c r="L42" s="76"/>
      <c r="M42" s="76"/>
      <c r="N42" s="76"/>
      <c r="O42" s="76"/>
      <c r="P42" s="76"/>
      <c r="Q42" s="76"/>
      <c r="R42" s="76"/>
      <c r="S42" s="77"/>
    </row>
    <row r="43" spans="1:19" x14ac:dyDescent="0.3">
      <c r="A43" s="5" t="s">
        <v>26</v>
      </c>
      <c r="B43" s="6" t="s">
        <v>12</v>
      </c>
      <c r="C43" s="6" t="s">
        <v>16</v>
      </c>
      <c r="D43" s="6">
        <v>1810000</v>
      </c>
      <c r="E43" s="6">
        <v>253400</v>
      </c>
      <c r="F43" s="6">
        <v>418</v>
      </c>
      <c r="G43" s="6">
        <v>12.5</v>
      </c>
      <c r="H43" s="6">
        <v>301</v>
      </c>
      <c r="I43" s="7">
        <v>14</v>
      </c>
      <c r="K43" s="75"/>
      <c r="L43" s="76"/>
      <c r="M43" s="76"/>
      <c r="N43" s="76"/>
      <c r="O43" s="76"/>
      <c r="P43" s="76"/>
      <c r="Q43" s="76"/>
      <c r="R43" s="76"/>
      <c r="S43" s="77"/>
    </row>
    <row r="44" spans="1:19" x14ac:dyDescent="0.3">
      <c r="A44" s="5" t="s">
        <v>26</v>
      </c>
      <c r="B44" s="6" t="s">
        <v>13</v>
      </c>
      <c r="C44" s="6" t="s">
        <v>16</v>
      </c>
      <c r="D44" s="6">
        <v>1530000</v>
      </c>
      <c r="E44" s="6">
        <v>214200</v>
      </c>
      <c r="F44" s="6">
        <v>362</v>
      </c>
      <c r="G44" s="6">
        <v>11.6</v>
      </c>
      <c r="H44" s="6">
        <v>261</v>
      </c>
      <c r="I44" s="7">
        <v>14</v>
      </c>
      <c r="K44" s="75"/>
      <c r="L44" s="76"/>
      <c r="M44" s="76"/>
      <c r="N44" s="76"/>
      <c r="O44" s="76"/>
      <c r="P44" s="76"/>
      <c r="Q44" s="76"/>
      <c r="R44" s="76"/>
      <c r="S44" s="77"/>
    </row>
    <row r="45" spans="1:19" x14ac:dyDescent="0.3">
      <c r="A45" s="5" t="s">
        <v>26</v>
      </c>
      <c r="B45" s="6" t="s">
        <v>14</v>
      </c>
      <c r="C45" s="6" t="s">
        <v>16</v>
      </c>
      <c r="D45" s="6">
        <v>1710000</v>
      </c>
      <c r="E45" s="6">
        <v>239400</v>
      </c>
      <c r="F45" s="6">
        <v>396</v>
      </c>
      <c r="G45" s="6">
        <v>13.1</v>
      </c>
      <c r="H45" s="6">
        <v>285</v>
      </c>
      <c r="I45" s="7">
        <v>14</v>
      </c>
      <c r="K45" s="75"/>
      <c r="L45" s="76"/>
      <c r="M45" s="76"/>
      <c r="N45" s="76"/>
      <c r="O45" s="76"/>
      <c r="P45" s="76"/>
      <c r="Q45" s="76"/>
      <c r="R45" s="76"/>
      <c r="S45" s="77"/>
    </row>
    <row r="46" spans="1:19" x14ac:dyDescent="0.3">
      <c r="A46" s="5" t="s">
        <v>27</v>
      </c>
      <c r="B46" s="6" t="s">
        <v>10</v>
      </c>
      <c r="C46" s="6" t="s">
        <v>18</v>
      </c>
      <c r="D46" s="6">
        <v>1180000</v>
      </c>
      <c r="E46" s="6">
        <v>177000</v>
      </c>
      <c r="F46" s="6">
        <v>246</v>
      </c>
      <c r="G46" s="6">
        <v>7.3</v>
      </c>
      <c r="H46" s="6">
        <v>177</v>
      </c>
      <c r="I46" s="7">
        <v>15</v>
      </c>
      <c r="K46" s="75"/>
      <c r="L46" s="76"/>
      <c r="M46" s="76"/>
      <c r="N46" s="76"/>
      <c r="O46" s="76"/>
      <c r="P46" s="76"/>
      <c r="Q46" s="76"/>
      <c r="R46" s="76"/>
      <c r="S46" s="77"/>
    </row>
    <row r="47" spans="1:19" x14ac:dyDescent="0.3">
      <c r="A47" s="5" t="s">
        <v>27</v>
      </c>
      <c r="B47" s="6" t="s">
        <v>12</v>
      </c>
      <c r="C47" s="6" t="s">
        <v>18</v>
      </c>
      <c r="D47" s="6">
        <v>1110000</v>
      </c>
      <c r="E47" s="6">
        <v>155400</v>
      </c>
      <c r="F47" s="6">
        <v>231</v>
      </c>
      <c r="G47" s="6">
        <v>6.5</v>
      </c>
      <c r="H47" s="6">
        <v>166</v>
      </c>
      <c r="I47" s="7">
        <v>14</v>
      </c>
      <c r="K47" s="75"/>
      <c r="L47" s="76"/>
      <c r="M47" s="76"/>
      <c r="N47" s="76"/>
      <c r="O47" s="76"/>
      <c r="P47" s="76"/>
      <c r="Q47" s="76"/>
      <c r="R47" s="76"/>
      <c r="S47" s="77"/>
    </row>
    <row r="48" spans="1:19" ht="15" thickBot="1" x14ac:dyDescent="0.35">
      <c r="A48" s="5" t="s">
        <v>27</v>
      </c>
      <c r="B48" s="6" t="s">
        <v>13</v>
      </c>
      <c r="C48" s="6" t="s">
        <v>18</v>
      </c>
      <c r="D48" s="6">
        <v>970000</v>
      </c>
      <c r="E48" s="6">
        <v>135800</v>
      </c>
      <c r="F48" s="6">
        <v>202</v>
      </c>
      <c r="G48" s="6">
        <v>6.1</v>
      </c>
      <c r="H48" s="6">
        <v>145</v>
      </c>
      <c r="I48" s="7">
        <v>14</v>
      </c>
      <c r="K48" s="78"/>
      <c r="L48" s="79"/>
      <c r="M48" s="79"/>
      <c r="N48" s="79"/>
      <c r="O48" s="79"/>
      <c r="P48" s="79"/>
      <c r="Q48" s="79"/>
      <c r="R48" s="79"/>
      <c r="S48" s="80"/>
    </row>
    <row r="49" spans="1:9" x14ac:dyDescent="0.3">
      <c r="A49" s="8" t="s">
        <v>27</v>
      </c>
      <c r="B49" s="9" t="s">
        <v>14</v>
      </c>
      <c r="C49" s="9" t="s">
        <v>18</v>
      </c>
      <c r="D49" s="9">
        <v>1060000</v>
      </c>
      <c r="E49" s="9">
        <v>148400</v>
      </c>
      <c r="F49" s="9">
        <v>219</v>
      </c>
      <c r="G49" s="9">
        <v>6.9</v>
      </c>
      <c r="H49" s="9">
        <v>158</v>
      </c>
      <c r="I49" s="10">
        <v>14</v>
      </c>
    </row>
  </sheetData>
  <mergeCells count="3">
    <mergeCell ref="K1:S3"/>
    <mergeCell ref="K39:S40"/>
    <mergeCell ref="K41:S48"/>
  </mergeCells>
  <pageMargins left="0.25" right="0.25" top="0.75" bottom="0.75" header="0.3" footer="0.3"/>
  <pageSetup paperSize="9" scale="68" orientation="landscape" r:id="rId2"/>
  <drawing r:id="rId3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97B32-859D-4839-A30D-4CA212A89DE0}">
  <sheetPr>
    <pageSetUpPr fitToPage="1"/>
  </sheetPr>
  <dimension ref="A1:S49"/>
  <sheetViews>
    <sheetView tabSelected="1" workbookViewId="0">
      <selection activeCell="M41" sqref="M41"/>
    </sheetView>
  </sheetViews>
  <sheetFormatPr defaultRowHeight="14.4" x14ac:dyDescent="0.3"/>
  <cols>
    <col min="1" max="1" width="7.6640625" bestFit="1" customWidth="1"/>
    <col min="2" max="2" width="6.88671875" bestFit="1" customWidth="1"/>
    <col min="3" max="3" width="7.6640625" bestFit="1" customWidth="1"/>
    <col min="4" max="4" width="13.44140625" bestFit="1" customWidth="1"/>
    <col min="5" max="5" width="7" bestFit="1" customWidth="1"/>
    <col min="6" max="6" width="10.21875" bestFit="1" customWidth="1"/>
    <col min="7" max="7" width="10" bestFit="1" customWidth="1"/>
    <col min="8" max="8" width="6.77734375" bestFit="1" customWidth="1"/>
    <col min="9" max="9" width="15.5546875" bestFit="1" customWidth="1"/>
    <col min="12" max="12" width="11" bestFit="1" customWidth="1"/>
    <col min="13" max="13" width="9" bestFit="1" customWidth="1"/>
    <col min="14" max="14" width="8" bestFit="1" customWidth="1"/>
  </cols>
  <sheetData>
    <row r="1" spans="1:19" ht="14.4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K1" s="81" t="s">
        <v>45</v>
      </c>
      <c r="L1" s="82"/>
      <c r="M1" s="82"/>
      <c r="N1" s="82"/>
      <c r="O1" s="82"/>
      <c r="P1" s="82"/>
      <c r="Q1" s="82"/>
      <c r="R1" s="82"/>
      <c r="S1" s="83"/>
    </row>
    <row r="2" spans="1:19" x14ac:dyDescent="0.3">
      <c r="A2" s="5" t="s">
        <v>9</v>
      </c>
      <c r="B2" s="6" t="s">
        <v>10</v>
      </c>
      <c r="C2" s="6" t="s">
        <v>11</v>
      </c>
      <c r="D2" s="6">
        <v>1250000</v>
      </c>
      <c r="E2" s="6">
        <v>175000</v>
      </c>
      <c r="F2" s="6">
        <v>140</v>
      </c>
      <c r="G2" s="6">
        <v>8.1999999999999993</v>
      </c>
      <c r="H2" s="6">
        <v>101</v>
      </c>
      <c r="I2" s="7">
        <v>14</v>
      </c>
      <c r="K2" s="84"/>
      <c r="L2" s="49"/>
      <c r="M2" s="49"/>
      <c r="N2" s="49"/>
      <c r="O2" s="49"/>
      <c r="P2" s="49"/>
      <c r="Q2" s="49"/>
      <c r="R2" s="49"/>
      <c r="S2" s="85"/>
    </row>
    <row r="3" spans="1:19" ht="15" thickBot="1" x14ac:dyDescent="0.35">
      <c r="A3" s="5" t="s">
        <v>9</v>
      </c>
      <c r="B3" s="6" t="s">
        <v>12</v>
      </c>
      <c r="C3" s="6" t="s">
        <v>11</v>
      </c>
      <c r="D3" s="6">
        <v>1180000</v>
      </c>
      <c r="E3" s="6">
        <v>153000</v>
      </c>
      <c r="F3" s="6">
        <v>132</v>
      </c>
      <c r="G3" s="6">
        <v>6.5</v>
      </c>
      <c r="H3" s="6">
        <v>95</v>
      </c>
      <c r="I3" s="7">
        <v>12.97</v>
      </c>
      <c r="K3" s="86"/>
      <c r="L3" s="87"/>
      <c r="M3" s="87"/>
      <c r="N3" s="87"/>
      <c r="O3" s="87"/>
      <c r="P3" s="87"/>
      <c r="Q3" s="87"/>
      <c r="R3" s="87"/>
      <c r="S3" s="88"/>
    </row>
    <row r="4" spans="1:19" x14ac:dyDescent="0.3">
      <c r="A4" s="5" t="s">
        <v>9</v>
      </c>
      <c r="B4" s="6" t="s">
        <v>13</v>
      </c>
      <c r="C4" s="6" t="s">
        <v>11</v>
      </c>
      <c r="D4" s="6">
        <v>980000</v>
      </c>
      <c r="E4" s="6">
        <v>127000</v>
      </c>
      <c r="F4" s="6">
        <v>110</v>
      </c>
      <c r="G4" s="6">
        <v>5.8</v>
      </c>
      <c r="H4" s="6">
        <v>79</v>
      </c>
      <c r="I4" s="7">
        <v>12.96</v>
      </c>
    </row>
    <row r="5" spans="1:19" x14ac:dyDescent="0.3">
      <c r="A5" s="5" t="s">
        <v>9</v>
      </c>
      <c r="B5" s="6" t="s">
        <v>14</v>
      </c>
      <c r="C5" s="6" t="s">
        <v>11</v>
      </c>
      <c r="D5" s="6">
        <v>1100000</v>
      </c>
      <c r="E5" s="6">
        <v>143000</v>
      </c>
      <c r="F5" s="6">
        <v>124</v>
      </c>
      <c r="G5" s="6">
        <v>7.1</v>
      </c>
      <c r="H5" s="6">
        <v>89</v>
      </c>
      <c r="I5" s="7">
        <v>13</v>
      </c>
      <c r="N5" s="15" t="s">
        <v>1</v>
      </c>
      <c r="O5" s="6" t="s">
        <v>46</v>
      </c>
      <c r="P5" s="6" t="s">
        <v>47</v>
      </c>
    </row>
    <row r="6" spans="1:19" x14ac:dyDescent="0.3">
      <c r="A6" s="5" t="s">
        <v>15</v>
      </c>
      <c r="B6" s="6" t="s">
        <v>10</v>
      </c>
      <c r="C6" s="6" t="s">
        <v>16</v>
      </c>
      <c r="D6" s="6">
        <v>1320000</v>
      </c>
      <c r="E6" s="6">
        <v>198000</v>
      </c>
      <c r="F6" s="6">
        <v>310</v>
      </c>
      <c r="G6" s="6">
        <v>9.6</v>
      </c>
      <c r="H6" s="6">
        <v>223</v>
      </c>
      <c r="I6" s="7">
        <v>15</v>
      </c>
      <c r="N6" s="16" t="s">
        <v>10</v>
      </c>
      <c r="O6" s="17">
        <v>16510000</v>
      </c>
      <c r="P6" s="17">
        <v>2464000</v>
      </c>
    </row>
    <row r="7" spans="1:19" x14ac:dyDescent="0.3">
      <c r="A7" s="5" t="s">
        <v>15</v>
      </c>
      <c r="B7" s="6" t="s">
        <v>12</v>
      </c>
      <c r="C7" s="6" t="s">
        <v>16</v>
      </c>
      <c r="D7" s="6">
        <v>1260000</v>
      </c>
      <c r="E7" s="6">
        <v>176000</v>
      </c>
      <c r="F7" s="6">
        <v>295</v>
      </c>
      <c r="G7" s="6">
        <v>6.8</v>
      </c>
      <c r="H7" s="6">
        <v>212</v>
      </c>
      <c r="I7" s="7">
        <v>13.97</v>
      </c>
      <c r="N7" s="16" t="s">
        <v>12</v>
      </c>
      <c r="O7" s="17">
        <v>15640000</v>
      </c>
      <c r="P7" s="17">
        <v>2177200</v>
      </c>
    </row>
    <row r="8" spans="1:19" x14ac:dyDescent="0.3">
      <c r="A8" s="5" t="s">
        <v>15</v>
      </c>
      <c r="B8" s="6" t="s">
        <v>13</v>
      </c>
      <c r="C8" s="6" t="s">
        <v>16</v>
      </c>
      <c r="D8" s="6">
        <v>1050000</v>
      </c>
      <c r="E8" s="6">
        <v>147000</v>
      </c>
      <c r="F8" s="6">
        <v>248</v>
      </c>
      <c r="G8" s="6">
        <v>7.1</v>
      </c>
      <c r="H8" s="6">
        <v>179</v>
      </c>
      <c r="I8" s="7">
        <v>14</v>
      </c>
      <c r="N8" s="16" t="s">
        <v>14</v>
      </c>
      <c r="O8" s="17">
        <v>14800000</v>
      </c>
      <c r="P8" s="17">
        <v>2061800</v>
      </c>
    </row>
    <row r="9" spans="1:19" x14ac:dyDescent="0.3">
      <c r="A9" s="5" t="s">
        <v>15</v>
      </c>
      <c r="B9" s="6" t="s">
        <v>14</v>
      </c>
      <c r="C9" s="6" t="s">
        <v>16</v>
      </c>
      <c r="D9" s="6">
        <v>1190000</v>
      </c>
      <c r="E9" s="6">
        <v>167000</v>
      </c>
      <c r="F9" s="6">
        <v>276</v>
      </c>
      <c r="G9" s="6">
        <v>8.3000000000000007</v>
      </c>
      <c r="H9" s="6">
        <v>199</v>
      </c>
      <c r="I9" s="7">
        <v>14.03</v>
      </c>
      <c r="N9" s="16" t="s">
        <v>13</v>
      </c>
      <c r="O9" s="17">
        <v>13290000</v>
      </c>
      <c r="P9" s="17">
        <v>1850000</v>
      </c>
    </row>
    <row r="10" spans="1:19" x14ac:dyDescent="0.3">
      <c r="A10" s="5" t="s">
        <v>17</v>
      </c>
      <c r="B10" s="6" t="s">
        <v>10</v>
      </c>
      <c r="C10" s="6" t="s">
        <v>18</v>
      </c>
      <c r="D10" s="6">
        <v>920000</v>
      </c>
      <c r="E10" s="6">
        <v>138000</v>
      </c>
      <c r="F10" s="6">
        <v>185</v>
      </c>
      <c r="G10" s="6">
        <v>4.2</v>
      </c>
      <c r="H10" s="6">
        <v>133</v>
      </c>
      <c r="I10" s="7">
        <v>15</v>
      </c>
      <c r="N10" s="16" t="s">
        <v>31</v>
      </c>
      <c r="O10" s="17">
        <v>60240000</v>
      </c>
      <c r="P10" s="17">
        <v>8553000</v>
      </c>
    </row>
    <row r="11" spans="1:19" x14ac:dyDescent="0.3">
      <c r="A11" s="5" t="s">
        <v>17</v>
      </c>
      <c r="B11" s="6" t="s">
        <v>12</v>
      </c>
      <c r="C11" s="6" t="s">
        <v>18</v>
      </c>
      <c r="D11" s="6">
        <v>870000</v>
      </c>
      <c r="E11" s="6">
        <v>122000</v>
      </c>
      <c r="F11" s="6">
        <v>172</v>
      </c>
      <c r="G11" s="6">
        <v>3.8</v>
      </c>
      <c r="H11" s="6">
        <v>124</v>
      </c>
      <c r="I11" s="7">
        <v>14.02</v>
      </c>
    </row>
    <row r="12" spans="1:19" x14ac:dyDescent="0.3">
      <c r="A12" s="5" t="s">
        <v>17</v>
      </c>
      <c r="B12" s="6" t="s">
        <v>13</v>
      </c>
      <c r="C12" s="6" t="s">
        <v>18</v>
      </c>
      <c r="D12" s="6">
        <v>760000</v>
      </c>
      <c r="E12" s="6">
        <v>106000</v>
      </c>
      <c r="F12" s="6">
        <v>151</v>
      </c>
      <c r="G12" s="6">
        <v>4.5999999999999996</v>
      </c>
      <c r="H12" s="6">
        <v>109</v>
      </c>
      <c r="I12" s="7">
        <v>13.95</v>
      </c>
    </row>
    <row r="13" spans="1:19" x14ac:dyDescent="0.3">
      <c r="A13" s="5" t="s">
        <v>17</v>
      </c>
      <c r="B13" s="6" t="s">
        <v>14</v>
      </c>
      <c r="C13" s="6" t="s">
        <v>18</v>
      </c>
      <c r="D13" s="6">
        <v>840000</v>
      </c>
      <c r="E13" s="6">
        <v>118000</v>
      </c>
      <c r="F13" s="6">
        <v>166</v>
      </c>
      <c r="G13" s="6">
        <v>5.0999999999999996</v>
      </c>
      <c r="H13" s="6">
        <v>120</v>
      </c>
      <c r="I13" s="7">
        <v>14.05</v>
      </c>
    </row>
    <row r="14" spans="1:19" x14ac:dyDescent="0.3">
      <c r="A14" s="5" t="s">
        <v>19</v>
      </c>
      <c r="B14" s="6" t="s">
        <v>10</v>
      </c>
      <c r="C14" s="6" t="s">
        <v>11</v>
      </c>
      <c r="D14" s="6">
        <v>1450000</v>
      </c>
      <c r="E14" s="6">
        <v>217500</v>
      </c>
      <c r="F14" s="6">
        <v>158</v>
      </c>
      <c r="G14" s="6">
        <v>11.4</v>
      </c>
      <c r="H14" s="6">
        <v>114</v>
      </c>
      <c r="I14" s="7">
        <v>15</v>
      </c>
    </row>
    <row r="15" spans="1:19" x14ac:dyDescent="0.3">
      <c r="A15" s="5" t="s">
        <v>19</v>
      </c>
      <c r="B15" s="6" t="s">
        <v>12</v>
      </c>
      <c r="C15" s="6" t="s">
        <v>11</v>
      </c>
      <c r="D15" s="6">
        <v>1370000</v>
      </c>
      <c r="E15" s="6">
        <v>191800</v>
      </c>
      <c r="F15" s="6">
        <v>149</v>
      </c>
      <c r="G15" s="6">
        <v>9.1999999999999993</v>
      </c>
      <c r="H15" s="6">
        <v>107</v>
      </c>
      <c r="I15" s="7">
        <v>14</v>
      </c>
    </row>
    <row r="16" spans="1:19" x14ac:dyDescent="0.3">
      <c r="A16" s="5" t="s">
        <v>19</v>
      </c>
      <c r="B16" s="6" t="s">
        <v>13</v>
      </c>
      <c r="C16" s="6" t="s">
        <v>11</v>
      </c>
      <c r="D16" s="6">
        <v>1150000</v>
      </c>
      <c r="E16" s="6">
        <v>161000</v>
      </c>
      <c r="F16" s="6">
        <v>128</v>
      </c>
      <c r="G16" s="6">
        <v>8.6999999999999993</v>
      </c>
      <c r="H16" s="6">
        <v>92</v>
      </c>
      <c r="I16" s="7">
        <v>14</v>
      </c>
    </row>
    <row r="17" spans="1:19" x14ac:dyDescent="0.3">
      <c r="A17" s="5" t="s">
        <v>19</v>
      </c>
      <c r="B17" s="6" t="s">
        <v>14</v>
      </c>
      <c r="C17" s="6" t="s">
        <v>11</v>
      </c>
      <c r="D17" s="6">
        <v>1290000</v>
      </c>
      <c r="E17" s="6">
        <v>180600</v>
      </c>
      <c r="F17" s="6">
        <v>141</v>
      </c>
      <c r="G17" s="6">
        <v>10.1</v>
      </c>
      <c r="H17" s="6">
        <v>102</v>
      </c>
      <c r="I17" s="7">
        <v>14</v>
      </c>
    </row>
    <row r="18" spans="1:19" x14ac:dyDescent="0.3">
      <c r="A18" s="5" t="s">
        <v>20</v>
      </c>
      <c r="B18" s="6" t="s">
        <v>10</v>
      </c>
      <c r="C18" s="6" t="s">
        <v>16</v>
      </c>
      <c r="D18" s="6">
        <v>1510000</v>
      </c>
      <c r="E18" s="6">
        <v>226500</v>
      </c>
      <c r="F18" s="6">
        <v>352</v>
      </c>
      <c r="G18" s="6">
        <v>12.8</v>
      </c>
      <c r="H18" s="6">
        <v>253</v>
      </c>
      <c r="I18" s="7">
        <v>15</v>
      </c>
    </row>
    <row r="19" spans="1:19" x14ac:dyDescent="0.3">
      <c r="A19" s="5" t="s">
        <v>20</v>
      </c>
      <c r="B19" s="6" t="s">
        <v>12</v>
      </c>
      <c r="C19" s="6" t="s">
        <v>16</v>
      </c>
      <c r="D19" s="6">
        <v>1430000</v>
      </c>
      <c r="E19" s="6">
        <v>200200</v>
      </c>
      <c r="F19" s="6">
        <v>337</v>
      </c>
      <c r="G19" s="6">
        <v>10.6</v>
      </c>
      <c r="H19" s="6">
        <v>243</v>
      </c>
      <c r="I19" s="7">
        <v>14</v>
      </c>
    </row>
    <row r="20" spans="1:19" x14ac:dyDescent="0.3">
      <c r="A20" s="5" t="s">
        <v>20</v>
      </c>
      <c r="B20" s="6" t="s">
        <v>13</v>
      </c>
      <c r="C20" s="6" t="s">
        <v>16</v>
      </c>
      <c r="D20" s="6">
        <v>1210000</v>
      </c>
      <c r="E20" s="6">
        <v>169400</v>
      </c>
      <c r="F20" s="6">
        <v>286</v>
      </c>
      <c r="G20" s="6">
        <v>9.8000000000000007</v>
      </c>
      <c r="H20" s="6">
        <v>206</v>
      </c>
      <c r="I20" s="7">
        <v>14</v>
      </c>
    </row>
    <row r="21" spans="1:19" x14ac:dyDescent="0.3">
      <c r="A21" s="5" t="s">
        <v>20</v>
      </c>
      <c r="B21" s="6" t="s">
        <v>14</v>
      </c>
      <c r="C21" s="6" t="s">
        <v>16</v>
      </c>
      <c r="D21" s="6">
        <v>1340000</v>
      </c>
      <c r="E21" s="6">
        <v>187600</v>
      </c>
      <c r="F21" s="6">
        <v>315</v>
      </c>
      <c r="G21" s="6">
        <v>11.2</v>
      </c>
      <c r="H21" s="6">
        <v>227</v>
      </c>
      <c r="I21" s="7">
        <v>14</v>
      </c>
    </row>
    <row r="22" spans="1:19" x14ac:dyDescent="0.3">
      <c r="A22" s="5" t="s">
        <v>21</v>
      </c>
      <c r="B22" s="6" t="s">
        <v>10</v>
      </c>
      <c r="C22" s="6" t="s">
        <v>18</v>
      </c>
      <c r="D22" s="6">
        <v>980000</v>
      </c>
      <c r="E22" s="6">
        <v>147000</v>
      </c>
      <c r="F22" s="6">
        <v>202</v>
      </c>
      <c r="G22" s="6">
        <v>6.5</v>
      </c>
      <c r="H22" s="6">
        <v>145</v>
      </c>
      <c r="I22" s="7">
        <v>15</v>
      </c>
    </row>
    <row r="23" spans="1:19" x14ac:dyDescent="0.3">
      <c r="A23" s="5" t="s">
        <v>21</v>
      </c>
      <c r="B23" s="6" t="s">
        <v>12</v>
      </c>
      <c r="C23" s="6" t="s">
        <v>18</v>
      </c>
      <c r="D23" s="6">
        <v>930000</v>
      </c>
      <c r="E23" s="6">
        <v>130200</v>
      </c>
      <c r="F23" s="6">
        <v>191</v>
      </c>
      <c r="G23" s="6">
        <v>5.9</v>
      </c>
      <c r="H23" s="6">
        <v>138</v>
      </c>
      <c r="I23" s="7">
        <v>14</v>
      </c>
    </row>
    <row r="24" spans="1:19" x14ac:dyDescent="0.3">
      <c r="A24" s="5" t="s">
        <v>21</v>
      </c>
      <c r="B24" s="6" t="s">
        <v>13</v>
      </c>
      <c r="C24" s="6" t="s">
        <v>18</v>
      </c>
      <c r="D24" s="6">
        <v>810000</v>
      </c>
      <c r="E24" s="6">
        <v>113400</v>
      </c>
      <c r="F24" s="6">
        <v>169</v>
      </c>
      <c r="G24" s="6">
        <v>6.2</v>
      </c>
      <c r="H24" s="6">
        <v>122</v>
      </c>
      <c r="I24" s="7">
        <v>14</v>
      </c>
    </row>
    <row r="25" spans="1:19" x14ac:dyDescent="0.3">
      <c r="A25" s="5" t="s">
        <v>21</v>
      </c>
      <c r="B25" s="6" t="s">
        <v>14</v>
      </c>
      <c r="C25" s="6" t="s">
        <v>18</v>
      </c>
      <c r="D25" s="6">
        <v>890000</v>
      </c>
      <c r="E25" s="6">
        <v>124600</v>
      </c>
      <c r="F25" s="6">
        <v>181</v>
      </c>
      <c r="G25" s="6">
        <v>6.8</v>
      </c>
      <c r="H25" s="6">
        <v>130</v>
      </c>
      <c r="I25" s="7">
        <v>14</v>
      </c>
    </row>
    <row r="26" spans="1:19" x14ac:dyDescent="0.3">
      <c r="A26" s="5" t="s">
        <v>22</v>
      </c>
      <c r="B26" s="6" t="s">
        <v>10</v>
      </c>
      <c r="C26" s="6" t="s">
        <v>11</v>
      </c>
      <c r="D26" s="6">
        <v>1580000</v>
      </c>
      <c r="E26" s="6">
        <v>237000</v>
      </c>
      <c r="F26" s="6">
        <v>171</v>
      </c>
      <c r="G26" s="6">
        <v>8.9</v>
      </c>
      <c r="H26" s="6">
        <v>123</v>
      </c>
      <c r="I26" s="7">
        <v>15</v>
      </c>
    </row>
    <row r="27" spans="1:19" x14ac:dyDescent="0.3">
      <c r="A27" s="5" t="s">
        <v>22</v>
      </c>
      <c r="B27" s="6" t="s">
        <v>12</v>
      </c>
      <c r="C27" s="6" t="s">
        <v>11</v>
      </c>
      <c r="D27" s="6">
        <v>1490000</v>
      </c>
      <c r="E27" s="6">
        <v>208600</v>
      </c>
      <c r="F27" s="6">
        <v>162</v>
      </c>
      <c r="G27" s="6">
        <v>7.4</v>
      </c>
      <c r="H27" s="6">
        <v>117</v>
      </c>
      <c r="I27" s="7">
        <v>14</v>
      </c>
    </row>
    <row r="28" spans="1:19" x14ac:dyDescent="0.3">
      <c r="A28" s="5" t="s">
        <v>22</v>
      </c>
      <c r="B28" s="6" t="s">
        <v>13</v>
      </c>
      <c r="C28" s="6" t="s">
        <v>11</v>
      </c>
      <c r="D28" s="6">
        <v>1260000</v>
      </c>
      <c r="E28" s="6">
        <v>176400</v>
      </c>
      <c r="F28" s="6">
        <v>139</v>
      </c>
      <c r="G28" s="6">
        <v>7.1</v>
      </c>
      <c r="H28" s="6">
        <v>100</v>
      </c>
      <c r="I28" s="7">
        <v>14</v>
      </c>
      <c r="K28" s="44" t="s">
        <v>48</v>
      </c>
      <c r="L28" s="44"/>
      <c r="M28" s="44"/>
      <c r="N28" s="44"/>
      <c r="O28" s="44"/>
      <c r="P28" s="44"/>
      <c r="Q28" s="44"/>
      <c r="R28" s="44"/>
      <c r="S28" s="44"/>
    </row>
    <row r="29" spans="1:19" x14ac:dyDescent="0.3">
      <c r="A29" s="5" t="s">
        <v>22</v>
      </c>
      <c r="B29" s="6" t="s">
        <v>14</v>
      </c>
      <c r="C29" s="6" t="s">
        <v>11</v>
      </c>
      <c r="D29" s="6">
        <v>1410000</v>
      </c>
      <c r="E29" s="6">
        <v>197400</v>
      </c>
      <c r="F29" s="6">
        <v>154</v>
      </c>
      <c r="G29" s="6">
        <v>8</v>
      </c>
      <c r="H29" s="6">
        <v>111</v>
      </c>
      <c r="I29" s="7">
        <v>14</v>
      </c>
      <c r="K29" s="44"/>
      <c r="L29" s="44"/>
      <c r="M29" s="44"/>
      <c r="N29" s="44"/>
      <c r="O29" s="44"/>
      <c r="P29" s="44"/>
      <c r="Q29" s="44"/>
      <c r="R29" s="44"/>
      <c r="S29" s="44"/>
    </row>
    <row r="30" spans="1:19" x14ac:dyDescent="0.3">
      <c r="A30" s="5" t="s">
        <v>23</v>
      </c>
      <c r="B30" s="6" t="s">
        <v>10</v>
      </c>
      <c r="C30" s="6" t="s">
        <v>16</v>
      </c>
      <c r="D30" s="6">
        <v>1650000</v>
      </c>
      <c r="E30" s="6">
        <v>247500</v>
      </c>
      <c r="F30" s="6">
        <v>381</v>
      </c>
      <c r="G30" s="6">
        <v>10.5</v>
      </c>
      <c r="H30" s="6">
        <v>274</v>
      </c>
      <c r="I30" s="7">
        <v>15</v>
      </c>
      <c r="K30" s="89" t="s">
        <v>49</v>
      </c>
      <c r="L30" s="89"/>
      <c r="M30" s="89"/>
      <c r="N30" s="89"/>
      <c r="O30" s="89"/>
      <c r="P30" s="89"/>
      <c r="Q30" s="89"/>
      <c r="R30" s="89"/>
      <c r="S30" s="89"/>
    </row>
    <row r="31" spans="1:19" x14ac:dyDescent="0.3">
      <c r="A31" s="5" t="s">
        <v>23</v>
      </c>
      <c r="B31" s="6" t="s">
        <v>12</v>
      </c>
      <c r="C31" s="6" t="s">
        <v>16</v>
      </c>
      <c r="D31" s="6">
        <v>1570000</v>
      </c>
      <c r="E31" s="6">
        <v>219800</v>
      </c>
      <c r="F31" s="6">
        <v>366</v>
      </c>
      <c r="G31" s="6">
        <v>9.1</v>
      </c>
      <c r="H31" s="6">
        <v>264</v>
      </c>
      <c r="I31" s="7">
        <v>14</v>
      </c>
      <c r="K31" s="89"/>
      <c r="L31" s="89"/>
      <c r="M31" s="89"/>
      <c r="N31" s="89"/>
      <c r="O31" s="89"/>
      <c r="P31" s="89"/>
      <c r="Q31" s="89"/>
      <c r="R31" s="89"/>
      <c r="S31" s="89"/>
    </row>
    <row r="32" spans="1:19" x14ac:dyDescent="0.3">
      <c r="A32" s="5" t="s">
        <v>23</v>
      </c>
      <c r="B32" s="6" t="s">
        <v>13</v>
      </c>
      <c r="C32" s="6" t="s">
        <v>16</v>
      </c>
      <c r="D32" s="6">
        <v>1320000</v>
      </c>
      <c r="E32" s="6">
        <v>184800</v>
      </c>
      <c r="F32" s="6">
        <v>314</v>
      </c>
      <c r="G32" s="6">
        <v>8.6</v>
      </c>
      <c r="H32" s="6">
        <v>226</v>
      </c>
      <c r="I32" s="7">
        <v>14</v>
      </c>
      <c r="K32" s="89"/>
      <c r="L32" s="89"/>
      <c r="M32" s="89"/>
      <c r="N32" s="89"/>
      <c r="O32" s="89"/>
      <c r="P32" s="89"/>
      <c r="Q32" s="89"/>
      <c r="R32" s="89"/>
      <c r="S32" s="89"/>
    </row>
    <row r="33" spans="1:19" x14ac:dyDescent="0.3">
      <c r="A33" s="5" t="s">
        <v>23</v>
      </c>
      <c r="B33" s="6" t="s">
        <v>14</v>
      </c>
      <c r="C33" s="6" t="s">
        <v>16</v>
      </c>
      <c r="D33" s="6">
        <v>1480000</v>
      </c>
      <c r="E33" s="6">
        <v>207200</v>
      </c>
      <c r="F33" s="6">
        <v>345</v>
      </c>
      <c r="G33" s="6">
        <v>9.6999999999999993</v>
      </c>
      <c r="H33" s="6">
        <v>248</v>
      </c>
      <c r="I33" s="7">
        <v>14</v>
      </c>
    </row>
    <row r="34" spans="1:19" x14ac:dyDescent="0.3">
      <c r="A34" s="5" t="s">
        <v>24</v>
      </c>
      <c r="B34" s="6" t="s">
        <v>10</v>
      </c>
      <c r="C34" s="6" t="s">
        <v>18</v>
      </c>
      <c r="D34" s="6">
        <v>1050000</v>
      </c>
      <c r="E34" s="6">
        <v>157500</v>
      </c>
      <c r="F34" s="6">
        <v>218</v>
      </c>
      <c r="G34" s="6">
        <v>5.4</v>
      </c>
      <c r="H34" s="6">
        <v>157</v>
      </c>
      <c r="I34" s="7">
        <v>15</v>
      </c>
      <c r="K34" s="54" t="s">
        <v>50</v>
      </c>
      <c r="L34" s="54"/>
      <c r="M34" s="54"/>
      <c r="N34" s="54"/>
      <c r="O34" s="54"/>
      <c r="P34" s="54"/>
      <c r="Q34" s="54"/>
      <c r="R34" s="54"/>
      <c r="S34" s="54"/>
    </row>
    <row r="35" spans="1:19" x14ac:dyDescent="0.3">
      <c r="A35" s="5" t="s">
        <v>24</v>
      </c>
      <c r="B35" s="6" t="s">
        <v>12</v>
      </c>
      <c r="C35" s="6" t="s">
        <v>18</v>
      </c>
      <c r="D35" s="6">
        <v>990000</v>
      </c>
      <c r="E35" s="6">
        <v>138600</v>
      </c>
      <c r="F35" s="6">
        <v>204</v>
      </c>
      <c r="G35" s="6">
        <v>4.8</v>
      </c>
      <c r="H35" s="6">
        <v>147</v>
      </c>
      <c r="I35" s="7">
        <v>14</v>
      </c>
      <c r="K35" s="54"/>
      <c r="L35" s="54"/>
      <c r="M35" s="54"/>
      <c r="N35" s="54"/>
      <c r="O35" s="54"/>
      <c r="P35" s="54"/>
      <c r="Q35" s="54"/>
      <c r="R35" s="54"/>
      <c r="S35" s="54"/>
    </row>
    <row r="36" spans="1:19" x14ac:dyDescent="0.3">
      <c r="A36" s="5" t="s">
        <v>24</v>
      </c>
      <c r="B36" s="6" t="s">
        <v>13</v>
      </c>
      <c r="C36" s="6" t="s">
        <v>18</v>
      </c>
      <c r="D36" s="6">
        <v>860000</v>
      </c>
      <c r="E36" s="6">
        <v>120400</v>
      </c>
      <c r="F36" s="6">
        <v>179</v>
      </c>
      <c r="G36" s="6">
        <v>5.0999999999999996</v>
      </c>
      <c r="H36" s="6">
        <v>129</v>
      </c>
      <c r="I36" s="7">
        <v>14</v>
      </c>
      <c r="K36" s="54"/>
      <c r="L36" s="54"/>
      <c r="M36" s="54"/>
      <c r="N36" s="54"/>
      <c r="O36" s="54"/>
      <c r="P36" s="54"/>
      <c r="Q36" s="54"/>
      <c r="R36" s="54"/>
      <c r="S36" s="54"/>
    </row>
    <row r="37" spans="1:19" x14ac:dyDescent="0.3">
      <c r="A37" s="5" t="s">
        <v>24</v>
      </c>
      <c r="B37" s="6" t="s">
        <v>14</v>
      </c>
      <c r="C37" s="6" t="s">
        <v>18</v>
      </c>
      <c r="D37" s="6">
        <v>950000</v>
      </c>
      <c r="E37" s="6">
        <v>133000</v>
      </c>
      <c r="F37" s="6">
        <v>195</v>
      </c>
      <c r="G37" s="6">
        <v>5.7</v>
      </c>
      <c r="H37" s="6">
        <v>140</v>
      </c>
      <c r="I37" s="7">
        <v>14</v>
      </c>
      <c r="K37" s="54"/>
      <c r="L37" s="54"/>
      <c r="M37" s="54"/>
      <c r="N37" s="54"/>
      <c r="O37" s="54"/>
      <c r="P37" s="54"/>
      <c r="Q37" s="54"/>
      <c r="R37" s="54"/>
      <c r="S37" s="54"/>
    </row>
    <row r="38" spans="1:19" x14ac:dyDescent="0.3">
      <c r="A38" s="5" t="s">
        <v>25</v>
      </c>
      <c r="B38" s="6" t="s">
        <v>10</v>
      </c>
      <c r="C38" s="6" t="s">
        <v>11</v>
      </c>
      <c r="D38" s="6">
        <v>1720000</v>
      </c>
      <c r="E38" s="6">
        <v>258000</v>
      </c>
      <c r="F38" s="6">
        <v>188</v>
      </c>
      <c r="G38" s="6">
        <v>9.8000000000000007</v>
      </c>
      <c r="H38" s="6">
        <v>135</v>
      </c>
      <c r="I38" s="7">
        <v>15</v>
      </c>
    </row>
    <row r="39" spans="1:19" x14ac:dyDescent="0.3">
      <c r="A39" s="5" t="s">
        <v>25</v>
      </c>
      <c r="B39" s="6" t="s">
        <v>12</v>
      </c>
      <c r="C39" s="6" t="s">
        <v>11</v>
      </c>
      <c r="D39" s="6">
        <v>1630000</v>
      </c>
      <c r="E39" s="6">
        <v>228200</v>
      </c>
      <c r="F39" s="6">
        <v>177</v>
      </c>
      <c r="G39" s="6">
        <v>8.6</v>
      </c>
      <c r="H39" s="6">
        <v>127</v>
      </c>
      <c r="I39" s="7">
        <v>14</v>
      </c>
    </row>
    <row r="40" spans="1:19" x14ac:dyDescent="0.3">
      <c r="A40" s="5" t="s">
        <v>25</v>
      </c>
      <c r="B40" s="6" t="s">
        <v>13</v>
      </c>
      <c r="C40" s="6" t="s">
        <v>11</v>
      </c>
      <c r="D40" s="6">
        <v>1390000</v>
      </c>
      <c r="E40" s="6">
        <v>194600</v>
      </c>
      <c r="F40" s="6">
        <v>153</v>
      </c>
      <c r="G40" s="6">
        <v>8</v>
      </c>
      <c r="H40" s="6">
        <v>110</v>
      </c>
      <c r="I40" s="7">
        <v>14</v>
      </c>
    </row>
    <row r="41" spans="1:19" x14ac:dyDescent="0.3">
      <c r="A41" s="5" t="s">
        <v>25</v>
      </c>
      <c r="B41" s="6" t="s">
        <v>14</v>
      </c>
      <c r="C41" s="6" t="s">
        <v>11</v>
      </c>
      <c r="D41" s="6">
        <v>1540000</v>
      </c>
      <c r="E41" s="6">
        <v>215600</v>
      </c>
      <c r="F41" s="6">
        <v>169</v>
      </c>
      <c r="G41" s="6">
        <v>9.1999999999999993</v>
      </c>
      <c r="H41" s="6">
        <v>122</v>
      </c>
      <c r="I41" s="7">
        <v>14</v>
      </c>
    </row>
    <row r="42" spans="1:19" x14ac:dyDescent="0.3">
      <c r="A42" s="5" t="s">
        <v>26</v>
      </c>
      <c r="B42" s="6" t="s">
        <v>10</v>
      </c>
      <c r="C42" s="6" t="s">
        <v>16</v>
      </c>
      <c r="D42" s="6">
        <v>1900000</v>
      </c>
      <c r="E42" s="6">
        <v>285000</v>
      </c>
      <c r="F42" s="6">
        <v>435</v>
      </c>
      <c r="G42" s="6">
        <v>14.2</v>
      </c>
      <c r="H42" s="6">
        <v>313</v>
      </c>
      <c r="I42" s="7">
        <v>15</v>
      </c>
    </row>
    <row r="43" spans="1:19" x14ac:dyDescent="0.3">
      <c r="A43" s="5" t="s">
        <v>26</v>
      </c>
      <c r="B43" s="6" t="s">
        <v>12</v>
      </c>
      <c r="C43" s="6" t="s">
        <v>16</v>
      </c>
      <c r="D43" s="6">
        <v>1810000</v>
      </c>
      <c r="E43" s="6">
        <v>253400</v>
      </c>
      <c r="F43" s="6">
        <v>418</v>
      </c>
      <c r="G43" s="6">
        <v>12.5</v>
      </c>
      <c r="H43" s="6">
        <v>301</v>
      </c>
      <c r="I43" s="7">
        <v>14</v>
      </c>
    </row>
    <row r="44" spans="1:19" x14ac:dyDescent="0.3">
      <c r="A44" s="5" t="s">
        <v>26</v>
      </c>
      <c r="B44" s="6" t="s">
        <v>13</v>
      </c>
      <c r="C44" s="6" t="s">
        <v>16</v>
      </c>
      <c r="D44" s="6">
        <v>1530000</v>
      </c>
      <c r="E44" s="6">
        <v>214200</v>
      </c>
      <c r="F44" s="6">
        <v>362</v>
      </c>
      <c r="G44" s="6">
        <v>11.6</v>
      </c>
      <c r="H44" s="6">
        <v>261</v>
      </c>
      <c r="I44" s="7">
        <v>14</v>
      </c>
    </row>
    <row r="45" spans="1:19" x14ac:dyDescent="0.3">
      <c r="A45" s="5" t="s">
        <v>26</v>
      </c>
      <c r="B45" s="6" t="s">
        <v>14</v>
      </c>
      <c r="C45" s="6" t="s">
        <v>16</v>
      </c>
      <c r="D45" s="6">
        <v>1710000</v>
      </c>
      <c r="E45" s="6">
        <v>239400</v>
      </c>
      <c r="F45" s="6">
        <v>396</v>
      </c>
      <c r="G45" s="6">
        <v>13.1</v>
      </c>
      <c r="H45" s="6">
        <v>285</v>
      </c>
      <c r="I45" s="7">
        <v>14</v>
      </c>
    </row>
    <row r="46" spans="1:19" x14ac:dyDescent="0.3">
      <c r="A46" s="5" t="s">
        <v>27</v>
      </c>
      <c r="B46" s="6" t="s">
        <v>10</v>
      </c>
      <c r="C46" s="6" t="s">
        <v>18</v>
      </c>
      <c r="D46" s="6">
        <v>1180000</v>
      </c>
      <c r="E46" s="6">
        <v>177000</v>
      </c>
      <c r="F46" s="6">
        <v>246</v>
      </c>
      <c r="G46" s="6">
        <v>7.3</v>
      </c>
      <c r="H46" s="6">
        <v>177</v>
      </c>
      <c r="I46" s="7">
        <v>15</v>
      </c>
    </row>
    <row r="47" spans="1:19" x14ac:dyDescent="0.3">
      <c r="A47" s="5" t="s">
        <v>27</v>
      </c>
      <c r="B47" s="6" t="s">
        <v>12</v>
      </c>
      <c r="C47" s="6" t="s">
        <v>18</v>
      </c>
      <c r="D47" s="6">
        <v>1110000</v>
      </c>
      <c r="E47" s="6">
        <v>155400</v>
      </c>
      <c r="F47" s="6">
        <v>231</v>
      </c>
      <c r="G47" s="6">
        <v>6.5</v>
      </c>
      <c r="H47" s="6">
        <v>166</v>
      </c>
      <c r="I47" s="7">
        <v>14</v>
      </c>
    </row>
    <row r="48" spans="1:19" x14ac:dyDescent="0.3">
      <c r="A48" s="5" t="s">
        <v>27</v>
      </c>
      <c r="B48" s="6" t="s">
        <v>13</v>
      </c>
      <c r="C48" s="6" t="s">
        <v>18</v>
      </c>
      <c r="D48" s="6">
        <v>970000</v>
      </c>
      <c r="E48" s="6">
        <v>135800</v>
      </c>
      <c r="F48" s="6">
        <v>202</v>
      </c>
      <c r="G48" s="6">
        <v>6.1</v>
      </c>
      <c r="H48" s="6">
        <v>145</v>
      </c>
      <c r="I48" s="7">
        <v>14</v>
      </c>
    </row>
    <row r="49" spans="1:9" x14ac:dyDescent="0.3">
      <c r="A49" s="8" t="s">
        <v>27</v>
      </c>
      <c r="B49" s="9" t="s">
        <v>14</v>
      </c>
      <c r="C49" s="9" t="s">
        <v>18</v>
      </c>
      <c r="D49" s="9">
        <v>1060000</v>
      </c>
      <c r="E49" s="9">
        <v>148400</v>
      </c>
      <c r="F49" s="9">
        <v>219</v>
      </c>
      <c r="G49" s="9">
        <v>6.9</v>
      </c>
      <c r="H49" s="9">
        <v>158</v>
      </c>
      <c r="I49" s="10">
        <v>14</v>
      </c>
    </row>
  </sheetData>
  <mergeCells count="4">
    <mergeCell ref="K1:S3"/>
    <mergeCell ref="K28:S29"/>
    <mergeCell ref="K30:S32"/>
    <mergeCell ref="K34:S37"/>
  </mergeCells>
  <pageMargins left="0.25" right="0.25" top="0.75" bottom="0.75" header="0.3" footer="0.3"/>
  <pageSetup paperSize="9" scale="68" orientation="landscape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Problem1</vt:lpstr>
      <vt:lpstr>Problem2</vt:lpstr>
      <vt:lpstr>Problem3</vt:lpstr>
      <vt:lpstr>Sheet4</vt:lpstr>
      <vt:lpstr>Problrm4</vt:lpstr>
      <vt:lpstr>Problem5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Souptik Bej</cp:lastModifiedBy>
  <cp:lastPrinted>2026-08-11T08:00:51Z</cp:lastPrinted>
  <dcterms:created xsi:type="dcterms:W3CDTF">2026-08-11T05:05:10Z</dcterms:created>
  <dcterms:modified xsi:type="dcterms:W3CDTF">2026-08-11T08:01:01Z</dcterms:modified>
</cp:coreProperties>
</file>