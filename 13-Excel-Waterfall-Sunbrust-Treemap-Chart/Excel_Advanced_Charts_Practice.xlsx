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8884D7BF-5EBD-462B-94F5-9B88F35F31FF}" xr6:coauthVersionLast="47" xr6:coauthVersionMax="47" xr10:uidLastSave="{00000000-0000-0000-0000-000000000000}"/>
  <bookViews>
    <workbookView xWindow="-28920" yWindow="-90" windowWidth="29040" windowHeight="16440" activeTab="2" xr2:uid="{00000000-000D-0000-FFFF-FFFF00000000}"/>
  </bookViews>
  <sheets>
    <sheet name="Raw-Data" sheetId="4" r:id="rId1"/>
    <sheet name="Waterfall-Chart" sheetId="1" r:id="rId2"/>
    <sheet name="SunBurst-Chart" sheetId="5" r:id="rId3"/>
    <sheet name="Treemap-Chart" sheetId="6" r:id="rId4"/>
    <sheet name="Data_Dictionary" sheetId="2" r:id="rId5"/>
    <sheet name="Practice_Questions" sheetId="3" r:id="rId6"/>
    <sheet name="Final-Mini-Challenge" sheetId="8" r:id="rId7"/>
  </sheets>
  <definedNames>
    <definedName name="_xlnm._FilterDatabase" localSheetId="1" hidden="1">'Waterfall-Chart'!$A$1:$I$296</definedName>
    <definedName name="_xlchart.v1.0" hidden="1">'Waterfall-Chart'!$H$2:$H$296</definedName>
    <definedName name="_xlchart.v1.1" hidden="1">'Waterfall-Chart'!$I$1</definedName>
    <definedName name="_xlchart.v1.10" hidden="1">'SunBurst-Chart'!$D$1</definedName>
    <definedName name="_xlchart.v1.11" hidden="1">'SunBurst-Chart'!$D$2:$D$25</definedName>
    <definedName name="_xlchart.v1.12" hidden="1">'Treemap-Chart'!$A$2:$A$7</definedName>
    <definedName name="_xlchart.v1.13" hidden="1">'Treemap-Chart'!$B$1</definedName>
    <definedName name="_xlchart.v1.14" hidden="1">'Treemap-Chart'!$B$2:$B$7</definedName>
    <definedName name="_xlchart.v1.15" hidden="1">'Treemap-Chart'!$A$2:$A$7</definedName>
    <definedName name="_xlchart.v1.16" hidden="1">'Treemap-Chart'!$B$1</definedName>
    <definedName name="_xlchart.v1.17" hidden="1">'Treemap-Chart'!$B$2:$B$7</definedName>
    <definedName name="_xlchart.v1.18" hidden="1">Data_Dictionary!$F$3:$H$26</definedName>
    <definedName name="_xlchart.v1.19" hidden="1">Data_Dictionary!$I$2</definedName>
    <definedName name="_xlchart.v1.2" hidden="1">'Waterfall-Chart'!$I$2:$I$296</definedName>
    <definedName name="_xlchart.v1.20" hidden="1">Data_Dictionary!$I$3:$I$26</definedName>
    <definedName name="_xlchart.v1.21" hidden="1">Data_Dictionary!$C$12:$C$17</definedName>
    <definedName name="_xlchart.v1.22" hidden="1">Data_Dictionary!$D$11</definedName>
    <definedName name="_xlchart.v1.23" hidden="1">Data_Dictionary!$D$12:$D$17</definedName>
    <definedName name="_xlchart.v1.24" hidden="1">'Final-Mini-Challenge'!$A$39:$A$44</definedName>
    <definedName name="_xlchart.v1.25" hidden="1">'Final-Mini-Challenge'!$B$38</definedName>
    <definedName name="_xlchart.v1.26" hidden="1">'Final-Mini-Challenge'!$B$39:$B$44</definedName>
    <definedName name="_xlchart.v1.27" hidden="1">Data_Dictionary!$C$3:$C$9</definedName>
    <definedName name="_xlchart.v1.28" hidden="1">Data_Dictionary!$D$2</definedName>
    <definedName name="_xlchart.v1.29" hidden="1">Data_Dictionary!$D$3:$D$9</definedName>
    <definedName name="_xlchart.v1.3" hidden="1">'SunBurst-Chart'!$A$2:$C$25</definedName>
    <definedName name="_xlchart.v1.4" hidden="1">'SunBurst-Chart'!$D$1</definedName>
    <definedName name="_xlchart.v1.5" hidden="1">'SunBurst-Chart'!$D$2:$D$25</definedName>
    <definedName name="_xlchart.v1.6" hidden="1">'SunBurst-Chart'!$A$2:$C$25</definedName>
    <definedName name="_xlchart.v1.7" hidden="1">'SunBurst-Chart'!$D$1</definedName>
    <definedName name="_xlchart.v1.8" hidden="1">'SunBurst-Chart'!$D$2:$D$25</definedName>
    <definedName name="_xlchart.v1.9" hidden="1">'SunBurst-Chart'!$A$2:$C$25</definedName>
    <definedName name="_xlnm.Print_Area" localSheetId="6">'Final-Mini-Challenge'!$A$1:$V$91</definedName>
    <definedName name="_xlnm.Print_Area" localSheetId="1">'Waterfall-Chart'!$A$1:$I$353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 i="4" l="1"/>
  <c r="B23" i="2"/>
  <c r="B24" i="2"/>
  <c r="B22" i="2"/>
</calcChain>
</file>

<file path=xl/sharedStrings.xml><?xml version="1.0" encoding="utf-8"?>
<sst xmlns="http://schemas.openxmlformats.org/spreadsheetml/2006/main" count="4475" uniqueCount="399">
  <si>
    <t>Record_ID</t>
  </si>
  <si>
    <t>Date</t>
  </si>
  <si>
    <t>Company</t>
  </si>
  <si>
    <t>Department</t>
  </si>
  <si>
    <t>Team</t>
  </si>
  <si>
    <t>Category</t>
  </si>
  <si>
    <t>Record_Type</t>
  </si>
  <si>
    <t>Financial_Item</t>
  </si>
  <si>
    <t>Amount</t>
  </si>
  <si>
    <t>TXN085</t>
  </si>
  <si>
    <t>Alpha Corp</t>
  </si>
  <si>
    <t>Operations</t>
  </si>
  <si>
    <t>Procurement</t>
  </si>
  <si>
    <t>Appliances</t>
  </si>
  <si>
    <t>Sales</t>
  </si>
  <si>
    <t>TXN097</t>
  </si>
  <si>
    <t>Quality</t>
  </si>
  <si>
    <t>Clothing</t>
  </si>
  <si>
    <t>TXN278</t>
  </si>
  <si>
    <t>Beta Ltd</t>
  </si>
  <si>
    <t>HR</t>
  </si>
  <si>
    <t>Payroll</t>
  </si>
  <si>
    <t>Furniture</t>
  </si>
  <si>
    <t>TXN145</t>
  </si>
  <si>
    <t>Online</t>
  </si>
  <si>
    <t>Electronics</t>
  </si>
  <si>
    <t>TXN073</t>
  </si>
  <si>
    <t>Logistics</t>
  </si>
  <si>
    <t>Others</t>
  </si>
  <si>
    <t>TXN266</t>
  </si>
  <si>
    <t>Training</t>
  </si>
  <si>
    <t>Books</t>
  </si>
  <si>
    <t>TXN062</t>
  </si>
  <si>
    <t>Marketing</t>
  </si>
  <si>
    <t>Events</t>
  </si>
  <si>
    <t>TXN194</t>
  </si>
  <si>
    <t>Brand</t>
  </si>
  <si>
    <t>TXN277</t>
  </si>
  <si>
    <t>TXN133</t>
  </si>
  <si>
    <t>TXN014</t>
  </si>
  <si>
    <t>Retail</t>
  </si>
  <si>
    <t>TXN122</t>
  </si>
  <si>
    <t>TXN157</t>
  </si>
  <si>
    <t>TXN181</t>
  </si>
  <si>
    <t>Digital</t>
  </si>
  <si>
    <t>TXN218</t>
  </si>
  <si>
    <t>TXN025</t>
  </si>
  <si>
    <t>Wholesale</t>
  </si>
  <si>
    <t>TXN026</t>
  </si>
  <si>
    <t>TXN182</t>
  </si>
  <si>
    <t>TXN037</t>
  </si>
  <si>
    <t>TXN109</t>
  </si>
  <si>
    <t>Recruitment</t>
  </si>
  <si>
    <t>TXN001</t>
  </si>
  <si>
    <t>TXN038</t>
  </si>
  <si>
    <t>TXN110</t>
  </si>
  <si>
    <t>TXN169</t>
  </si>
  <si>
    <t>TXN074</t>
  </si>
  <si>
    <t>TXN146</t>
  </si>
  <si>
    <t>TXN206</t>
  </si>
  <si>
    <t>TXN229</t>
  </si>
  <si>
    <t>TXN050</t>
  </si>
  <si>
    <t>TXN158</t>
  </si>
  <si>
    <t>TXN230</t>
  </si>
  <si>
    <t>TXN098</t>
  </si>
  <si>
    <t>TXN121</t>
  </si>
  <si>
    <t>TXN193</t>
  </si>
  <si>
    <t>TXN134</t>
  </si>
  <si>
    <t>TXN217</t>
  </si>
  <si>
    <t>TXN242</t>
  </si>
  <si>
    <t>TXN086</t>
  </si>
  <si>
    <t>TXN265</t>
  </si>
  <si>
    <t>TXN013</t>
  </si>
  <si>
    <t>TXN049</t>
  </si>
  <si>
    <t>TXN253</t>
  </si>
  <si>
    <t>TXN002</t>
  </si>
  <si>
    <t>TXN061</t>
  </si>
  <si>
    <t>TXN170</t>
  </si>
  <si>
    <t>TXN205</t>
  </si>
  <si>
    <t>TXN241</t>
  </si>
  <si>
    <t>TXN254</t>
  </si>
  <si>
    <t>TXN064</t>
  </si>
  <si>
    <t>TXN231</t>
  </si>
  <si>
    <t>TXN268</t>
  </si>
  <si>
    <t>TXN087</t>
  </si>
  <si>
    <t>TXN099</t>
  </si>
  <si>
    <t>TXN160</t>
  </si>
  <si>
    <t>TXN256</t>
  </si>
  <si>
    <t>TXN267</t>
  </si>
  <si>
    <t>TXN075</t>
  </si>
  <si>
    <t>TXN195</t>
  </si>
  <si>
    <t>TXN063</t>
  </si>
  <si>
    <t>TXN015</t>
  </si>
  <si>
    <t>TXN040</t>
  </si>
  <si>
    <t>TXN051</t>
  </si>
  <si>
    <t>TXN171</t>
  </si>
  <si>
    <t>TXN004</t>
  </si>
  <si>
    <t>TXN028</t>
  </si>
  <si>
    <t>TXN027</t>
  </si>
  <si>
    <t>TXN052</t>
  </si>
  <si>
    <t>TXN076</t>
  </si>
  <si>
    <t>TXN148</t>
  </si>
  <si>
    <t>TXN207</t>
  </si>
  <si>
    <t>TXN100</t>
  </si>
  <si>
    <t>TXN172</t>
  </si>
  <si>
    <t>TXN279</t>
  </si>
  <si>
    <t>TXN003</t>
  </si>
  <si>
    <t>TXN232</t>
  </si>
  <si>
    <t>TXN243</t>
  </si>
  <si>
    <t>TXN184</t>
  </si>
  <si>
    <t>TXN280</t>
  </si>
  <si>
    <t>TXN039</t>
  </si>
  <si>
    <t>TXN159</t>
  </si>
  <si>
    <t>TXN016</t>
  </si>
  <si>
    <t>TXN220</t>
  </si>
  <si>
    <t>TXN088</t>
  </si>
  <si>
    <t>TXN183</t>
  </si>
  <si>
    <t>TXN244</t>
  </si>
  <si>
    <t>TXN255</t>
  </si>
  <si>
    <t>TXN136</t>
  </si>
  <si>
    <t>TXN135</t>
  </si>
  <si>
    <t>TXN208</t>
  </si>
  <si>
    <t>TXN111</t>
  </si>
  <si>
    <t>TXN112</t>
  </si>
  <si>
    <t>TXN124</t>
  </si>
  <si>
    <t>TXN196</t>
  </si>
  <si>
    <t>TXN219</t>
  </si>
  <si>
    <t>TXN123</t>
  </si>
  <si>
    <t>TXN147</t>
  </si>
  <si>
    <t>TXN197</t>
  </si>
  <si>
    <t>TXN173</t>
  </si>
  <si>
    <t>TXN281</t>
  </si>
  <si>
    <t>TXN030</t>
  </si>
  <si>
    <t>TXN101</t>
  </si>
  <si>
    <t>TXN017</t>
  </si>
  <si>
    <t>TXN041</t>
  </si>
  <si>
    <t>TXN150</t>
  </si>
  <si>
    <t>TXN257</t>
  </si>
  <si>
    <t>TXN269</t>
  </si>
  <si>
    <t>TXN186</t>
  </si>
  <si>
    <t>TXN282</t>
  </si>
  <si>
    <t>TXN006</t>
  </si>
  <si>
    <t>TXN018</t>
  </si>
  <si>
    <t>TXN066</t>
  </si>
  <si>
    <t>TXN090</t>
  </si>
  <si>
    <t>TXN210</t>
  </si>
  <si>
    <t>TXN126</t>
  </si>
  <si>
    <t>TXN222</t>
  </si>
  <si>
    <t>TXN258</t>
  </si>
  <si>
    <t>TXN234</t>
  </si>
  <si>
    <t>TXN053</t>
  </si>
  <si>
    <t>TXN042</t>
  </si>
  <si>
    <t>TXN125</t>
  </si>
  <si>
    <t>TXN149</t>
  </si>
  <si>
    <t>TXN162</t>
  </si>
  <si>
    <t>TXN185</t>
  </si>
  <si>
    <t>TXN065</t>
  </si>
  <si>
    <t>TXN077</t>
  </si>
  <si>
    <t>TXN138</t>
  </si>
  <si>
    <t>TXN198</t>
  </si>
  <si>
    <t>TXN113</t>
  </si>
  <si>
    <t>TXN209</t>
  </si>
  <si>
    <t>TXN245</t>
  </si>
  <si>
    <t>TXN270</t>
  </si>
  <si>
    <t>TXN102</t>
  </si>
  <si>
    <t>TXN029</t>
  </si>
  <si>
    <t>TXN161</t>
  </si>
  <si>
    <t>TXN174</t>
  </si>
  <si>
    <t>TXN005</t>
  </si>
  <si>
    <t>TXN221</t>
  </si>
  <si>
    <t>TXN089</t>
  </si>
  <si>
    <t>TXN114</t>
  </si>
  <si>
    <t>TXN054</t>
  </si>
  <si>
    <t>TXN078</t>
  </si>
  <si>
    <t>TXN137</t>
  </si>
  <si>
    <t>TXN246</t>
  </si>
  <si>
    <t>TXN233</t>
  </si>
  <si>
    <t>TXN092</t>
  </si>
  <si>
    <t>TXN175</t>
  </si>
  <si>
    <t>TXN044</t>
  </si>
  <si>
    <t>TXN091</t>
  </si>
  <si>
    <t>TXN104</t>
  </si>
  <si>
    <t>TXN152</t>
  </si>
  <si>
    <t>TXN199</t>
  </si>
  <si>
    <t>TXN236</t>
  </si>
  <si>
    <t>TXN283</t>
  </si>
  <si>
    <t>TXN067</t>
  </si>
  <si>
    <t>TXN080</t>
  </si>
  <si>
    <t>TXN235</t>
  </si>
  <si>
    <t>TXN151</t>
  </si>
  <si>
    <t>TXN211</t>
  </si>
  <si>
    <t>TXN260</t>
  </si>
  <si>
    <t>TXN032</t>
  </si>
  <si>
    <t>TXN056</t>
  </si>
  <si>
    <t>TXN176</t>
  </si>
  <si>
    <t>TXN272</t>
  </si>
  <si>
    <t>TXN188</t>
  </si>
  <si>
    <t>TXN008</t>
  </si>
  <si>
    <t>TXN031</t>
  </si>
  <si>
    <t>TXN212</t>
  </si>
  <si>
    <t>TXN020</t>
  </si>
  <si>
    <t>TXN115</t>
  </si>
  <si>
    <t>TXN284</t>
  </si>
  <si>
    <t>TXN043</t>
  </si>
  <si>
    <t>TXN116</t>
  </si>
  <si>
    <t>TXN224</t>
  </si>
  <si>
    <t>TXN055</t>
  </si>
  <si>
    <t>TXN139</t>
  </si>
  <si>
    <t>TXN223</t>
  </si>
  <si>
    <t>TXN068</t>
  </si>
  <si>
    <t>TXN128</t>
  </si>
  <si>
    <t>TXN163</t>
  </si>
  <si>
    <t>TXN200</t>
  </si>
  <si>
    <t>TXN259</t>
  </si>
  <si>
    <t>TXN140</t>
  </si>
  <si>
    <t>TXN187</t>
  </si>
  <si>
    <t>TXN164</t>
  </si>
  <si>
    <t>TXN019</t>
  </si>
  <si>
    <t>TXN127</t>
  </si>
  <si>
    <t>TXN103</t>
  </si>
  <si>
    <t>TXN247</t>
  </si>
  <si>
    <t>TXN079</t>
  </si>
  <si>
    <t>TXN271</t>
  </si>
  <si>
    <t>TXN007</t>
  </si>
  <si>
    <t>TXN248</t>
  </si>
  <si>
    <t>TXN105</t>
  </si>
  <si>
    <t>TXN189</t>
  </si>
  <si>
    <t>TXN226</t>
  </si>
  <si>
    <t>TXN274</t>
  </si>
  <si>
    <t>TXN058</t>
  </si>
  <si>
    <t>TXN225</t>
  </si>
  <si>
    <t>TXN261</t>
  </si>
  <si>
    <t>TXN081</t>
  </si>
  <si>
    <t>TXN082</t>
  </si>
  <si>
    <t>TXN141</t>
  </si>
  <si>
    <t>TXN249</t>
  </si>
  <si>
    <t>TXN057</t>
  </si>
  <si>
    <t>TXN129</t>
  </si>
  <si>
    <t>TXN262</t>
  </si>
  <si>
    <t>TXN070</t>
  </si>
  <si>
    <t>TXN213</t>
  </si>
  <si>
    <t>TXN106</t>
  </si>
  <si>
    <t>TXN178</t>
  </si>
  <si>
    <t>TXN286</t>
  </si>
  <si>
    <t>TXN214</t>
  </si>
  <si>
    <t>TXN094</t>
  </si>
  <si>
    <t>TXN130</t>
  </si>
  <si>
    <t>TXN117</t>
  </si>
  <si>
    <t>TXN250</t>
  </si>
  <si>
    <t>TXN009</t>
  </si>
  <si>
    <t>TXN021</t>
  </si>
  <si>
    <t>TXN033</t>
  </si>
  <si>
    <t>TXN093</t>
  </si>
  <si>
    <t>TXN166</t>
  </si>
  <si>
    <t>TXN190</t>
  </si>
  <si>
    <t>TXN153</t>
  </si>
  <si>
    <t>TXN202</t>
  </si>
  <si>
    <t>TXN237</t>
  </si>
  <si>
    <t>TXN010</t>
  </si>
  <si>
    <t>TXN142</t>
  </si>
  <si>
    <t>TXN177</t>
  </si>
  <si>
    <t>TXN238</t>
  </si>
  <si>
    <t>TXN046</t>
  </si>
  <si>
    <t>TXN069</t>
  </si>
  <si>
    <t>TXN118</t>
  </si>
  <si>
    <t>TXN165</t>
  </si>
  <si>
    <t>TXN034</t>
  </si>
  <si>
    <t>TXN022</t>
  </si>
  <si>
    <t>TXN154</t>
  </si>
  <si>
    <t>TXN285</t>
  </si>
  <si>
    <t>TXN045</t>
  </si>
  <si>
    <t>TXN201</t>
  </si>
  <si>
    <t>TXN273</t>
  </si>
  <si>
    <t>TXN036</t>
  </si>
  <si>
    <t>TXN204</t>
  </si>
  <si>
    <t>TXN215</t>
  </si>
  <si>
    <t>TXN035</t>
  </si>
  <si>
    <t>TXN084</t>
  </si>
  <si>
    <t>TXN168</t>
  </si>
  <si>
    <t>TXN179</t>
  </si>
  <si>
    <t>TXN059</t>
  </si>
  <si>
    <t>TXN155</t>
  </si>
  <si>
    <t>TXN228</t>
  </si>
  <si>
    <t>TXN252</t>
  </si>
  <si>
    <t>TXN276</t>
  </si>
  <si>
    <t>TXN012</t>
  </si>
  <si>
    <t>TXN048</t>
  </si>
  <si>
    <t>TXN143</t>
  </si>
  <si>
    <t>TXN192</t>
  </si>
  <si>
    <t>TXN216</t>
  </si>
  <si>
    <t>TXN095</t>
  </si>
  <si>
    <t>TXN119</t>
  </si>
  <si>
    <t>TXN071</t>
  </si>
  <si>
    <t>TXN288</t>
  </si>
  <si>
    <t>TXN131</t>
  </si>
  <si>
    <t>TXN191</t>
  </si>
  <si>
    <t>TXN144</t>
  </si>
  <si>
    <t>TXN156</t>
  </si>
  <si>
    <t>TXN083</t>
  </si>
  <si>
    <t>TXN251</t>
  </si>
  <si>
    <t>TXN096</t>
  </si>
  <si>
    <t>TXN072</t>
  </si>
  <si>
    <t>TXN060</t>
  </si>
  <si>
    <t>TXN108</t>
  </si>
  <si>
    <t>TXN023</t>
  </si>
  <si>
    <t>TXN132</t>
  </si>
  <si>
    <t>TXN263</t>
  </si>
  <si>
    <t>TXN239</t>
  </si>
  <si>
    <t>TXN287</t>
  </si>
  <si>
    <t>TXN203</t>
  </si>
  <si>
    <t>TXN227</t>
  </si>
  <si>
    <t>TXN264</t>
  </si>
  <si>
    <t>TXN024</t>
  </si>
  <si>
    <t>TXN011</t>
  </si>
  <si>
    <t>TXN107</t>
  </si>
  <si>
    <t>TXN047</t>
  </si>
  <si>
    <t>TXN120</t>
  </si>
  <si>
    <t>TXN167</t>
  </si>
  <si>
    <t>TXN180</t>
  </si>
  <si>
    <t>TXN240</t>
  </si>
  <si>
    <t>TXN275</t>
  </si>
  <si>
    <t>FIN289</t>
  </si>
  <si>
    <t>Financial</t>
  </si>
  <si>
    <t>Opening Balance</t>
  </si>
  <si>
    <t>FIN290</t>
  </si>
  <si>
    <t>FIN291</t>
  </si>
  <si>
    <t>Other Income</t>
  </si>
  <si>
    <t>FIN292</t>
  </si>
  <si>
    <t>Purchases</t>
  </si>
  <si>
    <t>FIN293</t>
  </si>
  <si>
    <t>Operating Expenses</t>
  </si>
  <si>
    <t>FIN294</t>
  </si>
  <si>
    <t>Tax</t>
  </si>
  <si>
    <t>FIN295</t>
  </si>
  <si>
    <t>Closing Balance</t>
  </si>
  <si>
    <t>Column</t>
  </si>
  <si>
    <t>Meaning</t>
  </si>
  <si>
    <t>Unique record identifier</t>
  </si>
  <si>
    <t>Transaction or financial summary date</t>
  </si>
  <si>
    <t>Top-level organizational hierarchy</t>
  </si>
  <si>
    <t>Second-level hierarchy</t>
  </si>
  <si>
    <t>Third-level hierarchy</t>
  </si>
  <si>
    <t>Sales/product category for Treemap analysis</t>
  </si>
  <si>
    <t>Sales or Financial record</t>
  </si>
  <si>
    <t>Financial movement used for Waterfall practice</t>
  </si>
  <si>
    <t>Sales amount or financial amount</t>
  </si>
  <si>
    <t>EXCEL ADVANCED CHARTS — PRACTICE QUESTIONS</t>
  </si>
  <si>
    <t>Dataset</t>
  </si>
  <si>
    <t>Excel_Advanced_Charts_Practice.xlsx → Dataset sheet</t>
  </si>
  <si>
    <t>Topics</t>
  </si>
  <si>
    <t>Waterfall Chart | Sunburst Chart | Treemap Chart</t>
  </si>
  <si>
    <t>Rule</t>
  </si>
  <si>
    <t>Use only Excel data-analysis/chart operations. Do not manually draw charts.</t>
  </si>
  <si>
    <t>WATERFALL CHART — 5 PROBLEMS</t>
  </si>
  <si>
    <t>1</t>
  </si>
  <si>
    <t>Filter the Dataset to Record_Type = Financial and create a Waterfall Chart using Financial_Item and Amount. Show the movement from Opening Balance to Closing Balance.</t>
  </si>
  <si>
    <t>2</t>
  </si>
  <si>
    <t>Format the Waterfall Chart so increases and decreases are clearly distinguishable. Add a suitable chart title and data labels.</t>
  </si>
  <si>
    <t>3</t>
  </si>
  <si>
    <t>Identify which financial item causes the largest decrease in balance. Highlight that decrease using the chart's formatting options.</t>
  </si>
  <si>
    <t>4</t>
  </si>
  <si>
    <t>Set Opening Balance and Closing Balance as totals in the Waterfall Chart. Verify that the final Closing Balance matches the dataset.</t>
  </si>
  <si>
    <t>5</t>
  </si>
  <si>
    <t>Create a clean management-ready Waterfall Chart showing the step-by-step movement from Opening Balance to Closing Balance. Remove unnecessary chart elements and keep only useful labels.</t>
  </si>
  <si>
    <t>SUNBURST CHART — 5 PROBLEMS</t>
  </si>
  <si>
    <t>Create a Sunburst Chart showing the hierarchy Company → Department → Team using Amount as the value.</t>
  </si>
  <si>
    <t>Analyze the Sunburst and identify the company with the highest total Amount.</t>
  </si>
  <si>
    <t>Drill into the Sunburst hierarchy and identify the highest-value Department within each Company.</t>
  </si>
  <si>
    <t>Identify the Team with the highest Amount overall and determine which Company and Department it belongs to.</t>
  </si>
  <si>
    <t>Improve the Sunburst Chart for presentation: use meaningful labels, a clear title, and appropriate formatting so the hierarchy is easy to understand.</t>
  </si>
  <si>
    <t>TREEMAP CHART — 5 PROBLEMS</t>
  </si>
  <si>
    <t>Create a Treemap Chart showing total Amount by Category. Use Category as the hierarchy and Amount as the value.</t>
  </si>
  <si>
    <t>Identify the largest category by Amount and calculate its percentage contribution to total Amount using a supporting formula.</t>
  </si>
  <si>
    <t>Rank the categories from highest to lowest Amount and compare the Treemap result with your ranking.</t>
  </si>
  <si>
    <t>Create a presentation-ready Treemap with clear category labels and values. Ensure smaller categories remain readable.</t>
  </si>
  <si>
    <t>Use the Treemap to write three business insights: the largest category, the smallest category, and whether sales are concentrated in a few categories or distributed across many categories.</t>
  </si>
  <si>
    <t>FINAL MINI-CHALLENGE</t>
  </si>
  <si>
    <t>Build a one-page Excel chart sheet containing the Waterfall, Sunburst, and Treemap charts. Add concise titles and arrange them so a manager can understand the financial movement, organizational hierarchy, and category contribution within 30 seconds.</t>
  </si>
  <si>
    <t>Why use a Waterfall Chart?</t>
  </si>
  <si>
    <t>A Waterfall Chart is used to visualize how an initial value changes through a sequence of positive and negative contributions to reach a final value. It is commonly used for profit and loss analysis, budget variance analysis, and cash flow movement because it clearly shows the impact of each component.</t>
  </si>
  <si>
    <t>I used a Waterfall Chart to visualize the sequential impact of each financial component on the company's balance. Positive movements are highlighted in green, negative movements in red, and the opening and closing balances are formatted as totals to clearly show the overall financial progression."</t>
  </si>
  <si>
    <t>Purchases contributed the largest reduction in the financial balance, decreasing it by ₹45,000. This suggests procurement costs had the most significant impact on profitability during the period and may warrant further cost analysis.</t>
  </si>
  <si>
    <t xml:space="preserve"> </t>
  </si>
  <si>
    <t>Why do we set Opening Balance and Closing Balance as Totals in a Waterfall Chart?</t>
  </si>
  <si>
    <t>Opening Balance and Closing Balance are fixed values, not incremental changes. Marking them as totals anchors them to the baseline, making the chart accurately show the cumulative movement between the starting and ending balances.</t>
  </si>
  <si>
    <t>The waterfall chart shows how the opening balance changes through positive (Sales and Other Income) and negative (Purchases, Operating Expenses, and Tax) financial movements, resulting in the final closing balance.</t>
  </si>
  <si>
    <t>Sum of Amount</t>
  </si>
  <si>
    <t>Company with the highest Amount: Alpha Corp
Total Amount: ₹7,3,59,028</t>
  </si>
  <si>
    <r>
      <t xml:space="preserve">From Alpha Crop company </t>
    </r>
    <r>
      <rPr>
        <b/>
        <u/>
        <sz val="11"/>
        <color rgb="FF006100"/>
        <rFont val="Calibri"/>
        <family val="2"/>
        <scheme val="minor"/>
      </rPr>
      <t>Sales</t>
    </r>
    <r>
      <rPr>
        <sz val="11"/>
        <color rgb="FF006100"/>
        <rFont val="Calibri"/>
        <family val="2"/>
        <scheme val="minor"/>
      </rPr>
      <t xml:space="preserve"> Department was Highest Value.Total Amount : </t>
    </r>
    <r>
      <rPr>
        <b/>
        <u/>
        <sz val="11"/>
        <color rgb="FF006100"/>
        <rFont val="Calibri"/>
        <family val="2"/>
        <scheme val="minor"/>
      </rPr>
      <t>20,37,992</t>
    </r>
  </si>
  <si>
    <r>
      <t xml:space="preserve">From Beta Ltd company </t>
    </r>
    <r>
      <rPr>
        <b/>
        <u/>
        <sz val="11"/>
        <color rgb="FF006100"/>
        <rFont val="Calibri"/>
        <family val="2"/>
        <scheme val="minor"/>
      </rPr>
      <t>Marketing</t>
    </r>
    <r>
      <rPr>
        <sz val="11"/>
        <color rgb="FF006100"/>
        <rFont val="Calibri"/>
        <family val="2"/>
        <scheme val="minor"/>
      </rPr>
      <t xml:space="preserve"> Department was Highest Value.Total Amount : </t>
    </r>
    <r>
      <rPr>
        <b/>
        <u/>
        <sz val="11"/>
        <color rgb="FF006100"/>
        <rFont val="Calibri"/>
        <family val="2"/>
        <scheme val="minor"/>
      </rPr>
      <t>17,61,913</t>
    </r>
  </si>
  <si>
    <t>The Online team under the Sales department contributes the highest total amount, indicating that it is the strongest-performing operational unit and may deserve additional investment or further analysis to understand the drivers of its performance.</t>
  </si>
  <si>
    <t>Identify the largest category by Amount and calculate its percentage contribution to the total Amount using a supporting formula.</t>
  </si>
  <si>
    <t>Electronics is the highest-contributing category, generating ₹39,77,080 and total sales 1,37,78,044 , which accounts for approximately 28.87% of total sales. This indicates that Electronics is the primary revenue driver and should be prioritized for inventory planning, promotions, and sales forecasting.</t>
  </si>
  <si>
    <t>I ranked the categories using the Pivot Table by sorting the total sales from largest to smallest. I then validated the ranking against the Treemap. The rectangle sizes matched the sorted values, confirming that the Treemap accurately represents the proportional contribution of each category.
Your ranking is:
🥇 Electronics – ₹39,77,080
🥈 Furniture – ₹27,75,291
🥉 Clothing – ₹22,18,903
Appliances – ₹19,00,513
Books – ₹15,32,457
Others – ₹13,73,800</t>
  </si>
  <si>
    <r>
      <rPr>
        <b/>
        <sz val="11"/>
        <color rgb="FF9C5700"/>
        <rFont val="Calibri"/>
        <family val="2"/>
        <scheme val="minor"/>
      </rPr>
      <t>Why is Electronics the largest rectangle?</t>
    </r>
    <r>
      <rPr>
        <sz val="11"/>
        <color rgb="FF9C5700"/>
        <rFont val="Calibri"/>
        <family val="2"/>
        <scheme val="minor"/>
      </rPr>
      <t xml:space="preserve">
</t>
    </r>
    <r>
      <rPr>
        <b/>
        <sz val="11"/>
        <color theme="6" tint="-0.249977111117893"/>
        <rFont val="Calibri"/>
        <family val="2"/>
        <scheme val="minor"/>
      </rPr>
      <t>In a Treemap, the area of each rectangle is proportional to its value. Since Electronics has the highest total sales amount (₹39,77,080), it occupies the largest area.</t>
    </r>
  </si>
  <si>
    <t xml:space="preserve">total Sales </t>
  </si>
  <si>
    <t>Companies</t>
  </si>
  <si>
    <t>Departments</t>
  </si>
  <si>
    <t xml:space="preserve">Categories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</si>
</sst>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72" formatCode="&quot;₹&quot;\ #,##0"/>
  </numFmts>
  <fonts count="16" x14ac:knownFonts="1">
    <font>
      <sz val="11"/>
      <color theme="1"/>
      <name val="Calibri"/>
      <family val="2"/>
      <scheme val="minor"/>
    </font>
    <font>
      <b/>
      <sz val="11"/>
      <color rgb="FFFFFFFF"/>
      <name val="Calibri"/>
    </font>
    <font>
      <b/>
      <sz val="16"/>
      <color rgb="FFFFFFFF"/>
      <name val="Calibri"/>
    </font>
    <font>
      <b/>
      <sz val="11"/>
      <name val="Calibri"/>
    </font>
    <font>
      <sz val="11"/>
      <color theme="1"/>
      <name val="Calibri"/>
      <family val="2"/>
      <scheme val="minor"/>
    </font>
    <font>
      <sz val="11"/>
      <color rgb="FF006100"/>
      <name val="Calibri"/>
      <family val="2"/>
      <scheme val="minor"/>
    </font>
    <font>
      <sz val="11"/>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b/>
      <sz val="11"/>
      <color rgb="FF9C0006"/>
      <name val="Calibri"/>
      <family val="2"/>
      <scheme val="minor"/>
    </font>
    <font>
      <b/>
      <sz val="11"/>
      <color rgb="FF006100"/>
      <name val="Calibri"/>
      <family val="2"/>
      <scheme val="minor"/>
    </font>
    <font>
      <b/>
      <u/>
      <sz val="11"/>
      <color rgb="FF006100"/>
      <name val="Calibri"/>
      <family val="2"/>
      <scheme val="minor"/>
    </font>
    <font>
      <sz val="11"/>
      <color rgb="FF9C5700"/>
      <name val="Calibri"/>
      <family val="2"/>
      <scheme val="minor"/>
    </font>
    <font>
      <b/>
      <sz val="11"/>
      <color theme="6" tint="-0.249977111117893"/>
      <name val="Calibri"/>
      <family val="2"/>
      <scheme val="minor"/>
    </font>
    <font>
      <b/>
      <sz val="11"/>
      <color rgb="FF9C5700"/>
      <name val="Calibri"/>
      <family val="2"/>
      <scheme val="minor"/>
    </font>
  </fonts>
  <fills count="10">
    <fill>
      <patternFill patternType="none"/>
    </fill>
    <fill>
      <patternFill patternType="gray125"/>
    </fill>
    <fill>
      <patternFill patternType="solid">
        <fgColor rgb="FF1F4E78"/>
      </patternFill>
    </fill>
    <fill>
      <patternFill patternType="solid">
        <fgColor rgb="FF17365D"/>
      </patternFill>
    </fill>
    <fill>
      <patternFill patternType="solid">
        <fgColor rgb="FF4472C4"/>
      </patternFill>
    </fill>
    <fill>
      <patternFill patternType="solid">
        <fgColor rgb="FFC6EFCE"/>
      </patternFill>
    </fill>
    <fill>
      <patternFill patternType="solid">
        <fgColor rgb="FFFFC7CE"/>
      </patternFill>
    </fill>
    <fill>
      <patternFill patternType="solid">
        <fgColor rgb="FFFFFFCC"/>
      </patternFill>
    </fill>
    <fill>
      <patternFill patternType="solid">
        <fgColor theme="0"/>
        <bgColor indexed="64"/>
      </patternFill>
    </fill>
    <fill>
      <patternFill patternType="solid">
        <fgColor rgb="FFFFEB9C"/>
      </patternFill>
    </fill>
  </fills>
  <borders count="23">
    <border>
      <left/>
      <right/>
      <top/>
      <bottom/>
      <diagonal/>
    </border>
    <border>
      <left style="thin">
        <color rgb="FFD9E1F2"/>
      </left>
      <right style="thin">
        <color rgb="FFD9E1F2"/>
      </right>
      <top style="thin">
        <color rgb="FFD9E1F2"/>
      </top>
      <bottom style="thin">
        <color rgb="FFD9E1F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indexed="64"/>
      </top>
      <bottom style="thin">
        <color indexed="64"/>
      </bottom>
      <diagonal/>
    </border>
    <border>
      <left style="thin">
        <color rgb="FFD9E1F2"/>
      </left>
      <right/>
      <top style="thin">
        <color rgb="FFD9E1F2"/>
      </top>
      <bottom style="thin">
        <color rgb="FFD9E1F2"/>
      </bottom>
      <diagonal/>
    </border>
  </borders>
  <cellStyleXfs count="5">
    <xf numFmtId="0" fontId="0" fillId="0" borderId="0"/>
    <xf numFmtId="0" fontId="5" fillId="5" borderId="0" applyNumberFormat="0" applyBorder="0" applyAlignment="0" applyProtection="0"/>
    <xf numFmtId="0" fontId="6" fillId="6" borderId="0" applyNumberFormat="0" applyBorder="0" applyAlignment="0" applyProtection="0"/>
    <xf numFmtId="0" fontId="4" fillId="7" borderId="11" applyNumberFormat="0" applyFont="0" applyAlignment="0" applyProtection="0"/>
    <xf numFmtId="0" fontId="13" fillId="9" borderId="0" applyNumberFormat="0" applyBorder="0" applyAlignment="0" applyProtection="0"/>
  </cellStyleXfs>
  <cellXfs count="51">
    <xf numFmtId="0" fontId="0" fillId="0" borderId="0" xfId="0"/>
    <xf numFmtId="0" fontId="1" fillId="2" borderId="1" xfId="0" applyFont="1" applyFill="1" applyBorder="1" applyAlignment="1">
      <alignment vertical="top"/>
    </xf>
    <xf numFmtId="0" fontId="0" fillId="0" borderId="1" xfId="0" applyBorder="1" applyAlignment="1">
      <alignment vertical="top"/>
    </xf>
    <xf numFmtId="0" fontId="3" fillId="0" borderId="1" xfId="0" applyFont="1" applyBorder="1"/>
    <xf numFmtId="0" fontId="0" fillId="0" borderId="1" xfId="0" applyBorder="1" applyAlignment="1">
      <alignment vertical="top" wrapText="1"/>
    </xf>
    <xf numFmtId="0" fontId="1" fillId="4" borderId="1" xfId="0" applyFont="1" applyFill="1" applyBorder="1"/>
    <xf numFmtId="0" fontId="0" fillId="0" borderId="2" xfId="0" applyBorder="1"/>
    <xf numFmtId="164" fontId="0" fillId="0" borderId="2" xfId="0" applyNumberFormat="1" applyBorder="1"/>
    <xf numFmtId="0" fontId="0" fillId="0" borderId="3" xfId="0" applyBorder="1"/>
    <xf numFmtId="3" fontId="0" fillId="0" borderId="4" xfId="0" applyNumberFormat="1"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9" xfId="0" applyNumberFormat="1" applyBorder="1"/>
    <xf numFmtId="0" fontId="0" fillId="0" borderId="9" xfId="0" applyBorder="1"/>
    <xf numFmtId="3" fontId="0" fillId="0" borderId="10" xfId="0" applyNumberFormat="1" applyBorder="1"/>
    <xf numFmtId="0" fontId="0" fillId="0" borderId="0" xfId="0" applyBorder="1"/>
    <xf numFmtId="0" fontId="11" fillId="5" borderId="2" xfId="1" applyFont="1" applyBorder="1"/>
    <xf numFmtId="0" fontId="11" fillId="8" borderId="2" xfId="1" applyFont="1" applyFill="1" applyBorder="1"/>
    <xf numFmtId="0" fontId="9" fillId="5" borderId="2" xfId="1" applyFont="1" applyBorder="1" applyAlignment="1">
      <alignment horizontal="left" vertical="top" wrapText="1"/>
    </xf>
    <xf numFmtId="0" fontId="7" fillId="7" borderId="12" xfId="3" applyFont="1" applyBorder="1" applyAlignment="1">
      <alignment horizontal="left" vertical="top" wrapText="1"/>
    </xf>
    <xf numFmtId="0" fontId="7" fillId="7" borderId="13" xfId="3" applyFont="1" applyBorder="1" applyAlignment="1">
      <alignment horizontal="left" vertical="top" wrapText="1"/>
    </xf>
    <xf numFmtId="0" fontId="7" fillId="7" borderId="14" xfId="3" applyFont="1" applyBorder="1" applyAlignment="1">
      <alignment horizontal="left" vertical="top" wrapText="1"/>
    </xf>
    <xf numFmtId="0" fontId="7" fillId="7" borderId="15" xfId="3" applyFont="1" applyBorder="1" applyAlignment="1">
      <alignment horizontal="left" vertical="top" wrapText="1"/>
    </xf>
    <xf numFmtId="0" fontId="7" fillId="7" borderId="0" xfId="3" applyFont="1" applyBorder="1" applyAlignment="1">
      <alignment horizontal="left" vertical="top" wrapText="1"/>
    </xf>
    <xf numFmtId="0" fontId="7" fillId="7" borderId="16" xfId="3" applyFont="1" applyBorder="1" applyAlignment="1">
      <alignment horizontal="left" vertical="top" wrapText="1"/>
    </xf>
    <xf numFmtId="0" fontId="7" fillId="7" borderId="17" xfId="3" applyFont="1" applyBorder="1" applyAlignment="1">
      <alignment horizontal="left" vertical="top" wrapText="1"/>
    </xf>
    <xf numFmtId="0" fontId="7" fillId="7" borderId="18" xfId="3" applyFont="1" applyBorder="1" applyAlignment="1">
      <alignment horizontal="left" vertical="top" wrapText="1"/>
    </xf>
    <xf numFmtId="0" fontId="7" fillId="7" borderId="19" xfId="3" applyFont="1" applyBorder="1" applyAlignment="1">
      <alignment horizontal="left" vertical="top" wrapText="1"/>
    </xf>
    <xf numFmtId="0" fontId="8" fillId="6" borderId="2" xfId="2" applyFont="1" applyBorder="1" applyAlignment="1">
      <alignment horizontal="left"/>
    </xf>
    <xf numFmtId="0" fontId="7" fillId="7" borderId="2" xfId="3" applyFont="1" applyBorder="1" applyAlignment="1">
      <alignment horizontal="left" vertical="top" wrapText="1"/>
    </xf>
    <xf numFmtId="0" fontId="8" fillId="6" borderId="2" xfId="2" applyFont="1" applyBorder="1" applyAlignment="1">
      <alignment horizontal="left" vertical="top"/>
    </xf>
    <xf numFmtId="0" fontId="11" fillId="5" borderId="2" xfId="1" applyFont="1" applyBorder="1" applyAlignment="1">
      <alignment horizontal="center" vertical="center" wrapText="1"/>
    </xf>
    <xf numFmtId="0" fontId="11" fillId="5" borderId="2" xfId="1" applyFont="1" applyBorder="1" applyAlignment="1">
      <alignment horizontal="center" vertical="center"/>
    </xf>
    <xf numFmtId="0" fontId="10" fillId="6" borderId="2" xfId="2" applyFont="1" applyBorder="1" applyAlignment="1">
      <alignment horizontal="left" vertical="top" wrapText="1"/>
    </xf>
    <xf numFmtId="0" fontId="5" fillId="5" borderId="2" xfId="1" applyBorder="1" applyAlignment="1">
      <alignment horizontal="center" vertical="center" wrapText="1"/>
    </xf>
    <xf numFmtId="0" fontId="2" fillId="3" borderId="1" xfId="0" applyFont="1" applyFill="1" applyBorder="1" applyAlignment="1">
      <alignment horizontal="center"/>
    </xf>
    <xf numFmtId="0" fontId="0" fillId="0" borderId="1" xfId="0" applyBorder="1"/>
    <xf numFmtId="0" fontId="5" fillId="5" borderId="2" xfId="1" applyBorder="1"/>
    <xf numFmtId="0" fontId="5" fillId="5" borderId="2" xfId="1" applyFont="1" applyBorder="1"/>
    <xf numFmtId="0" fontId="5" fillId="5" borderId="9" xfId="1" applyFont="1" applyBorder="1"/>
    <xf numFmtId="0" fontId="10" fillId="6" borderId="4" xfId="2" applyFont="1" applyBorder="1" applyAlignment="1">
      <alignment horizontal="left" vertical="top"/>
    </xf>
    <xf numFmtId="0" fontId="10" fillId="6" borderId="21" xfId="2" applyFont="1" applyBorder="1" applyAlignment="1">
      <alignment horizontal="left" vertical="top"/>
    </xf>
    <xf numFmtId="0" fontId="10" fillId="6" borderId="3" xfId="2" applyFont="1" applyBorder="1" applyAlignment="1">
      <alignment horizontal="left" vertical="top"/>
    </xf>
    <xf numFmtId="0" fontId="11" fillId="5" borderId="6" xfId="1" applyFont="1" applyBorder="1"/>
    <xf numFmtId="0" fontId="11" fillId="5" borderId="2" xfId="1" applyFont="1" applyBorder="1" applyAlignment="1">
      <alignment horizontal="left" vertical="top" wrapText="1"/>
    </xf>
    <xf numFmtId="0" fontId="13" fillId="9" borderId="20" xfId="4" applyBorder="1" applyAlignment="1">
      <alignment horizontal="left" vertical="top" wrapText="1"/>
    </xf>
    <xf numFmtId="0" fontId="13" fillId="9" borderId="20" xfId="4" applyBorder="1" applyAlignment="1">
      <alignment horizontal="left" vertical="top"/>
    </xf>
    <xf numFmtId="0" fontId="0" fillId="0" borderId="22" xfId="0" applyBorder="1" applyAlignment="1">
      <alignment vertical="top"/>
    </xf>
    <xf numFmtId="172" fontId="0" fillId="0" borderId="0" xfId="0" applyNumberFormat="1"/>
  </cellXfs>
  <cellStyles count="5">
    <cellStyle name="Bad" xfId="2" builtinId="27"/>
    <cellStyle name="Good" xfId="1" builtinId="26"/>
    <cellStyle name="Neutral" xfId="4" builtinId="28"/>
    <cellStyle name="Normal" xfId="0" builtinId="0"/>
    <cellStyle name="Note" xfId="3" builtinId="10"/>
  </cellStyles>
  <dxfs count="27">
    <dxf>
      <border outline="0">
        <left style="thin">
          <color rgb="FFD9E1F2"/>
        </left>
      </border>
    </dxf>
    <dxf>
      <numFmt numFmtId="3"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border diagonalUp="0" diagonalDown="0" outline="0">
        <left style="thin">
          <color indexed="64"/>
        </left>
        <right style="thin">
          <color indexed="64"/>
        </right>
        <top/>
        <bottom/>
      </border>
    </dxf>
    <dxf>
      <numFmt numFmtId="3"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dd\-m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Financial Movement Analysis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a:rPr>
            <a:t>Financial Movement Analysis</a:t>
          </a:r>
        </a:p>
      </cx:txPr>
    </cx:title>
    <cx:plotArea>
      <cx:plotAreaRegion>
        <cx:series layoutId="waterfall" uniqueId="{F06C314C-C5AE-42FA-8606-4A839E2755A0}">
          <cx:tx>
            <cx:txData>
              <cx:f>_xlchart.v1.1</cx:f>
              <cx:v>Amount</cx:v>
            </cx:txData>
          </cx:tx>
          <cx:spPr>
            <a:solidFill>
              <a:srgbClr val="00B050"/>
            </a:solidFill>
          </cx:spPr>
          <cx:dataPt idx="0">
            <cx:spPr>
              <a:solidFill>
                <a:srgbClr val="002060"/>
              </a:solidFill>
            </cx:spPr>
          </cx:dataPt>
          <cx:dataPt idx="3">
            <cx:spPr>
              <a:solidFill>
                <a:srgbClr val="C0504D">
                  <a:lumMod val="50000"/>
                </a:srgbClr>
              </a:solidFill>
              <a:ln w="19050">
                <a:solidFill>
                  <a:sysClr val="windowText" lastClr="000000"/>
                </a:solidFill>
              </a:ln>
            </cx:spPr>
          </cx:dataPt>
          <cx:dataPt idx="4">
            <cx:spPr>
              <a:solidFill>
                <a:srgbClr val="C0504D">
                  <a:lumMod val="75000"/>
                </a:srgbClr>
              </a:solidFill>
            </cx:spPr>
          </cx:dataPt>
          <cx:dataPt idx="5">
            <cx:spPr>
              <a:solidFill>
                <a:srgbClr val="C0504D">
                  <a:lumMod val="75000"/>
                </a:srgbClr>
              </a:solidFill>
            </cx:spPr>
          </cx:dataPt>
          <cx:dataPt idx="6">
            <cx:spPr>
              <a:solidFill>
                <a:srgbClr val="002060"/>
              </a:solidFill>
            </cx:spPr>
          </cx:dataPt>
          <cx:dataLabels pos="outEnd">
            <cx:numFmt formatCode="₹ #,##0" sourceLinked="0"/>
            <cx:visibility seriesName="0" categoryName="0" value="1"/>
            <cx:separator>, </cx:separator>
            <cx:dataLabel idx="6">
              <cx:numFmt formatCode="₹ #,##0" sourceLinked="0"/>
              <cx:visibility seriesName="0" categoryName="0" value="1"/>
              <cx:separator>, </cx:separator>
            </cx:dataLabel>
          </cx:dataLabels>
          <cx:dataId val="0"/>
          <cx:layoutPr>
            <cx:subtotals>
              <cx:idx val="0"/>
              <cx:idx val="6"/>
            </cx:subtotals>
          </cx:layoutPr>
        </cx:series>
      </cx:plotAreaRegion>
      <cx:axis id="0">
        <cx:catScaling gapWidth="0.5"/>
        <cx:tickLabels/>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Organizational Hierarchy by Amount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a:rPr>
            <a:t>Organizational Hierarchy by Amount</a:t>
          </a:r>
        </a:p>
      </cx:txPr>
    </cx:title>
    <cx:plotArea>
      <cx:plotAreaRegion>
        <cx:series layoutId="sunburst" uniqueId="{48FB9A5D-8F40-4A70-B678-DAED53B01338}">
          <cx:tx>
            <cx:txData>
              <cx:f>_xlchart.v1.7</cx:f>
              <cx:v>Sum of Amount</cx:v>
            </cx:txData>
          </cx:tx>
          <cx:dataLabels pos="ctr">
            <cx:numFmt formatCode="₹ #,##0.00" sourceLinked="0"/>
            <cx:visibility seriesName="0" categoryName="1" value="1"/>
            <cx:separator>, </cx:separator>
          </cx:dataLabels>
          <cx:dataId val="0"/>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title pos="t" align="ctr" overlay="0">
      <cx:tx>
        <cx:txData>
          <cx:v>Sales Contribution by Category</cx:v>
        </cx:txData>
      </cx:tx>
      <cx:txPr>
        <a:bodyPr spcFirstLastPara="1" vertOverflow="ellipsis" horzOverflow="overflow" wrap="square" lIns="0" tIns="0" rIns="0" bIns="0" anchor="ctr" anchorCtr="1"/>
        <a:lstStyle/>
        <a:p>
          <a:pPr algn="ctr" rtl="0">
            <a:defRPr/>
          </a:pPr>
          <a:r>
            <a:rPr lang="en-US" sz="1600" b="1" i="0" u="none" strike="noStrike" baseline="0">
              <a:solidFill>
                <a:srgbClr val="1F497D"/>
              </a:solidFill>
              <a:latin typeface="Calibri"/>
            </a:rPr>
            <a:t>Sales Contribution by Category</a:t>
          </a:r>
        </a:p>
      </cx:txPr>
    </cx:title>
    <cx:plotArea>
      <cx:plotAreaRegion>
        <cx:series layoutId="treemap" uniqueId="{8AD9A095-8A2B-4ABB-90D1-5587EDDD7B14}">
          <cx:tx>
            <cx:txData>
              <cx:f>_xlchart.v1.16</cx:f>
              <cx:v>Sum of Amount</cx:v>
            </cx:txData>
          </cx:tx>
          <cx:dataPt idx="0">
            <cx:spPr>
              <a:solidFill>
                <a:srgbClr val="7030A0"/>
              </a:solidFill>
            </cx:spPr>
          </cx:dataPt>
          <cx:dataPt idx="1">
            <cx:spPr>
              <a:solidFill>
                <a:srgbClr val="C0504D">
                  <a:lumMod val="75000"/>
                </a:srgbClr>
              </a:solidFill>
            </cx:spPr>
          </cx:dataPt>
          <cx:dataPt idx="2">
            <cx:spPr>
              <a:solidFill>
                <a:srgbClr val="F79646">
                  <a:lumMod val="75000"/>
                </a:srgbClr>
              </a:solidFill>
            </cx:spPr>
          </cx:dataPt>
          <cx:dataPt idx="3">
            <cx:spPr>
              <a:solidFill>
                <a:srgbClr val="1F497D">
                  <a:lumMod val="75000"/>
                </a:srgbClr>
              </a:solidFill>
            </cx:spPr>
          </cx:dataPt>
          <cx:dataPt idx="4">
            <cx:spPr>
              <a:solidFill>
                <a:srgbClr val="92D050"/>
              </a:solidFill>
            </cx:spPr>
          </cx:dataPt>
          <cx:dataPt idx="5">
            <cx:spPr>
              <a:solidFill>
                <a:srgbClr val="4F81BD">
                  <a:lumMod val="75000"/>
                </a:srgbClr>
              </a:solidFill>
            </cx:spPr>
          </cx:dataPt>
          <cx:dataLabels pos="inEnd">
            <cx:numFmt formatCode="₹ #,##0"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a:endParaRPr>
              </a:p>
            </cx:txPr>
            <cx:visibility seriesName="0" categoryName="1" value="1"/>
            <cx:separator>
</cx:separator>
          </cx:dataLabels>
          <cx:dataId val="0"/>
          <cx:layoutPr>
            <cx:parentLabelLayout val="banner"/>
          </cx:layoutPr>
        </cx:series>
      </cx:plotAreaRegion>
    </cx:plotArea>
  </cx:chart>
  <cx:spPr>
    <a:ln>
      <a:solidFill>
        <a:sysClr val="windowText" lastClr="000000"/>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_xlchart.v1.27</cx:f>
      </cx:strDim>
      <cx:numDim type="val">
        <cx:f>_xlchart.v1.29</cx:f>
      </cx:numDim>
    </cx:data>
  </cx:chartData>
  <cx:chart>
    <cx:title pos="t" align="ctr" overlay="0">
      <cx:tx>
        <cx:rich>
          <a:bodyPr spcFirstLastPara="1" vertOverflow="ellipsis" horzOverflow="overflow" wrap="square" lIns="0" tIns="0" rIns="0" bIns="0" anchor="ctr" anchorCtr="1"/>
          <a:lstStyle/>
          <a:p>
            <a:pPr algn="ctr" rtl="0">
              <a:defRPr/>
            </a:pPr>
            <a:r>
              <a:rPr lang="en-US" sz="2000" b="0" i="0" u="none" strike="noStrike" baseline="0">
                <a:solidFill>
                  <a:sysClr val="windowText" lastClr="000000">
                    <a:lumMod val="65000"/>
                    <a:lumOff val="35000"/>
                  </a:sysClr>
                </a:solidFill>
                <a:latin typeface="Cambria"/>
              </a:rPr>
              <a:t>Financial Movement</a:t>
            </a:r>
          </a:p>
          <a:p>
            <a:pPr algn="ctr" rtl="0">
              <a:defRPr/>
            </a:pPr>
            <a:r>
              <a:rPr lang="en-US" sz="2000" b="0" i="0" u="none" strike="noStrike" baseline="0">
                <a:solidFill>
                  <a:sysClr val="windowText" lastClr="000000">
                    <a:lumMod val="65000"/>
                    <a:lumOff val="35000"/>
                  </a:sysClr>
                </a:solidFill>
                <a:latin typeface="Cambria"/>
              </a:rPr>
              <a:t>(Jan–Jun 2026)</a:t>
            </a:r>
          </a:p>
        </cx:rich>
      </cx:tx>
    </cx:title>
    <cx:plotArea>
      <cx:plotAreaRegion>
        <cx:series layoutId="waterfall" uniqueId="{0E58AE87-456B-463C-81F5-ADC3E1300463}">
          <cx:tx>
            <cx:txData>
              <cx:f>_xlchart.v1.28</cx:f>
              <cx:v>Amount</cx:v>
            </cx:txData>
          </cx:tx>
          <cx:spPr>
            <a:solidFill>
              <a:srgbClr val="00B050"/>
            </a:solidFill>
          </cx:spPr>
          <cx:dataPt idx="0">
            <cx:spPr>
              <a:solidFill>
                <a:srgbClr val="1F497D">
                  <a:lumMod val="75000"/>
                </a:srgbClr>
              </a:solidFill>
            </cx:spPr>
          </cx:dataPt>
          <cx:dataPt idx="3">
            <cx:spPr>
              <a:solidFill>
                <a:srgbClr val="C0504D">
                  <a:lumMod val="75000"/>
                </a:srgbClr>
              </a:solidFill>
            </cx:spPr>
          </cx:dataPt>
          <cx:dataPt idx="4">
            <cx:spPr>
              <a:solidFill>
                <a:srgbClr val="C0504D">
                  <a:lumMod val="75000"/>
                </a:srgbClr>
              </a:solidFill>
            </cx:spPr>
          </cx:dataPt>
          <cx:dataPt idx="5">
            <cx:spPr>
              <a:solidFill>
                <a:srgbClr val="C0504D">
                  <a:lumMod val="75000"/>
                </a:srgbClr>
              </a:solidFill>
            </cx:spPr>
          </cx:dataPt>
          <cx:dataPt idx="6">
            <cx:spPr>
              <a:solidFill>
                <a:srgbClr val="1F497D">
                  <a:lumMod val="75000"/>
                </a:srgbClr>
              </a:solidFill>
            </cx:spPr>
          </cx:dataPt>
          <cx:dataLabels>
            <cx:visibility seriesName="0" categoryName="0" value="1"/>
          </cx:dataLabels>
          <cx:dataId val="0"/>
          <cx:layoutPr>
            <cx:visibility connectorLines="0"/>
            <cx:subtotals>
              <cx:idx val="0"/>
              <cx:idx val="6"/>
            </cx:subtotals>
          </cx:layoutPr>
        </cx:series>
      </cx:plotAreaRegion>
      <cx:axis id="0">
        <cx:catScaling gapWidth="0.5"/>
        <cx:tickLabels/>
        <cx:txPr>
          <a:bodyPr spcFirstLastPara="1" vertOverflow="ellipsis" horzOverflow="overflow" wrap="square" lIns="0" tIns="0" rIns="0" bIns="0" anchor="ctr" anchorCtr="1"/>
          <a:lstStyle/>
          <a:p>
            <a:pPr algn="ctr" rtl="0">
              <a:defRPr b="0"/>
            </a:pPr>
            <a:endParaRPr lang="en-US" sz="900" b="0" i="0" u="none" strike="noStrike" baseline="0">
              <a:solidFill>
                <a:sysClr val="windowText" lastClr="000000">
                  <a:lumMod val="65000"/>
                  <a:lumOff val="35000"/>
                </a:sysClr>
              </a:solidFill>
              <a:latin typeface="Calibri"/>
            </a:endParaRPr>
          </a:p>
        </cx:txPr>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_xlchart.v1.21</cx:f>
      </cx:strDim>
      <cx:numDim type="size">
        <cx:f>_xlchart.v1.23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Calibri"/>
            </a:rPr>
            <a:t>Sales by Category</a:t>
          </a:r>
        </a:p>
      </cx:txPr>
    </cx:title>
    <cx:plotArea>
      <cx:plotAreaRegion>
        <cx:series layoutId="treemap" uniqueId="{AC2B8696-BC96-44F9-98D1-52D6570187DC}">
          <cx:tx>
            <cx:txData>
              <cx:f>_xlchart.v1.22</cx:f>
              <cx:v>Sum of Amount</cx:v>
            </cx:txData>
          </cx:tx>
          <cx:dataLabels>
            <cx:numFmt formatCode="₹ #,##0" sourceLinked="0"/>
            <cx:txPr>
              <a:bodyPr spcFirstLastPara="1" vertOverflow="ellipsis" horzOverflow="overflow" wrap="square" lIns="0" tIns="0" rIns="0" bIns="0" anchor="ctr" anchorCtr="1"/>
              <a:lstStyle/>
              <a:p>
                <a:pPr algn="ctr" rtl="0">
                  <a:defRPr sz="1600" b="1"/>
                </a:pPr>
                <a:endParaRPr lang="en-US" sz="1600" b="1" i="0" u="none" strike="noStrike" baseline="0">
                  <a:solidFill>
                    <a:sysClr val="window" lastClr="FFFFFF"/>
                  </a:solidFill>
                  <a:latin typeface="Calibri"/>
                </a:endParaRPr>
              </a:p>
            </cx:txPr>
            <cx:visibility seriesName="0" categoryName="1" value="1"/>
            <cx:separator>
</cx:separator>
          </cx:dataLabels>
          <cx:dataId val="0"/>
          <cx:layoutPr>
            <cx:parentLabelLayout val="overlapping"/>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size">
        <cx:f>_xlchart.v1.20</cx:f>
      </cx:numDim>
    </cx:data>
  </cx:chartData>
  <cx:chart>
    <cx:title pos="t" align="ctr" overlay="0">
      <cx:tx>
        <cx:txData>
          <cx:v>Organization Structure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a:rPr>
            <a:t>Organization Structure</a:t>
          </a:r>
        </a:p>
      </cx:txPr>
    </cx:title>
    <cx:plotArea>
      <cx:plotAreaRegion>
        <cx:series layoutId="sunburst" uniqueId="{1474C856-2BA2-41EE-BBCD-FB0FBEDC1A37}">
          <cx:tx>
            <cx:txData>
              <cx:f>_xlchart.v1.19</cx:f>
              <cx:v>Sum of Amount</cx:v>
            </cx:txData>
          </cx:tx>
          <cx:dataLabels pos="ctr">
            <cx:numFmt formatCode="₹ #,##0" sourceLinked="0"/>
            <cx:visibility seriesName="0" categoryName="1" value="1"/>
            <cx:separator>
</cx:separator>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8">
  <cs:axisTitle>
    <cs:lnRef idx="0"/>
    <cs:fillRef idx="0"/>
    <cs:effectRef idx="0"/>
    <cs:fontRef idx="minor">
      <a:schemeClr val="dk1">
        <a:lumMod val="65000"/>
        <a:lumOff val="35000"/>
      </a:schemeClr>
    </cs:fontRef>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35410</xdr:colOff>
      <xdr:row>296</xdr:row>
      <xdr:rowOff>34625</xdr:rowOff>
    </xdr:from>
    <xdr:to>
      <xdr:col>9</xdr:col>
      <xdr:colOff>18602</xdr:colOff>
      <xdr:row>324</xdr:row>
      <xdr:rowOff>78440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1F4035D-6CDB-4F19-8655-025A96F605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410" y="1482425"/>
              <a:ext cx="7778452" cy="51111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20953</xdr:colOff>
      <xdr:row>0</xdr:row>
      <xdr:rowOff>0</xdr:rowOff>
    </xdr:from>
    <xdr:to>
      <xdr:col>14</xdr:col>
      <xdr:colOff>15240</xdr:colOff>
      <xdr:row>33</xdr:row>
      <xdr:rowOff>38099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C9011C1-C75C-4A40-9CEC-E6175CD3E9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07128" y="0"/>
              <a:ext cx="6090287" cy="60102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15306</xdr:colOff>
      <xdr:row>7</xdr:row>
      <xdr:rowOff>13138</xdr:rowOff>
    </xdr:from>
    <xdr:to>
      <xdr:col>7</xdr:col>
      <xdr:colOff>0</xdr:colOff>
      <xdr:row>23</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90444E2-1161-46F0-9AB7-774E30DA74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306" y="1300655"/>
              <a:ext cx="4747194" cy="29297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16698</xdr:colOff>
      <xdr:row>0</xdr:row>
      <xdr:rowOff>17144</xdr:rowOff>
    </xdr:from>
    <xdr:to>
      <xdr:col>21</xdr:col>
      <xdr:colOff>173580</xdr:colOff>
      <xdr:row>90</xdr:row>
      <xdr:rowOff>11205</xdr:rowOff>
    </xdr:to>
    <xdr:sp macro="" textlink="">
      <xdr:nvSpPr>
        <xdr:cNvPr id="12" name="Rectangle 11">
          <a:extLst>
            <a:ext uri="{FF2B5EF4-FFF2-40B4-BE49-F238E27FC236}">
              <a16:creationId xmlns:a16="http://schemas.microsoft.com/office/drawing/2014/main" id="{0193FBCD-3497-4D6F-AF92-617945C687F5}"/>
            </a:ext>
          </a:extLst>
        </xdr:cNvPr>
        <xdr:cNvSpPr/>
      </xdr:nvSpPr>
      <xdr:spPr>
        <a:xfrm>
          <a:off x="16698" y="17144"/>
          <a:ext cx="13592735" cy="16130532"/>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ysClr val="windowText" lastClr="000000"/>
              </a:solidFill>
              <a:latin typeface="Bell MT" panose="02020503060305020303" pitchFamily="18" charset="0"/>
            </a:rPr>
            <a:t>Sales &amp; Financial Analysis Dashboard (January 2026 – June 2026)</a:t>
          </a:r>
        </a:p>
      </xdr:txBody>
    </xdr:sp>
    <xdr:clientData/>
  </xdr:twoCellAnchor>
  <xdr:twoCellAnchor>
    <xdr:from>
      <xdr:col>0</xdr:col>
      <xdr:colOff>132341</xdr:colOff>
      <xdr:row>3</xdr:row>
      <xdr:rowOff>16696</xdr:rowOff>
    </xdr:from>
    <xdr:to>
      <xdr:col>21</xdr:col>
      <xdr:colOff>33618</xdr:colOff>
      <xdr:row>3</xdr:row>
      <xdr:rowOff>16696</xdr:rowOff>
    </xdr:to>
    <xdr:cxnSp macro="">
      <xdr:nvCxnSpPr>
        <xdr:cNvPr id="14" name="Straight Connector 13">
          <a:extLst>
            <a:ext uri="{FF2B5EF4-FFF2-40B4-BE49-F238E27FC236}">
              <a16:creationId xmlns:a16="http://schemas.microsoft.com/office/drawing/2014/main" id="{4AD77117-860D-4AA3-8775-F363046D1958}"/>
            </a:ext>
          </a:extLst>
        </xdr:cNvPr>
        <xdr:cNvCxnSpPr/>
      </xdr:nvCxnSpPr>
      <xdr:spPr>
        <a:xfrm>
          <a:off x="132341" y="554578"/>
          <a:ext cx="1333713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211791</xdr:colOff>
      <xdr:row>11</xdr:row>
      <xdr:rowOff>117437</xdr:rowOff>
    </xdr:from>
    <xdr:to>
      <xdr:col>11</xdr:col>
      <xdr:colOff>56031</xdr:colOff>
      <xdr:row>45</xdr:row>
      <xdr:rowOff>93456</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3716759-4904-4A66-8A2D-9255197841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1791" y="2089672"/>
              <a:ext cx="7228916" cy="60720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210109</xdr:colOff>
      <xdr:row>45</xdr:row>
      <xdr:rowOff>175036</xdr:rowOff>
    </xdr:from>
    <xdr:to>
      <xdr:col>21</xdr:col>
      <xdr:colOff>22412</xdr:colOff>
      <xdr:row>71</xdr:row>
      <xdr:rowOff>154081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A1F8DD9-793F-4E07-A3BA-6138E84D67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0109" y="8243271"/>
              <a:ext cx="13248156" cy="46406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237228</xdr:colOff>
      <xdr:row>11</xdr:row>
      <xdr:rowOff>115757</xdr:rowOff>
    </xdr:from>
    <xdr:to>
      <xdr:col>20</xdr:col>
      <xdr:colOff>595818</xdr:colOff>
      <xdr:row>45</xdr:row>
      <xdr:rowOff>95362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E3D760D-CBDD-42FC-9B1C-2F3144D91C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621904" y="2087992"/>
              <a:ext cx="5804649" cy="60756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241039</xdr:colOff>
      <xdr:row>3</xdr:row>
      <xdr:rowOff>169993</xdr:rowOff>
    </xdr:from>
    <xdr:to>
      <xdr:col>4</xdr:col>
      <xdr:colOff>302558</xdr:colOff>
      <xdr:row>10</xdr:row>
      <xdr:rowOff>168088</xdr:rowOff>
    </xdr:to>
    <xdr:sp macro="" textlink="">
      <xdr:nvSpPr>
        <xdr:cNvPr id="18" name="Rectangle: Rounded Corners 17">
          <a:extLst>
            <a:ext uri="{FF2B5EF4-FFF2-40B4-BE49-F238E27FC236}">
              <a16:creationId xmlns:a16="http://schemas.microsoft.com/office/drawing/2014/main" id="{95D126FB-464B-4322-A681-263633068B1A}"/>
            </a:ext>
          </a:extLst>
        </xdr:cNvPr>
        <xdr:cNvSpPr/>
      </xdr:nvSpPr>
      <xdr:spPr>
        <a:xfrm>
          <a:off x="241039" y="707875"/>
          <a:ext cx="2650078" cy="1253154"/>
        </a:xfrm>
        <a:prstGeom prst="round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Bell MT" panose="02020503060305020303" pitchFamily="18" charset="0"/>
            </a:rPr>
            <a:t>Total Sales</a:t>
          </a:r>
        </a:p>
      </xdr:txBody>
    </xdr:sp>
    <xdr:clientData/>
  </xdr:twoCellAnchor>
  <xdr:twoCellAnchor>
    <xdr:from>
      <xdr:col>5</xdr:col>
      <xdr:colOff>357141</xdr:colOff>
      <xdr:row>3</xdr:row>
      <xdr:rowOff>173803</xdr:rowOff>
    </xdr:from>
    <xdr:to>
      <xdr:col>9</xdr:col>
      <xdr:colOff>207654</xdr:colOff>
      <xdr:row>10</xdr:row>
      <xdr:rowOff>171898</xdr:rowOff>
    </xdr:to>
    <xdr:sp macro="" textlink="">
      <xdr:nvSpPr>
        <xdr:cNvPr id="22" name="Rectangle: Rounded Corners 21">
          <a:extLst>
            <a:ext uri="{FF2B5EF4-FFF2-40B4-BE49-F238E27FC236}">
              <a16:creationId xmlns:a16="http://schemas.microsoft.com/office/drawing/2014/main" id="{B1D64E49-FAB3-4BAA-BF19-A9CC4F5E5657}"/>
            </a:ext>
          </a:extLst>
        </xdr:cNvPr>
        <xdr:cNvSpPr/>
      </xdr:nvSpPr>
      <xdr:spPr>
        <a:xfrm>
          <a:off x="3730112" y="711685"/>
          <a:ext cx="2651983" cy="1253154"/>
        </a:xfrm>
        <a:prstGeom prst="round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Bell MT" panose="02020503060305020303" pitchFamily="18" charset="0"/>
            </a:rPr>
            <a:t>Companies</a:t>
          </a:r>
        </a:p>
      </xdr:txBody>
    </xdr:sp>
    <xdr:clientData/>
  </xdr:twoCellAnchor>
  <xdr:twoCellAnchor>
    <xdr:from>
      <xdr:col>10</xdr:col>
      <xdr:colOff>510884</xdr:colOff>
      <xdr:row>3</xdr:row>
      <xdr:rowOff>173803</xdr:rowOff>
    </xdr:from>
    <xdr:to>
      <xdr:col>15</xdr:col>
      <xdr:colOff>123944</xdr:colOff>
      <xdr:row>10</xdr:row>
      <xdr:rowOff>171898</xdr:rowOff>
    </xdr:to>
    <xdr:sp macro="" textlink="">
      <xdr:nvSpPr>
        <xdr:cNvPr id="23" name="Rectangle: Rounded Corners 22">
          <a:extLst>
            <a:ext uri="{FF2B5EF4-FFF2-40B4-BE49-F238E27FC236}">
              <a16:creationId xmlns:a16="http://schemas.microsoft.com/office/drawing/2014/main" id="{8A0CB59C-3DE9-4376-9FA2-B081CFAE9C66}"/>
            </a:ext>
          </a:extLst>
        </xdr:cNvPr>
        <xdr:cNvSpPr/>
      </xdr:nvSpPr>
      <xdr:spPr>
        <a:xfrm>
          <a:off x="7290443" y="711685"/>
          <a:ext cx="2638648" cy="1253154"/>
        </a:xfrm>
        <a:prstGeom prst="roundRect">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Bell MT" panose="02020503060305020303" pitchFamily="18" charset="0"/>
            </a:rPr>
            <a:t>Departments</a:t>
          </a:r>
        </a:p>
      </xdr:txBody>
    </xdr:sp>
    <xdr:clientData/>
  </xdr:twoCellAnchor>
  <xdr:twoCellAnchor>
    <xdr:from>
      <xdr:col>16</xdr:col>
      <xdr:colOff>339888</xdr:colOff>
      <xdr:row>3</xdr:row>
      <xdr:rowOff>173803</xdr:rowOff>
    </xdr:from>
    <xdr:to>
      <xdr:col>20</xdr:col>
      <xdr:colOff>590451</xdr:colOff>
      <xdr:row>10</xdr:row>
      <xdr:rowOff>171898</xdr:rowOff>
    </xdr:to>
    <xdr:sp macro="" textlink="">
      <xdr:nvSpPr>
        <xdr:cNvPr id="24" name="Rectangle: Rounded Corners 23">
          <a:extLst>
            <a:ext uri="{FF2B5EF4-FFF2-40B4-BE49-F238E27FC236}">
              <a16:creationId xmlns:a16="http://schemas.microsoft.com/office/drawing/2014/main" id="{1B975166-9712-409D-A5C5-746D6A90EEAB}"/>
            </a:ext>
          </a:extLst>
        </xdr:cNvPr>
        <xdr:cNvSpPr/>
      </xdr:nvSpPr>
      <xdr:spPr>
        <a:xfrm>
          <a:off x="10750153" y="711685"/>
          <a:ext cx="2671033" cy="1253154"/>
        </a:xfrm>
        <a:prstGeom prst="round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Bell MT" panose="02020503060305020303" pitchFamily="18" charset="0"/>
            </a:rPr>
            <a:t>Categories</a:t>
          </a:r>
        </a:p>
      </xdr:txBody>
    </xdr:sp>
    <xdr:clientData/>
  </xdr:twoCellAnchor>
  <xdr:oneCellAnchor>
    <xdr:from>
      <xdr:col>0</xdr:col>
      <xdr:colOff>483309</xdr:colOff>
      <xdr:row>7</xdr:row>
      <xdr:rowOff>0</xdr:rowOff>
    </xdr:from>
    <xdr:ext cx="2262542" cy="530658"/>
    <xdr:sp macro="" textlink="">
      <xdr:nvSpPr>
        <xdr:cNvPr id="25" name="TextBox 24">
          <a:extLst>
            <a:ext uri="{FF2B5EF4-FFF2-40B4-BE49-F238E27FC236}">
              <a16:creationId xmlns:a16="http://schemas.microsoft.com/office/drawing/2014/main" id="{7F7992A0-06FB-48DD-A366-890A7230A454}"/>
            </a:ext>
          </a:extLst>
        </xdr:cNvPr>
        <xdr:cNvSpPr txBox="1"/>
      </xdr:nvSpPr>
      <xdr:spPr>
        <a:xfrm>
          <a:off x="483309" y="1255059"/>
          <a:ext cx="22625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2800" b="1" i="0" u="none" strike="noStrike">
              <a:solidFill>
                <a:schemeClr val="bg1"/>
              </a:solidFill>
              <a:effectLst/>
              <a:latin typeface="+mn-lt"/>
              <a:ea typeface="+mn-ea"/>
              <a:cs typeface="+mn-cs"/>
            </a:rPr>
            <a:t>₹ 1,34,88,044</a:t>
          </a:r>
          <a:r>
            <a:rPr lang="en-IN" sz="2800" b="1">
              <a:solidFill>
                <a:schemeClr val="bg1"/>
              </a:solidFill>
              <a:latin typeface="+mn-lt"/>
            </a:rPr>
            <a:t> </a:t>
          </a:r>
        </a:p>
      </xdr:txBody>
    </xdr:sp>
    <xdr:clientData/>
  </xdr:oneCellAnchor>
  <xdr:oneCellAnchor>
    <xdr:from>
      <xdr:col>6</xdr:col>
      <xdr:colOff>886722</xdr:colOff>
      <xdr:row>6</xdr:row>
      <xdr:rowOff>175708</xdr:rowOff>
    </xdr:from>
    <xdr:ext cx="366639" cy="530658"/>
    <xdr:sp macro="" textlink="">
      <xdr:nvSpPr>
        <xdr:cNvPr id="26" name="TextBox 25">
          <a:extLst>
            <a:ext uri="{FF2B5EF4-FFF2-40B4-BE49-F238E27FC236}">
              <a16:creationId xmlns:a16="http://schemas.microsoft.com/office/drawing/2014/main" id="{9EA4445B-53E6-4E3C-AA77-1C426D699093}"/>
            </a:ext>
          </a:extLst>
        </xdr:cNvPr>
        <xdr:cNvSpPr txBox="1"/>
      </xdr:nvSpPr>
      <xdr:spPr>
        <a:xfrm>
          <a:off x="4864810" y="1251473"/>
          <a:ext cx="36663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a:solidFill>
                <a:schemeClr val="bg1"/>
              </a:solidFill>
              <a:effectLst/>
              <a:latin typeface="+mn-lt"/>
              <a:ea typeface="+mn-ea"/>
              <a:cs typeface="+mn-cs"/>
            </a:rPr>
            <a:t>2</a:t>
          </a:r>
          <a:endParaRPr lang="en-IN" sz="2800">
            <a:solidFill>
              <a:schemeClr val="bg1"/>
            </a:solidFill>
            <a:effectLst/>
          </a:endParaRPr>
        </a:p>
      </xdr:txBody>
    </xdr:sp>
    <xdr:clientData/>
  </xdr:oneCellAnchor>
  <xdr:oneCellAnchor>
    <xdr:from>
      <xdr:col>12</xdr:col>
      <xdr:colOff>429186</xdr:colOff>
      <xdr:row>6</xdr:row>
      <xdr:rowOff>127075</xdr:rowOff>
    </xdr:from>
    <xdr:ext cx="366639" cy="530658"/>
    <xdr:sp macro="" textlink="">
      <xdr:nvSpPr>
        <xdr:cNvPr id="27" name="TextBox 26">
          <a:extLst>
            <a:ext uri="{FF2B5EF4-FFF2-40B4-BE49-F238E27FC236}">
              <a16:creationId xmlns:a16="http://schemas.microsoft.com/office/drawing/2014/main" id="{8933F955-9B07-40E5-96C4-6FB072073FAC}"/>
            </a:ext>
          </a:extLst>
        </xdr:cNvPr>
        <xdr:cNvSpPr txBox="1"/>
      </xdr:nvSpPr>
      <xdr:spPr>
        <a:xfrm>
          <a:off x="8418980" y="1202840"/>
          <a:ext cx="36663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a:solidFill>
                <a:schemeClr val="bg1"/>
              </a:solidFill>
              <a:effectLst/>
              <a:latin typeface="+mn-lt"/>
              <a:ea typeface="+mn-ea"/>
              <a:cs typeface="+mn-cs"/>
            </a:rPr>
            <a:t>4</a:t>
          </a:r>
          <a:endParaRPr lang="en-IN" sz="2800">
            <a:solidFill>
              <a:schemeClr val="bg1"/>
            </a:solidFill>
            <a:effectLst/>
          </a:endParaRPr>
        </a:p>
      </xdr:txBody>
    </xdr:sp>
    <xdr:clientData/>
  </xdr:oneCellAnchor>
  <xdr:oneCellAnchor>
    <xdr:from>
      <xdr:col>18</xdr:col>
      <xdr:colOff>319032</xdr:colOff>
      <xdr:row>6</xdr:row>
      <xdr:rowOff>142091</xdr:rowOff>
    </xdr:from>
    <xdr:ext cx="366639" cy="530658"/>
    <xdr:sp macro="" textlink="">
      <xdr:nvSpPr>
        <xdr:cNvPr id="28" name="TextBox 27">
          <a:extLst>
            <a:ext uri="{FF2B5EF4-FFF2-40B4-BE49-F238E27FC236}">
              <a16:creationId xmlns:a16="http://schemas.microsoft.com/office/drawing/2014/main" id="{C8918C50-E4F9-4EB8-ABB9-2C2E9C06FDB2}"/>
            </a:ext>
          </a:extLst>
        </xdr:cNvPr>
        <xdr:cNvSpPr txBox="1"/>
      </xdr:nvSpPr>
      <xdr:spPr>
        <a:xfrm>
          <a:off x="11939532" y="1217856"/>
          <a:ext cx="36663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a:solidFill>
                <a:schemeClr val="bg1"/>
              </a:solidFill>
              <a:effectLst/>
              <a:latin typeface="+mn-lt"/>
              <a:ea typeface="+mn-ea"/>
              <a:cs typeface="+mn-cs"/>
            </a:rPr>
            <a:t>6</a:t>
          </a:r>
          <a:endParaRPr lang="en-IN" sz="2800">
            <a:solidFill>
              <a:schemeClr val="bg1"/>
            </a:solidFill>
            <a:effectLst/>
          </a:endParaRPr>
        </a:p>
      </xdr:txBody>
    </xdr:sp>
    <xdr:clientData/>
  </xdr:oneCellAnchor>
  <xdr:oneCellAnchor>
    <xdr:from>
      <xdr:col>0</xdr:col>
      <xdr:colOff>203611</xdr:colOff>
      <xdr:row>72</xdr:row>
      <xdr:rowOff>56030</xdr:rowOff>
    </xdr:from>
    <xdr:ext cx="13228656" cy="3137647"/>
    <xdr:sp macro="" textlink="">
      <xdr:nvSpPr>
        <xdr:cNvPr id="29" name="TextBox 28">
          <a:extLst>
            <a:ext uri="{FF2B5EF4-FFF2-40B4-BE49-F238E27FC236}">
              <a16:creationId xmlns:a16="http://schemas.microsoft.com/office/drawing/2014/main" id="{BA3543EC-4A4D-43B9-9BC6-24AE08192B40}"/>
            </a:ext>
          </a:extLst>
        </xdr:cNvPr>
        <xdr:cNvSpPr txBox="1"/>
      </xdr:nvSpPr>
      <xdr:spPr>
        <a:xfrm>
          <a:off x="203611" y="12965206"/>
          <a:ext cx="13228656" cy="3137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latin typeface="Bell MT" panose="02020503060305020303" pitchFamily="18" charset="0"/>
            </a:rPr>
            <a:t>Business Insights</a:t>
          </a:r>
        </a:p>
        <a:p>
          <a:endParaRPr lang="en-IN" sz="1600">
            <a:latin typeface="Bell MT" panose="02020503060305020303" pitchFamily="18" charset="0"/>
          </a:endParaRPr>
        </a:p>
        <a:p>
          <a:r>
            <a:rPr lang="en-IN" sz="1600">
              <a:latin typeface="Bell MT" panose="02020503060305020303" pitchFamily="18" charset="0"/>
            </a:rPr>
            <a:t>✔ Closing balance is higher than the opening balance.</a:t>
          </a:r>
        </a:p>
        <a:p>
          <a:endParaRPr lang="en-IN" sz="1600">
            <a:latin typeface="Bell MT" panose="02020503060305020303" pitchFamily="18" charset="0"/>
          </a:endParaRPr>
        </a:p>
        <a:p>
          <a:r>
            <a:rPr lang="en-IN" sz="1600">
              <a:latin typeface="Bell MT" panose="02020503060305020303" pitchFamily="18" charset="0"/>
            </a:rPr>
            <a:t>✔ Sales contributed the largest positive movement.</a:t>
          </a:r>
        </a:p>
        <a:p>
          <a:endParaRPr lang="en-IN" sz="1600">
            <a:latin typeface="Bell MT" panose="02020503060305020303" pitchFamily="18" charset="0"/>
          </a:endParaRPr>
        </a:p>
        <a:p>
          <a:r>
            <a:rPr lang="en-IN" sz="1600">
              <a:latin typeface="Bell MT" panose="02020503060305020303" pitchFamily="18" charset="0"/>
            </a:rPr>
            <a:t>✔ Purchases caused the biggest decrease.</a:t>
          </a:r>
        </a:p>
        <a:p>
          <a:endParaRPr lang="en-IN" sz="1600">
            <a:latin typeface="Bell MT" panose="02020503060305020303" pitchFamily="18" charset="0"/>
          </a:endParaRPr>
        </a:p>
        <a:p>
          <a:r>
            <a:rPr lang="en-IN" sz="1600">
              <a:latin typeface="Bell MT" panose="02020503060305020303" pitchFamily="18" charset="0"/>
            </a:rPr>
            <a:t>✔ Electronics generated the highest revenue.</a:t>
          </a:r>
        </a:p>
        <a:p>
          <a:endParaRPr lang="en-IN" sz="1600">
            <a:latin typeface="Bell MT" panose="02020503060305020303" pitchFamily="18" charset="0"/>
          </a:endParaRPr>
        </a:p>
        <a:p>
          <a:r>
            <a:rPr lang="en-IN" sz="1600">
              <a:latin typeface="Bell MT" panose="02020503060305020303" pitchFamily="18" charset="0"/>
            </a:rPr>
            <a:t>✔ HR contributed less than Sales.</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7D44B2-D4A6-4DB0-AA37-6910B8D984DE}" name="Table22" displayName="Table22" ref="A1:I296" totalsRowShown="0" headerRowDxfId="26" headerRowBorderDxfId="25" tableBorderDxfId="24" totalsRowBorderDxfId="23">
  <autoFilter ref="A1:I296" xr:uid="{567D44B2-D4A6-4DB0-AA37-6910B8D984DE}"/>
  <tableColumns count="9">
    <tableColumn id="1" xr3:uid="{BE749762-72CF-4051-9EB3-D8FC06DDBED7}" name="Record_ID" dataDxfId="22"/>
    <tableColumn id="2" xr3:uid="{589756E4-F4B3-46AD-800A-5C14DD99B7E9}" name="Date" dataDxfId="21"/>
    <tableColumn id="3" xr3:uid="{0717BF56-662A-4959-B1FD-D1ADAE37CB99}" name="Company" dataDxfId="20"/>
    <tableColumn id="4" xr3:uid="{20B926E2-266C-42D0-AF81-BAFE296F9048}" name="Department" dataDxfId="19"/>
    <tableColumn id="5" xr3:uid="{3D40E0A8-5174-43DA-8899-CDE9F2E34CF7}" name="Team" dataDxfId="18"/>
    <tableColumn id="6" xr3:uid="{2A6A3D5C-5B2A-4DF8-AC35-2E1FA5B2CE4D}" name="Category" dataDxfId="17"/>
    <tableColumn id="7" xr3:uid="{1DDB053D-80FA-4F31-B04C-381D076E1DFA}" name="Record_Type" dataDxfId="16"/>
    <tableColumn id="8" xr3:uid="{F4A0F877-E981-4FAE-8EAC-8581CE52F68F}" name="Financial_Item" dataDxfId="15"/>
    <tableColumn id="9" xr3:uid="{FD9FAA10-44E6-42E3-8FB5-E969FC773824}" name="Amount" dataDxfId="14"/>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E7DB0D-1137-48E5-8862-9AF5560C4334}" name="Table2" displayName="Table2" ref="A1:I296" totalsRowShown="0" headerRowDxfId="13" headerRowBorderDxfId="12" tableBorderDxfId="11" totalsRowBorderDxfId="10">
  <autoFilter ref="A1:I296" xr:uid="{D5E7DB0D-1137-48E5-8862-9AF5560C4334}">
    <filterColumn colId="6">
      <filters>
        <filter val="Financial"/>
      </filters>
    </filterColumn>
  </autoFilter>
  <tableColumns count="9">
    <tableColumn id="1" xr3:uid="{1FDE1E66-7A0E-4B3B-808A-02CDB0588B00}" name="Record_ID" dataDxfId="9"/>
    <tableColumn id="2" xr3:uid="{72BE6CFF-DCC2-4EDE-8128-C7ADB0794EE0}" name="Date" dataDxfId="8"/>
    <tableColumn id="3" xr3:uid="{8234EC7B-3B29-4C18-8536-1D69B966A68A}" name="Company" dataDxfId="7"/>
    <tableColumn id="4" xr3:uid="{8DD7FE36-A6D8-4C42-B5BF-47900AC9C725}" name="Department" dataDxfId="6"/>
    <tableColumn id="5" xr3:uid="{389A2B1C-B253-43FA-B5E1-DB16BD62C294}" name="Team" dataDxfId="5"/>
    <tableColumn id="6" xr3:uid="{B2C7012E-3E5F-4F2B-9078-5E9DE3CF4DAC}" name="Category" dataDxfId="4"/>
    <tableColumn id="7" xr3:uid="{4CD19427-CDA5-42A8-9045-D6223CD383E7}" name="Record_Type" dataDxfId="3"/>
    <tableColumn id="8" xr3:uid="{7EF71F6D-A90C-401A-9BEC-25596F6C7379}" name="Financial_Item" dataDxfId="2"/>
    <tableColumn id="9" xr3:uid="{2B9F72F4-902A-45F4-A5FB-0D49E289A88B}" name="Amount" dataDxfId="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2F5D44-DBC9-4BB4-AE6A-765764CD28B0}" name="Table4" displayName="Table4" ref="C2:D9" totalsRowShown="0" tableBorderDxfId="0">
  <autoFilter ref="C2:D9" xr:uid="{F52F5D44-DBC9-4BB4-AE6A-765764CD28B0}">
    <filterColumn colId="0" hiddenButton="1"/>
    <filterColumn colId="1" hiddenButton="1"/>
  </autoFilter>
  <tableColumns count="2">
    <tableColumn id="1" xr3:uid="{B5E59E02-1215-4B48-85D5-9F9C0E295C78}" name="Financial_Item"/>
    <tableColumn id="2" xr3:uid="{E5B192AE-E1A7-4A17-9B92-AB50C267CF72}" name="Amou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FA8A51-AAD0-441D-89B2-2EF5390AE04B}" name="Table5" displayName="Table5" ref="C11:D17" totalsRowShown="0">
  <autoFilter ref="C11:D17" xr:uid="{6FFA8A51-AAD0-441D-89B2-2EF5390AE04B}">
    <filterColumn colId="0" hiddenButton="1"/>
    <filterColumn colId="1" hiddenButton="1"/>
  </autoFilter>
  <tableColumns count="2">
    <tableColumn id="1" xr3:uid="{EC3B4D9B-844C-4AD8-B330-8AF33F747008}" name="Category"/>
    <tableColumn id="2" xr3:uid="{8118C346-B0CE-44F3-8D02-F86778344C6A}" name="Sum of 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E83B02-0EC0-4E81-8EFB-A7B7AA8B62F4}" name="Table6" displayName="Table6" ref="F2:I26" totalsRowShown="0">
  <autoFilter ref="F2:I26" xr:uid="{D3E83B02-0EC0-4E81-8EFB-A7B7AA8B62F4}">
    <filterColumn colId="0" hiddenButton="1"/>
    <filterColumn colId="1" hiddenButton="1"/>
    <filterColumn colId="2" hiddenButton="1"/>
    <filterColumn colId="3" hiddenButton="1"/>
  </autoFilter>
  <tableColumns count="4">
    <tableColumn id="1" xr3:uid="{24F6EE9A-61D9-4A45-A622-B3329FC7B281}" name="Company"/>
    <tableColumn id="2" xr3:uid="{B33D6946-5ECA-48BE-B793-DB5314376A1C}" name="Department"/>
    <tableColumn id="3" xr3:uid="{C33242AB-1158-46C5-8C27-33E948D9E9A9}" name="Team"/>
    <tableColumn id="4" xr3:uid="{2E123BA0-30F8-40CF-A938-F35129ACF9D6}" name="Sum of 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E6AF-7843-4E23-AE6F-3C61B1754A8D}">
  <dimension ref="A1:M296"/>
  <sheetViews>
    <sheetView workbookViewId="0">
      <selection activeCell="M10" sqref="M10"/>
    </sheetView>
  </sheetViews>
  <sheetFormatPr defaultRowHeight="14.4" x14ac:dyDescent="0.3"/>
  <cols>
    <col min="1" max="2" width="11.88671875" bestFit="1" customWidth="1"/>
    <col min="3" max="3" width="11.33203125" bestFit="1" customWidth="1"/>
    <col min="4" max="4" width="13.5546875" bestFit="1" customWidth="1"/>
    <col min="5" max="5" width="12.21875" bestFit="1" customWidth="1"/>
    <col min="6" max="6" width="10.77734375" bestFit="1" customWidth="1"/>
    <col min="7" max="7" width="14.33203125" bestFit="1" customWidth="1"/>
    <col min="8" max="8" width="18.33203125" bestFit="1" customWidth="1"/>
    <col min="9" max="9" width="10.109375" bestFit="1" customWidth="1"/>
    <col min="12" max="12" width="10.77734375" bestFit="1" customWidth="1"/>
    <col min="13" max="15" width="14.44140625" bestFit="1" customWidth="1"/>
    <col min="16" max="16" width="8.21875" bestFit="1" customWidth="1"/>
    <col min="17" max="18" width="8" bestFit="1" customWidth="1"/>
    <col min="19" max="19" width="12.21875" bestFit="1" customWidth="1"/>
    <col min="20" max="20" width="8" bestFit="1" customWidth="1"/>
    <col min="21" max="21" width="11.6640625" bestFit="1" customWidth="1"/>
    <col min="22" max="23" width="8" bestFit="1" customWidth="1"/>
    <col min="24" max="24" width="10.21875" bestFit="1" customWidth="1"/>
    <col min="25" max="25" width="11" bestFit="1" customWidth="1"/>
    <col min="26" max="26" width="8" bestFit="1" customWidth="1"/>
    <col min="27" max="27" width="10.21875" bestFit="1" customWidth="1"/>
    <col min="28" max="28" width="10.109375" bestFit="1" customWidth="1"/>
    <col min="29" max="29" width="11" bestFit="1" customWidth="1"/>
    <col min="30" max="30" width="9.88671875" bestFit="1" customWidth="1"/>
    <col min="31" max="31" width="11.6640625" bestFit="1" customWidth="1"/>
    <col min="32" max="32" width="7.88671875" bestFit="1" customWidth="1"/>
    <col min="33" max="33" width="8" bestFit="1" customWidth="1"/>
    <col min="34" max="34" width="11.6640625" bestFit="1" customWidth="1"/>
    <col min="35" max="36" width="7" bestFit="1" customWidth="1"/>
    <col min="37" max="37" width="14.6640625" bestFit="1" customWidth="1"/>
    <col min="38" max="38" width="12.33203125" bestFit="1" customWidth="1"/>
    <col min="39" max="39" width="12.21875" bestFit="1" customWidth="1"/>
    <col min="40" max="40" width="7.21875" bestFit="1" customWidth="1"/>
    <col min="41" max="41" width="15.44140625" bestFit="1" customWidth="1"/>
    <col min="42" max="42" width="7.21875" bestFit="1" customWidth="1"/>
    <col min="43" max="43" width="7" bestFit="1" customWidth="1"/>
    <col min="44" max="44" width="10.21875" bestFit="1" customWidth="1"/>
    <col min="45" max="45" width="10.109375" bestFit="1" customWidth="1"/>
    <col min="46" max="46" width="12.77734375" bestFit="1" customWidth="1"/>
    <col min="47" max="47" width="11" bestFit="1" customWidth="1"/>
  </cols>
  <sheetData>
    <row r="1" spans="1:13" x14ac:dyDescent="0.3">
      <c r="A1" s="10" t="s">
        <v>0</v>
      </c>
      <c r="B1" s="11" t="s">
        <v>1</v>
      </c>
      <c r="C1" s="11" t="s">
        <v>2</v>
      </c>
      <c r="D1" s="11" t="s">
        <v>3</v>
      </c>
      <c r="E1" s="11" t="s">
        <v>4</v>
      </c>
      <c r="F1" s="11" t="s">
        <v>5</v>
      </c>
      <c r="G1" s="11" t="s">
        <v>6</v>
      </c>
      <c r="H1" s="11" t="s">
        <v>7</v>
      </c>
      <c r="I1" s="12" t="s">
        <v>8</v>
      </c>
    </row>
    <row r="2" spans="1:13" x14ac:dyDescent="0.3">
      <c r="A2" s="8" t="s">
        <v>9</v>
      </c>
      <c r="B2" s="7">
        <v>46023</v>
      </c>
      <c r="C2" s="6" t="s">
        <v>10</v>
      </c>
      <c r="D2" s="6" t="s">
        <v>11</v>
      </c>
      <c r="E2" s="6" t="s">
        <v>12</v>
      </c>
      <c r="F2" s="6" t="s">
        <v>13</v>
      </c>
      <c r="G2" s="6" t="s">
        <v>14</v>
      </c>
      <c r="H2" s="6" t="s">
        <v>14</v>
      </c>
      <c r="I2" s="9">
        <v>50467</v>
      </c>
    </row>
    <row r="3" spans="1:13" x14ac:dyDescent="0.3">
      <c r="A3" s="8" t="s">
        <v>15</v>
      </c>
      <c r="B3" s="7">
        <v>46023</v>
      </c>
      <c r="C3" s="6" t="s">
        <v>10</v>
      </c>
      <c r="D3" s="6" t="s">
        <v>11</v>
      </c>
      <c r="E3" s="6" t="s">
        <v>16</v>
      </c>
      <c r="F3" s="6" t="s">
        <v>17</v>
      </c>
      <c r="G3" s="6" t="s">
        <v>14</v>
      </c>
      <c r="H3" s="6" t="s">
        <v>14</v>
      </c>
      <c r="I3" s="9">
        <v>78235</v>
      </c>
    </row>
    <row r="4" spans="1:13" x14ac:dyDescent="0.3">
      <c r="A4" s="8" t="s">
        <v>18</v>
      </c>
      <c r="B4" s="7">
        <v>46023</v>
      </c>
      <c r="C4" s="6" t="s">
        <v>19</v>
      </c>
      <c r="D4" s="6" t="s">
        <v>20</v>
      </c>
      <c r="E4" s="6" t="s">
        <v>21</v>
      </c>
      <c r="F4" s="6" t="s">
        <v>22</v>
      </c>
      <c r="G4" s="6" t="s">
        <v>14</v>
      </c>
      <c r="H4" s="6" t="s">
        <v>14</v>
      </c>
      <c r="I4" s="9">
        <v>59362</v>
      </c>
    </row>
    <row r="5" spans="1:13" x14ac:dyDescent="0.3">
      <c r="A5" s="8" t="s">
        <v>23</v>
      </c>
      <c r="B5" s="7">
        <v>46024</v>
      </c>
      <c r="C5" s="6" t="s">
        <v>19</v>
      </c>
      <c r="D5" s="6" t="s">
        <v>14</v>
      </c>
      <c r="E5" s="6" t="s">
        <v>24</v>
      </c>
      <c r="F5" s="6" t="s">
        <v>25</v>
      </c>
      <c r="G5" s="6" t="s">
        <v>14</v>
      </c>
      <c r="H5" s="6" t="s">
        <v>14</v>
      </c>
      <c r="I5" s="9">
        <v>15373</v>
      </c>
    </row>
    <row r="6" spans="1:13" x14ac:dyDescent="0.3">
      <c r="A6" s="8" t="s">
        <v>26</v>
      </c>
      <c r="B6" s="7">
        <v>46025</v>
      </c>
      <c r="C6" s="6" t="s">
        <v>10</v>
      </c>
      <c r="D6" s="6" t="s">
        <v>11</v>
      </c>
      <c r="E6" s="6" t="s">
        <v>27</v>
      </c>
      <c r="F6" s="6" t="s">
        <v>28</v>
      </c>
      <c r="G6" s="6" t="s">
        <v>14</v>
      </c>
      <c r="H6" s="6" t="s">
        <v>14</v>
      </c>
      <c r="I6" s="9">
        <v>72713</v>
      </c>
    </row>
    <row r="7" spans="1:13" x14ac:dyDescent="0.3">
      <c r="A7" s="8" t="s">
        <v>29</v>
      </c>
      <c r="B7" s="7">
        <v>46025</v>
      </c>
      <c r="C7" s="6" t="s">
        <v>19</v>
      </c>
      <c r="D7" s="6" t="s">
        <v>20</v>
      </c>
      <c r="E7" s="6" t="s">
        <v>30</v>
      </c>
      <c r="F7" s="6" t="s">
        <v>31</v>
      </c>
      <c r="G7" s="6" t="s">
        <v>14</v>
      </c>
      <c r="H7" s="6" t="s">
        <v>14</v>
      </c>
      <c r="I7" s="9">
        <v>25046</v>
      </c>
    </row>
    <row r="8" spans="1:13" x14ac:dyDescent="0.3">
      <c r="A8" s="8" t="s">
        <v>32</v>
      </c>
      <c r="B8" s="7">
        <v>46026</v>
      </c>
      <c r="C8" s="6" t="s">
        <v>10</v>
      </c>
      <c r="D8" s="6" t="s">
        <v>33</v>
      </c>
      <c r="E8" s="6" t="s">
        <v>34</v>
      </c>
      <c r="F8" s="6" t="s">
        <v>28</v>
      </c>
      <c r="G8" s="6" t="s">
        <v>14</v>
      </c>
      <c r="H8" s="6" t="s">
        <v>14</v>
      </c>
      <c r="I8" s="9">
        <v>75734</v>
      </c>
    </row>
    <row r="9" spans="1:13" x14ac:dyDescent="0.3">
      <c r="A9" s="8" t="s">
        <v>35</v>
      </c>
      <c r="B9" s="7">
        <v>46026</v>
      </c>
      <c r="C9" s="6" t="s">
        <v>19</v>
      </c>
      <c r="D9" s="6" t="s">
        <v>33</v>
      </c>
      <c r="E9" s="6" t="s">
        <v>36</v>
      </c>
      <c r="F9" s="6" t="s">
        <v>25</v>
      </c>
      <c r="G9" s="6" t="s">
        <v>14</v>
      </c>
      <c r="H9" s="6" t="s">
        <v>14</v>
      </c>
      <c r="I9" s="9">
        <v>58427</v>
      </c>
    </row>
    <row r="10" spans="1:13" x14ac:dyDescent="0.3">
      <c r="A10" s="8" t="s">
        <v>37</v>
      </c>
      <c r="B10" s="7">
        <v>46026</v>
      </c>
      <c r="C10" s="6" t="s">
        <v>19</v>
      </c>
      <c r="D10" s="6" t="s">
        <v>20</v>
      </c>
      <c r="E10" s="6" t="s">
        <v>21</v>
      </c>
      <c r="F10" s="6" t="s">
        <v>17</v>
      </c>
      <c r="G10" s="6" t="s">
        <v>14</v>
      </c>
      <c r="H10" s="6" t="s">
        <v>14</v>
      </c>
      <c r="I10" s="9">
        <v>44254</v>
      </c>
      <c r="M10" s="50">
        <f>SUMIFS(Table22[Amount],Table22[Record_Type],"Sales")</f>
        <v>13488044</v>
      </c>
    </row>
    <row r="11" spans="1:13" x14ac:dyDescent="0.3">
      <c r="A11" s="8" t="s">
        <v>38</v>
      </c>
      <c r="B11" s="7">
        <v>46027</v>
      </c>
      <c r="C11" s="6" t="s">
        <v>10</v>
      </c>
      <c r="D11" s="6" t="s">
        <v>20</v>
      </c>
      <c r="E11" s="6" t="s">
        <v>21</v>
      </c>
      <c r="F11" s="6" t="s">
        <v>22</v>
      </c>
      <c r="G11" s="6" t="s">
        <v>14</v>
      </c>
      <c r="H11" s="6" t="s">
        <v>14</v>
      </c>
      <c r="I11" s="9">
        <v>74752</v>
      </c>
    </row>
    <row r="12" spans="1:13" x14ac:dyDescent="0.3">
      <c r="A12" s="8" t="s">
        <v>39</v>
      </c>
      <c r="B12" s="7">
        <v>46031</v>
      </c>
      <c r="C12" s="6" t="s">
        <v>10</v>
      </c>
      <c r="D12" s="6" t="s">
        <v>14</v>
      </c>
      <c r="E12" s="6" t="s">
        <v>40</v>
      </c>
      <c r="F12" s="6" t="s">
        <v>28</v>
      </c>
      <c r="G12" s="6" t="s">
        <v>14</v>
      </c>
      <c r="H12" s="6" t="s">
        <v>14</v>
      </c>
      <c r="I12" s="9">
        <v>55001</v>
      </c>
    </row>
    <row r="13" spans="1:13" x14ac:dyDescent="0.3">
      <c r="A13" s="8" t="s">
        <v>41</v>
      </c>
      <c r="B13" s="7">
        <v>46031</v>
      </c>
      <c r="C13" s="6" t="s">
        <v>10</v>
      </c>
      <c r="D13" s="6" t="s">
        <v>20</v>
      </c>
      <c r="E13" s="6" t="s">
        <v>30</v>
      </c>
      <c r="F13" s="6" t="s">
        <v>25</v>
      </c>
      <c r="G13" s="6" t="s">
        <v>14</v>
      </c>
      <c r="H13" s="6" t="s">
        <v>14</v>
      </c>
      <c r="I13" s="9">
        <v>13150</v>
      </c>
    </row>
    <row r="14" spans="1:13" x14ac:dyDescent="0.3">
      <c r="A14" s="8" t="s">
        <v>42</v>
      </c>
      <c r="B14" s="7">
        <v>46031</v>
      </c>
      <c r="C14" s="6" t="s">
        <v>19</v>
      </c>
      <c r="D14" s="6" t="s">
        <v>14</v>
      </c>
      <c r="E14" s="6" t="s">
        <v>40</v>
      </c>
      <c r="F14" s="6" t="s">
        <v>13</v>
      </c>
      <c r="G14" s="6" t="s">
        <v>14</v>
      </c>
      <c r="H14" s="6" t="s">
        <v>14</v>
      </c>
      <c r="I14" s="9">
        <v>80450</v>
      </c>
    </row>
    <row r="15" spans="1:13" x14ac:dyDescent="0.3">
      <c r="A15" s="8" t="s">
        <v>43</v>
      </c>
      <c r="B15" s="7">
        <v>46031</v>
      </c>
      <c r="C15" s="6" t="s">
        <v>19</v>
      </c>
      <c r="D15" s="6" t="s">
        <v>33</v>
      </c>
      <c r="E15" s="6" t="s">
        <v>44</v>
      </c>
      <c r="F15" s="6" t="s">
        <v>13</v>
      </c>
      <c r="G15" s="6" t="s">
        <v>14</v>
      </c>
      <c r="H15" s="6" t="s">
        <v>14</v>
      </c>
      <c r="I15" s="9">
        <v>69799</v>
      </c>
    </row>
    <row r="16" spans="1:13" x14ac:dyDescent="0.3">
      <c r="A16" s="8" t="s">
        <v>45</v>
      </c>
      <c r="B16" s="7">
        <v>46034</v>
      </c>
      <c r="C16" s="6" t="s">
        <v>19</v>
      </c>
      <c r="D16" s="6" t="s">
        <v>11</v>
      </c>
      <c r="E16" s="6" t="s">
        <v>27</v>
      </c>
      <c r="F16" s="6" t="s">
        <v>13</v>
      </c>
      <c r="G16" s="6" t="s">
        <v>14</v>
      </c>
      <c r="H16" s="6" t="s">
        <v>14</v>
      </c>
      <c r="I16" s="9">
        <v>44049</v>
      </c>
    </row>
    <row r="17" spans="1:9" x14ac:dyDescent="0.3">
      <c r="A17" s="8" t="s">
        <v>46</v>
      </c>
      <c r="B17" s="7">
        <v>46035</v>
      </c>
      <c r="C17" s="6" t="s">
        <v>10</v>
      </c>
      <c r="D17" s="6" t="s">
        <v>14</v>
      </c>
      <c r="E17" s="6" t="s">
        <v>47</v>
      </c>
      <c r="F17" s="6" t="s">
        <v>22</v>
      </c>
      <c r="G17" s="6" t="s">
        <v>14</v>
      </c>
      <c r="H17" s="6" t="s">
        <v>14</v>
      </c>
      <c r="I17" s="9">
        <v>51099</v>
      </c>
    </row>
    <row r="18" spans="1:9" x14ac:dyDescent="0.3">
      <c r="A18" s="8" t="s">
        <v>48</v>
      </c>
      <c r="B18" s="7">
        <v>46035</v>
      </c>
      <c r="C18" s="6" t="s">
        <v>10</v>
      </c>
      <c r="D18" s="6" t="s">
        <v>14</v>
      </c>
      <c r="E18" s="6" t="s">
        <v>47</v>
      </c>
      <c r="F18" s="6" t="s">
        <v>25</v>
      </c>
      <c r="G18" s="6" t="s">
        <v>14</v>
      </c>
      <c r="H18" s="6" t="s">
        <v>14</v>
      </c>
      <c r="I18" s="9">
        <v>63214</v>
      </c>
    </row>
    <row r="19" spans="1:9" x14ac:dyDescent="0.3">
      <c r="A19" s="8" t="s">
        <v>49</v>
      </c>
      <c r="B19" s="7">
        <v>46035</v>
      </c>
      <c r="C19" s="6" t="s">
        <v>19</v>
      </c>
      <c r="D19" s="6" t="s">
        <v>33</v>
      </c>
      <c r="E19" s="6" t="s">
        <v>44</v>
      </c>
      <c r="F19" s="6" t="s">
        <v>13</v>
      </c>
      <c r="G19" s="6" t="s">
        <v>14</v>
      </c>
      <c r="H19" s="6" t="s">
        <v>14</v>
      </c>
      <c r="I19" s="9">
        <v>51298</v>
      </c>
    </row>
    <row r="20" spans="1:9" x14ac:dyDescent="0.3">
      <c r="A20" s="8" t="s">
        <v>50</v>
      </c>
      <c r="B20" s="7">
        <v>46036</v>
      </c>
      <c r="C20" s="6" t="s">
        <v>10</v>
      </c>
      <c r="D20" s="6" t="s">
        <v>33</v>
      </c>
      <c r="E20" s="6" t="s">
        <v>44</v>
      </c>
      <c r="F20" s="6" t="s">
        <v>13</v>
      </c>
      <c r="G20" s="6" t="s">
        <v>14</v>
      </c>
      <c r="H20" s="6" t="s">
        <v>14</v>
      </c>
      <c r="I20" s="9">
        <v>18910</v>
      </c>
    </row>
    <row r="21" spans="1:9" x14ac:dyDescent="0.3">
      <c r="A21" s="8" t="s">
        <v>51</v>
      </c>
      <c r="B21" s="7">
        <v>46036</v>
      </c>
      <c r="C21" s="6" t="s">
        <v>10</v>
      </c>
      <c r="D21" s="6" t="s">
        <v>20</v>
      </c>
      <c r="E21" s="6" t="s">
        <v>52</v>
      </c>
      <c r="F21" s="6" t="s">
        <v>17</v>
      </c>
      <c r="G21" s="6" t="s">
        <v>14</v>
      </c>
      <c r="H21" s="6" t="s">
        <v>14</v>
      </c>
      <c r="I21" s="9">
        <v>18655</v>
      </c>
    </row>
    <row r="22" spans="1:9" x14ac:dyDescent="0.3">
      <c r="A22" s="8" t="s">
        <v>53</v>
      </c>
      <c r="B22" s="7">
        <v>46037</v>
      </c>
      <c r="C22" s="6" t="s">
        <v>10</v>
      </c>
      <c r="D22" s="6" t="s">
        <v>14</v>
      </c>
      <c r="E22" s="6" t="s">
        <v>24</v>
      </c>
      <c r="F22" s="6" t="s">
        <v>22</v>
      </c>
      <c r="G22" s="6" t="s">
        <v>14</v>
      </c>
      <c r="H22" s="6" t="s">
        <v>14</v>
      </c>
      <c r="I22" s="9">
        <v>12860</v>
      </c>
    </row>
    <row r="23" spans="1:9" x14ac:dyDescent="0.3">
      <c r="A23" s="8" t="s">
        <v>54</v>
      </c>
      <c r="B23" s="7">
        <v>46037</v>
      </c>
      <c r="C23" s="6" t="s">
        <v>10</v>
      </c>
      <c r="D23" s="6" t="s">
        <v>33</v>
      </c>
      <c r="E23" s="6" t="s">
        <v>44</v>
      </c>
      <c r="F23" s="6" t="s">
        <v>17</v>
      </c>
      <c r="G23" s="6" t="s">
        <v>14</v>
      </c>
      <c r="H23" s="6" t="s">
        <v>14</v>
      </c>
      <c r="I23" s="9">
        <v>12206</v>
      </c>
    </row>
    <row r="24" spans="1:9" x14ac:dyDescent="0.3">
      <c r="A24" s="8" t="s">
        <v>55</v>
      </c>
      <c r="B24" s="7">
        <v>46037</v>
      </c>
      <c r="C24" s="6" t="s">
        <v>10</v>
      </c>
      <c r="D24" s="6" t="s">
        <v>20</v>
      </c>
      <c r="E24" s="6" t="s">
        <v>52</v>
      </c>
      <c r="F24" s="6" t="s">
        <v>31</v>
      </c>
      <c r="G24" s="6" t="s">
        <v>14</v>
      </c>
      <c r="H24" s="6" t="s">
        <v>14</v>
      </c>
      <c r="I24" s="9">
        <v>67766</v>
      </c>
    </row>
    <row r="25" spans="1:9" x14ac:dyDescent="0.3">
      <c r="A25" s="8" t="s">
        <v>56</v>
      </c>
      <c r="B25" s="7">
        <v>46037</v>
      </c>
      <c r="C25" s="6" t="s">
        <v>19</v>
      </c>
      <c r="D25" s="6" t="s">
        <v>14</v>
      </c>
      <c r="E25" s="6" t="s">
        <v>47</v>
      </c>
      <c r="F25" s="6" t="s">
        <v>31</v>
      </c>
      <c r="G25" s="6" t="s">
        <v>14</v>
      </c>
      <c r="H25" s="6" t="s">
        <v>14</v>
      </c>
      <c r="I25" s="9">
        <v>18801</v>
      </c>
    </row>
    <row r="26" spans="1:9" x14ac:dyDescent="0.3">
      <c r="A26" s="8" t="s">
        <v>57</v>
      </c>
      <c r="B26" s="7">
        <v>46039</v>
      </c>
      <c r="C26" s="6" t="s">
        <v>10</v>
      </c>
      <c r="D26" s="6" t="s">
        <v>11</v>
      </c>
      <c r="E26" s="6" t="s">
        <v>27</v>
      </c>
      <c r="F26" s="6" t="s">
        <v>25</v>
      </c>
      <c r="G26" s="6" t="s">
        <v>14</v>
      </c>
      <c r="H26" s="6" t="s">
        <v>14</v>
      </c>
      <c r="I26" s="9">
        <v>28371</v>
      </c>
    </row>
    <row r="27" spans="1:9" x14ac:dyDescent="0.3">
      <c r="A27" s="8" t="s">
        <v>58</v>
      </c>
      <c r="B27" s="7">
        <v>46039</v>
      </c>
      <c r="C27" s="6" t="s">
        <v>19</v>
      </c>
      <c r="D27" s="6" t="s">
        <v>14</v>
      </c>
      <c r="E27" s="6" t="s">
        <v>24</v>
      </c>
      <c r="F27" s="6" t="s">
        <v>25</v>
      </c>
      <c r="G27" s="6" t="s">
        <v>14</v>
      </c>
      <c r="H27" s="6" t="s">
        <v>14</v>
      </c>
      <c r="I27" s="9">
        <v>39350</v>
      </c>
    </row>
    <row r="28" spans="1:9" x14ac:dyDescent="0.3">
      <c r="A28" s="8" t="s">
        <v>59</v>
      </c>
      <c r="B28" s="7">
        <v>46039</v>
      </c>
      <c r="C28" s="6" t="s">
        <v>19</v>
      </c>
      <c r="D28" s="6" t="s">
        <v>33</v>
      </c>
      <c r="E28" s="6" t="s">
        <v>34</v>
      </c>
      <c r="F28" s="6" t="s">
        <v>22</v>
      </c>
      <c r="G28" s="6" t="s">
        <v>14</v>
      </c>
      <c r="H28" s="6" t="s">
        <v>14</v>
      </c>
      <c r="I28" s="9">
        <v>32309</v>
      </c>
    </row>
    <row r="29" spans="1:9" x14ac:dyDescent="0.3">
      <c r="A29" s="8" t="s">
        <v>60</v>
      </c>
      <c r="B29" s="7">
        <v>46039</v>
      </c>
      <c r="C29" s="6" t="s">
        <v>19</v>
      </c>
      <c r="D29" s="6" t="s">
        <v>11</v>
      </c>
      <c r="E29" s="6" t="s">
        <v>12</v>
      </c>
      <c r="F29" s="6" t="s">
        <v>31</v>
      </c>
      <c r="G29" s="6" t="s">
        <v>14</v>
      </c>
      <c r="H29" s="6" t="s">
        <v>14</v>
      </c>
      <c r="I29" s="9">
        <v>67479</v>
      </c>
    </row>
    <row r="30" spans="1:9" x14ac:dyDescent="0.3">
      <c r="A30" s="8" t="s">
        <v>61</v>
      </c>
      <c r="B30" s="7">
        <v>46042</v>
      </c>
      <c r="C30" s="6" t="s">
        <v>10</v>
      </c>
      <c r="D30" s="6" t="s">
        <v>33</v>
      </c>
      <c r="E30" s="6" t="s">
        <v>36</v>
      </c>
      <c r="F30" s="6" t="s">
        <v>17</v>
      </c>
      <c r="G30" s="6" t="s">
        <v>14</v>
      </c>
      <c r="H30" s="6" t="s">
        <v>14</v>
      </c>
      <c r="I30" s="9">
        <v>18776</v>
      </c>
    </row>
    <row r="31" spans="1:9" x14ac:dyDescent="0.3">
      <c r="A31" s="8" t="s">
        <v>62</v>
      </c>
      <c r="B31" s="7">
        <v>46042</v>
      </c>
      <c r="C31" s="6" t="s">
        <v>19</v>
      </c>
      <c r="D31" s="6" t="s">
        <v>14</v>
      </c>
      <c r="E31" s="6" t="s">
        <v>40</v>
      </c>
      <c r="F31" s="6" t="s">
        <v>22</v>
      </c>
      <c r="G31" s="6" t="s">
        <v>14</v>
      </c>
      <c r="H31" s="6" t="s">
        <v>14</v>
      </c>
      <c r="I31" s="9">
        <v>26397</v>
      </c>
    </row>
    <row r="32" spans="1:9" x14ac:dyDescent="0.3">
      <c r="A32" s="8" t="s">
        <v>63</v>
      </c>
      <c r="B32" s="7">
        <v>46042</v>
      </c>
      <c r="C32" s="6" t="s">
        <v>19</v>
      </c>
      <c r="D32" s="6" t="s">
        <v>11</v>
      </c>
      <c r="E32" s="6" t="s">
        <v>12</v>
      </c>
      <c r="F32" s="6" t="s">
        <v>17</v>
      </c>
      <c r="G32" s="6" t="s">
        <v>14</v>
      </c>
      <c r="H32" s="6" t="s">
        <v>14</v>
      </c>
      <c r="I32" s="9">
        <v>31963</v>
      </c>
    </row>
    <row r="33" spans="1:9" x14ac:dyDescent="0.3">
      <c r="A33" s="8" t="s">
        <v>64</v>
      </c>
      <c r="B33" s="7">
        <v>46043</v>
      </c>
      <c r="C33" s="6" t="s">
        <v>10</v>
      </c>
      <c r="D33" s="6" t="s">
        <v>11</v>
      </c>
      <c r="E33" s="6" t="s">
        <v>16</v>
      </c>
      <c r="F33" s="6" t="s">
        <v>25</v>
      </c>
      <c r="G33" s="6" t="s">
        <v>14</v>
      </c>
      <c r="H33" s="6" t="s">
        <v>14</v>
      </c>
      <c r="I33" s="9">
        <v>22492</v>
      </c>
    </row>
    <row r="34" spans="1:9" x14ac:dyDescent="0.3">
      <c r="A34" s="8" t="s">
        <v>65</v>
      </c>
      <c r="B34" s="7">
        <v>46043</v>
      </c>
      <c r="C34" s="6" t="s">
        <v>10</v>
      </c>
      <c r="D34" s="6" t="s">
        <v>20</v>
      </c>
      <c r="E34" s="6" t="s">
        <v>30</v>
      </c>
      <c r="F34" s="6" t="s">
        <v>25</v>
      </c>
      <c r="G34" s="6" t="s">
        <v>14</v>
      </c>
      <c r="H34" s="6" t="s">
        <v>14</v>
      </c>
      <c r="I34" s="9">
        <v>44217</v>
      </c>
    </row>
    <row r="35" spans="1:9" x14ac:dyDescent="0.3">
      <c r="A35" s="8" t="s">
        <v>66</v>
      </c>
      <c r="B35" s="7">
        <v>46043</v>
      </c>
      <c r="C35" s="6" t="s">
        <v>19</v>
      </c>
      <c r="D35" s="6" t="s">
        <v>33</v>
      </c>
      <c r="E35" s="6" t="s">
        <v>36</v>
      </c>
      <c r="F35" s="6" t="s">
        <v>22</v>
      </c>
      <c r="G35" s="6" t="s">
        <v>14</v>
      </c>
      <c r="H35" s="6" t="s">
        <v>14</v>
      </c>
      <c r="I35" s="9">
        <v>35959</v>
      </c>
    </row>
    <row r="36" spans="1:9" x14ac:dyDescent="0.3">
      <c r="A36" s="8" t="s">
        <v>67</v>
      </c>
      <c r="B36" s="7">
        <v>46044</v>
      </c>
      <c r="C36" s="6" t="s">
        <v>10</v>
      </c>
      <c r="D36" s="6" t="s">
        <v>20</v>
      </c>
      <c r="E36" s="6" t="s">
        <v>21</v>
      </c>
      <c r="F36" s="6" t="s">
        <v>22</v>
      </c>
      <c r="G36" s="6" t="s">
        <v>14</v>
      </c>
      <c r="H36" s="6" t="s">
        <v>14</v>
      </c>
      <c r="I36" s="9">
        <v>35049</v>
      </c>
    </row>
    <row r="37" spans="1:9" x14ac:dyDescent="0.3">
      <c r="A37" s="8" t="s">
        <v>68</v>
      </c>
      <c r="B37" s="7">
        <v>46044</v>
      </c>
      <c r="C37" s="6" t="s">
        <v>19</v>
      </c>
      <c r="D37" s="6" t="s">
        <v>11</v>
      </c>
      <c r="E37" s="6" t="s">
        <v>27</v>
      </c>
      <c r="F37" s="6" t="s">
        <v>25</v>
      </c>
      <c r="G37" s="6" t="s">
        <v>14</v>
      </c>
      <c r="H37" s="6" t="s">
        <v>14</v>
      </c>
      <c r="I37" s="9">
        <v>70017</v>
      </c>
    </row>
    <row r="38" spans="1:9" x14ac:dyDescent="0.3">
      <c r="A38" s="8" t="s">
        <v>69</v>
      </c>
      <c r="B38" s="7">
        <v>46044</v>
      </c>
      <c r="C38" s="6" t="s">
        <v>19</v>
      </c>
      <c r="D38" s="6" t="s">
        <v>11</v>
      </c>
      <c r="E38" s="6" t="s">
        <v>16</v>
      </c>
      <c r="F38" s="6" t="s">
        <v>31</v>
      </c>
      <c r="G38" s="6" t="s">
        <v>14</v>
      </c>
      <c r="H38" s="6" t="s">
        <v>14</v>
      </c>
      <c r="I38" s="9">
        <v>17240</v>
      </c>
    </row>
    <row r="39" spans="1:9" x14ac:dyDescent="0.3">
      <c r="A39" s="8" t="s">
        <v>70</v>
      </c>
      <c r="B39" s="7">
        <v>46046</v>
      </c>
      <c r="C39" s="6" t="s">
        <v>10</v>
      </c>
      <c r="D39" s="6" t="s">
        <v>11</v>
      </c>
      <c r="E39" s="6" t="s">
        <v>12</v>
      </c>
      <c r="F39" s="6" t="s">
        <v>17</v>
      </c>
      <c r="G39" s="6" t="s">
        <v>14</v>
      </c>
      <c r="H39" s="6" t="s">
        <v>14</v>
      </c>
      <c r="I39" s="9">
        <v>15987</v>
      </c>
    </row>
    <row r="40" spans="1:9" x14ac:dyDescent="0.3">
      <c r="A40" s="8" t="s">
        <v>71</v>
      </c>
      <c r="B40" s="7">
        <v>46046</v>
      </c>
      <c r="C40" s="6" t="s">
        <v>19</v>
      </c>
      <c r="D40" s="6" t="s">
        <v>20</v>
      </c>
      <c r="E40" s="6" t="s">
        <v>30</v>
      </c>
      <c r="F40" s="6" t="s">
        <v>17</v>
      </c>
      <c r="G40" s="6" t="s">
        <v>14</v>
      </c>
      <c r="H40" s="6" t="s">
        <v>14</v>
      </c>
      <c r="I40" s="9">
        <v>68138</v>
      </c>
    </row>
    <row r="41" spans="1:9" x14ac:dyDescent="0.3">
      <c r="A41" s="8" t="s">
        <v>72</v>
      </c>
      <c r="B41" s="7">
        <v>46047</v>
      </c>
      <c r="C41" s="6" t="s">
        <v>10</v>
      </c>
      <c r="D41" s="6" t="s">
        <v>14</v>
      </c>
      <c r="E41" s="6" t="s">
        <v>40</v>
      </c>
      <c r="F41" s="6" t="s">
        <v>25</v>
      </c>
      <c r="G41" s="6" t="s">
        <v>14</v>
      </c>
      <c r="H41" s="6" t="s">
        <v>14</v>
      </c>
      <c r="I41" s="9">
        <v>22627</v>
      </c>
    </row>
    <row r="42" spans="1:9" x14ac:dyDescent="0.3">
      <c r="A42" s="8" t="s">
        <v>73</v>
      </c>
      <c r="B42" s="7">
        <v>46047</v>
      </c>
      <c r="C42" s="6" t="s">
        <v>10</v>
      </c>
      <c r="D42" s="6" t="s">
        <v>33</v>
      </c>
      <c r="E42" s="6" t="s">
        <v>36</v>
      </c>
      <c r="F42" s="6" t="s">
        <v>28</v>
      </c>
      <c r="G42" s="6" t="s">
        <v>14</v>
      </c>
      <c r="H42" s="6" t="s">
        <v>14</v>
      </c>
      <c r="I42" s="9">
        <v>42080</v>
      </c>
    </row>
    <row r="43" spans="1:9" x14ac:dyDescent="0.3">
      <c r="A43" s="8" t="s">
        <v>74</v>
      </c>
      <c r="B43" s="7">
        <v>46047</v>
      </c>
      <c r="C43" s="6" t="s">
        <v>19</v>
      </c>
      <c r="D43" s="6" t="s">
        <v>20</v>
      </c>
      <c r="E43" s="6" t="s">
        <v>52</v>
      </c>
      <c r="F43" s="6" t="s">
        <v>25</v>
      </c>
      <c r="G43" s="6" t="s">
        <v>14</v>
      </c>
      <c r="H43" s="6" t="s">
        <v>14</v>
      </c>
      <c r="I43" s="9">
        <v>13062</v>
      </c>
    </row>
    <row r="44" spans="1:9" x14ac:dyDescent="0.3">
      <c r="A44" s="8" t="s">
        <v>75</v>
      </c>
      <c r="B44" s="7">
        <v>46048</v>
      </c>
      <c r="C44" s="6" t="s">
        <v>10</v>
      </c>
      <c r="D44" s="6" t="s">
        <v>14</v>
      </c>
      <c r="E44" s="6" t="s">
        <v>24</v>
      </c>
      <c r="F44" s="6" t="s">
        <v>13</v>
      </c>
      <c r="G44" s="6" t="s">
        <v>14</v>
      </c>
      <c r="H44" s="6" t="s">
        <v>14</v>
      </c>
      <c r="I44" s="9">
        <v>66886</v>
      </c>
    </row>
    <row r="45" spans="1:9" x14ac:dyDescent="0.3">
      <c r="A45" s="8" t="s">
        <v>76</v>
      </c>
      <c r="B45" s="7">
        <v>46048</v>
      </c>
      <c r="C45" s="6" t="s">
        <v>10</v>
      </c>
      <c r="D45" s="6" t="s">
        <v>33</v>
      </c>
      <c r="E45" s="6" t="s">
        <v>34</v>
      </c>
      <c r="F45" s="6" t="s">
        <v>13</v>
      </c>
      <c r="G45" s="6" t="s">
        <v>14</v>
      </c>
      <c r="H45" s="6" t="s">
        <v>14</v>
      </c>
      <c r="I45" s="9">
        <v>62859</v>
      </c>
    </row>
    <row r="46" spans="1:9" x14ac:dyDescent="0.3">
      <c r="A46" s="8" t="s">
        <v>77</v>
      </c>
      <c r="B46" s="7">
        <v>46048</v>
      </c>
      <c r="C46" s="6" t="s">
        <v>19</v>
      </c>
      <c r="D46" s="6" t="s">
        <v>14</v>
      </c>
      <c r="E46" s="6" t="s">
        <v>47</v>
      </c>
      <c r="F46" s="6" t="s">
        <v>25</v>
      </c>
      <c r="G46" s="6" t="s">
        <v>14</v>
      </c>
      <c r="H46" s="6" t="s">
        <v>14</v>
      </c>
      <c r="I46" s="9">
        <v>35625</v>
      </c>
    </row>
    <row r="47" spans="1:9" x14ac:dyDescent="0.3">
      <c r="A47" s="8" t="s">
        <v>78</v>
      </c>
      <c r="B47" s="7">
        <v>46048</v>
      </c>
      <c r="C47" s="6" t="s">
        <v>19</v>
      </c>
      <c r="D47" s="6" t="s">
        <v>33</v>
      </c>
      <c r="E47" s="6" t="s">
        <v>34</v>
      </c>
      <c r="F47" s="6" t="s">
        <v>17</v>
      </c>
      <c r="G47" s="6" t="s">
        <v>14</v>
      </c>
      <c r="H47" s="6" t="s">
        <v>14</v>
      </c>
      <c r="I47" s="9">
        <v>74292</v>
      </c>
    </row>
    <row r="48" spans="1:9" x14ac:dyDescent="0.3">
      <c r="A48" s="8" t="s">
        <v>79</v>
      </c>
      <c r="B48" s="7">
        <v>46048</v>
      </c>
      <c r="C48" s="6" t="s">
        <v>19</v>
      </c>
      <c r="D48" s="6" t="s">
        <v>11</v>
      </c>
      <c r="E48" s="6" t="s">
        <v>16</v>
      </c>
      <c r="F48" s="6" t="s">
        <v>31</v>
      </c>
      <c r="G48" s="6" t="s">
        <v>14</v>
      </c>
      <c r="H48" s="6" t="s">
        <v>14</v>
      </c>
      <c r="I48" s="9">
        <v>35624</v>
      </c>
    </row>
    <row r="49" spans="1:9" x14ac:dyDescent="0.3">
      <c r="A49" s="8" t="s">
        <v>80</v>
      </c>
      <c r="B49" s="7">
        <v>46048</v>
      </c>
      <c r="C49" s="6" t="s">
        <v>19</v>
      </c>
      <c r="D49" s="6" t="s">
        <v>20</v>
      </c>
      <c r="E49" s="6" t="s">
        <v>52</v>
      </c>
      <c r="F49" s="6" t="s">
        <v>31</v>
      </c>
      <c r="G49" s="6" t="s">
        <v>14</v>
      </c>
      <c r="H49" s="6" t="s">
        <v>14</v>
      </c>
      <c r="I49" s="9">
        <v>18229</v>
      </c>
    </row>
    <row r="50" spans="1:9" x14ac:dyDescent="0.3">
      <c r="A50" s="8" t="s">
        <v>81</v>
      </c>
      <c r="B50" s="7">
        <v>46055</v>
      </c>
      <c r="C50" s="6" t="s">
        <v>10</v>
      </c>
      <c r="D50" s="6" t="s">
        <v>33</v>
      </c>
      <c r="E50" s="6" t="s">
        <v>34</v>
      </c>
      <c r="F50" s="6" t="s">
        <v>22</v>
      </c>
      <c r="G50" s="6" t="s">
        <v>14</v>
      </c>
      <c r="H50" s="6" t="s">
        <v>14</v>
      </c>
      <c r="I50" s="9">
        <v>64083</v>
      </c>
    </row>
    <row r="51" spans="1:9" x14ac:dyDescent="0.3">
      <c r="A51" s="8" t="s">
        <v>82</v>
      </c>
      <c r="B51" s="7">
        <v>46055</v>
      </c>
      <c r="C51" s="6" t="s">
        <v>19</v>
      </c>
      <c r="D51" s="6" t="s">
        <v>11</v>
      </c>
      <c r="E51" s="6" t="s">
        <v>12</v>
      </c>
      <c r="F51" s="6" t="s">
        <v>22</v>
      </c>
      <c r="G51" s="6" t="s">
        <v>14</v>
      </c>
      <c r="H51" s="6" t="s">
        <v>14</v>
      </c>
      <c r="I51" s="9">
        <v>26388</v>
      </c>
    </row>
    <row r="52" spans="1:9" x14ac:dyDescent="0.3">
      <c r="A52" s="8" t="s">
        <v>83</v>
      </c>
      <c r="B52" s="7">
        <v>46055</v>
      </c>
      <c r="C52" s="6" t="s">
        <v>19</v>
      </c>
      <c r="D52" s="6" t="s">
        <v>20</v>
      </c>
      <c r="E52" s="6" t="s">
        <v>30</v>
      </c>
      <c r="F52" s="6" t="s">
        <v>28</v>
      </c>
      <c r="G52" s="6" t="s">
        <v>14</v>
      </c>
      <c r="H52" s="6" t="s">
        <v>14</v>
      </c>
      <c r="I52" s="9">
        <v>28389</v>
      </c>
    </row>
    <row r="53" spans="1:9" x14ac:dyDescent="0.3">
      <c r="A53" s="8" t="s">
        <v>84</v>
      </c>
      <c r="B53" s="7">
        <v>46056</v>
      </c>
      <c r="C53" s="6" t="s">
        <v>10</v>
      </c>
      <c r="D53" s="6" t="s">
        <v>11</v>
      </c>
      <c r="E53" s="6" t="s">
        <v>12</v>
      </c>
      <c r="F53" s="6" t="s">
        <v>17</v>
      </c>
      <c r="G53" s="6" t="s">
        <v>14</v>
      </c>
      <c r="H53" s="6" t="s">
        <v>14</v>
      </c>
      <c r="I53" s="9">
        <v>58214</v>
      </c>
    </row>
    <row r="54" spans="1:9" x14ac:dyDescent="0.3">
      <c r="A54" s="8" t="s">
        <v>85</v>
      </c>
      <c r="B54" s="7">
        <v>46056</v>
      </c>
      <c r="C54" s="6" t="s">
        <v>10</v>
      </c>
      <c r="D54" s="6" t="s">
        <v>11</v>
      </c>
      <c r="E54" s="6" t="s">
        <v>16</v>
      </c>
      <c r="F54" s="6" t="s">
        <v>25</v>
      </c>
      <c r="G54" s="6" t="s">
        <v>14</v>
      </c>
      <c r="H54" s="6" t="s">
        <v>14</v>
      </c>
      <c r="I54" s="9">
        <v>62336</v>
      </c>
    </row>
    <row r="55" spans="1:9" x14ac:dyDescent="0.3">
      <c r="A55" s="8" t="s">
        <v>86</v>
      </c>
      <c r="B55" s="7">
        <v>46057</v>
      </c>
      <c r="C55" s="6" t="s">
        <v>19</v>
      </c>
      <c r="D55" s="6" t="s">
        <v>14</v>
      </c>
      <c r="E55" s="6" t="s">
        <v>40</v>
      </c>
      <c r="F55" s="6" t="s">
        <v>31</v>
      </c>
      <c r="G55" s="6" t="s">
        <v>14</v>
      </c>
      <c r="H55" s="6" t="s">
        <v>14</v>
      </c>
      <c r="I55" s="9">
        <v>59280</v>
      </c>
    </row>
    <row r="56" spans="1:9" x14ac:dyDescent="0.3">
      <c r="A56" s="8" t="s">
        <v>87</v>
      </c>
      <c r="B56" s="7">
        <v>46057</v>
      </c>
      <c r="C56" s="6" t="s">
        <v>19</v>
      </c>
      <c r="D56" s="6" t="s">
        <v>20</v>
      </c>
      <c r="E56" s="6" t="s">
        <v>52</v>
      </c>
      <c r="F56" s="6" t="s">
        <v>22</v>
      </c>
      <c r="G56" s="6" t="s">
        <v>14</v>
      </c>
      <c r="H56" s="6" t="s">
        <v>14</v>
      </c>
      <c r="I56" s="9">
        <v>18168</v>
      </c>
    </row>
    <row r="57" spans="1:9" x14ac:dyDescent="0.3">
      <c r="A57" s="8" t="s">
        <v>88</v>
      </c>
      <c r="B57" s="7">
        <v>46057</v>
      </c>
      <c r="C57" s="6" t="s">
        <v>19</v>
      </c>
      <c r="D57" s="6" t="s">
        <v>20</v>
      </c>
      <c r="E57" s="6" t="s">
        <v>30</v>
      </c>
      <c r="F57" s="6" t="s">
        <v>17</v>
      </c>
      <c r="G57" s="6" t="s">
        <v>14</v>
      </c>
      <c r="H57" s="6" t="s">
        <v>14</v>
      </c>
      <c r="I57" s="9">
        <v>16324</v>
      </c>
    </row>
    <row r="58" spans="1:9" x14ac:dyDescent="0.3">
      <c r="A58" s="8" t="s">
        <v>89</v>
      </c>
      <c r="B58" s="7">
        <v>46058</v>
      </c>
      <c r="C58" s="6" t="s">
        <v>10</v>
      </c>
      <c r="D58" s="6" t="s">
        <v>11</v>
      </c>
      <c r="E58" s="6" t="s">
        <v>27</v>
      </c>
      <c r="F58" s="6" t="s">
        <v>25</v>
      </c>
      <c r="G58" s="6" t="s">
        <v>14</v>
      </c>
      <c r="H58" s="6" t="s">
        <v>14</v>
      </c>
      <c r="I58" s="9">
        <v>32932</v>
      </c>
    </row>
    <row r="59" spans="1:9" x14ac:dyDescent="0.3">
      <c r="A59" s="8" t="s">
        <v>90</v>
      </c>
      <c r="B59" s="7">
        <v>46058</v>
      </c>
      <c r="C59" s="6" t="s">
        <v>19</v>
      </c>
      <c r="D59" s="6" t="s">
        <v>33</v>
      </c>
      <c r="E59" s="6" t="s">
        <v>36</v>
      </c>
      <c r="F59" s="6" t="s">
        <v>22</v>
      </c>
      <c r="G59" s="6" t="s">
        <v>14</v>
      </c>
      <c r="H59" s="6" t="s">
        <v>14</v>
      </c>
      <c r="I59" s="9">
        <v>43921</v>
      </c>
    </row>
    <row r="60" spans="1:9" x14ac:dyDescent="0.3">
      <c r="A60" s="8" t="s">
        <v>91</v>
      </c>
      <c r="B60" s="7">
        <v>46059</v>
      </c>
      <c r="C60" s="6" t="s">
        <v>10</v>
      </c>
      <c r="D60" s="6" t="s">
        <v>33</v>
      </c>
      <c r="E60" s="6" t="s">
        <v>34</v>
      </c>
      <c r="F60" s="6" t="s">
        <v>25</v>
      </c>
      <c r="G60" s="6" t="s">
        <v>14</v>
      </c>
      <c r="H60" s="6" t="s">
        <v>14</v>
      </c>
      <c r="I60" s="9">
        <v>24688</v>
      </c>
    </row>
    <row r="61" spans="1:9" x14ac:dyDescent="0.3">
      <c r="A61" s="8" t="s">
        <v>92</v>
      </c>
      <c r="B61" s="7">
        <v>46060</v>
      </c>
      <c r="C61" s="6" t="s">
        <v>10</v>
      </c>
      <c r="D61" s="6" t="s">
        <v>14</v>
      </c>
      <c r="E61" s="6" t="s">
        <v>40</v>
      </c>
      <c r="F61" s="6" t="s">
        <v>25</v>
      </c>
      <c r="G61" s="6" t="s">
        <v>14</v>
      </c>
      <c r="H61" s="6" t="s">
        <v>14</v>
      </c>
      <c r="I61" s="9">
        <v>35483</v>
      </c>
    </row>
    <row r="62" spans="1:9" x14ac:dyDescent="0.3">
      <c r="A62" s="8" t="s">
        <v>93</v>
      </c>
      <c r="B62" s="7">
        <v>46060</v>
      </c>
      <c r="C62" s="6" t="s">
        <v>10</v>
      </c>
      <c r="D62" s="6" t="s">
        <v>33</v>
      </c>
      <c r="E62" s="6" t="s">
        <v>44</v>
      </c>
      <c r="F62" s="6" t="s">
        <v>25</v>
      </c>
      <c r="G62" s="6" t="s">
        <v>14</v>
      </c>
      <c r="H62" s="6" t="s">
        <v>14</v>
      </c>
      <c r="I62" s="9">
        <v>62015</v>
      </c>
    </row>
    <row r="63" spans="1:9" x14ac:dyDescent="0.3">
      <c r="A63" s="8" t="s">
        <v>94</v>
      </c>
      <c r="B63" s="7">
        <v>46060</v>
      </c>
      <c r="C63" s="6" t="s">
        <v>10</v>
      </c>
      <c r="D63" s="6" t="s">
        <v>33</v>
      </c>
      <c r="E63" s="6" t="s">
        <v>36</v>
      </c>
      <c r="F63" s="6" t="s">
        <v>22</v>
      </c>
      <c r="G63" s="6" t="s">
        <v>14</v>
      </c>
      <c r="H63" s="6" t="s">
        <v>14</v>
      </c>
      <c r="I63" s="9">
        <v>21474</v>
      </c>
    </row>
    <row r="64" spans="1:9" x14ac:dyDescent="0.3">
      <c r="A64" s="8" t="s">
        <v>95</v>
      </c>
      <c r="B64" s="7">
        <v>46060</v>
      </c>
      <c r="C64" s="6" t="s">
        <v>19</v>
      </c>
      <c r="D64" s="6" t="s">
        <v>14</v>
      </c>
      <c r="E64" s="6" t="s">
        <v>47</v>
      </c>
      <c r="F64" s="6" t="s">
        <v>17</v>
      </c>
      <c r="G64" s="6" t="s">
        <v>14</v>
      </c>
      <c r="H64" s="6" t="s">
        <v>14</v>
      </c>
      <c r="I64" s="9">
        <v>56261</v>
      </c>
    </row>
    <row r="65" spans="1:9" x14ac:dyDescent="0.3">
      <c r="A65" s="8" t="s">
        <v>96</v>
      </c>
      <c r="B65" s="7">
        <v>46061</v>
      </c>
      <c r="C65" s="6" t="s">
        <v>10</v>
      </c>
      <c r="D65" s="6" t="s">
        <v>14</v>
      </c>
      <c r="E65" s="6" t="s">
        <v>24</v>
      </c>
      <c r="F65" s="6" t="s">
        <v>31</v>
      </c>
      <c r="G65" s="6" t="s">
        <v>14</v>
      </c>
      <c r="H65" s="6" t="s">
        <v>14</v>
      </c>
      <c r="I65" s="9">
        <v>56131</v>
      </c>
    </row>
    <row r="66" spans="1:9" x14ac:dyDescent="0.3">
      <c r="A66" s="8" t="s">
        <v>97</v>
      </c>
      <c r="B66" s="7">
        <v>46061</v>
      </c>
      <c r="C66" s="6" t="s">
        <v>10</v>
      </c>
      <c r="D66" s="6" t="s">
        <v>14</v>
      </c>
      <c r="E66" s="6" t="s">
        <v>47</v>
      </c>
      <c r="F66" s="6" t="s">
        <v>13</v>
      </c>
      <c r="G66" s="6" t="s">
        <v>14</v>
      </c>
      <c r="H66" s="6" t="s">
        <v>14</v>
      </c>
      <c r="I66" s="9">
        <v>79563</v>
      </c>
    </row>
    <row r="67" spans="1:9" x14ac:dyDescent="0.3">
      <c r="A67" s="8" t="s">
        <v>98</v>
      </c>
      <c r="B67" s="7">
        <v>46062</v>
      </c>
      <c r="C67" s="6" t="s">
        <v>10</v>
      </c>
      <c r="D67" s="6" t="s">
        <v>14</v>
      </c>
      <c r="E67" s="6" t="s">
        <v>47</v>
      </c>
      <c r="F67" s="6" t="s">
        <v>25</v>
      </c>
      <c r="G67" s="6" t="s">
        <v>14</v>
      </c>
      <c r="H67" s="6" t="s">
        <v>14</v>
      </c>
      <c r="I67" s="9">
        <v>52774</v>
      </c>
    </row>
    <row r="68" spans="1:9" x14ac:dyDescent="0.3">
      <c r="A68" s="8" t="s">
        <v>99</v>
      </c>
      <c r="B68" s="7">
        <v>46062</v>
      </c>
      <c r="C68" s="6" t="s">
        <v>10</v>
      </c>
      <c r="D68" s="6" t="s">
        <v>33</v>
      </c>
      <c r="E68" s="6" t="s">
        <v>36</v>
      </c>
      <c r="F68" s="6" t="s">
        <v>25</v>
      </c>
      <c r="G68" s="6" t="s">
        <v>14</v>
      </c>
      <c r="H68" s="6" t="s">
        <v>14</v>
      </c>
      <c r="I68" s="9">
        <v>17530</v>
      </c>
    </row>
    <row r="69" spans="1:9" x14ac:dyDescent="0.3">
      <c r="A69" s="8" t="s">
        <v>100</v>
      </c>
      <c r="B69" s="7">
        <v>46062</v>
      </c>
      <c r="C69" s="6" t="s">
        <v>10</v>
      </c>
      <c r="D69" s="6" t="s">
        <v>11</v>
      </c>
      <c r="E69" s="6" t="s">
        <v>27</v>
      </c>
      <c r="F69" s="6" t="s">
        <v>31</v>
      </c>
      <c r="G69" s="6" t="s">
        <v>14</v>
      </c>
      <c r="H69" s="6" t="s">
        <v>14</v>
      </c>
      <c r="I69" s="9">
        <v>84694</v>
      </c>
    </row>
    <row r="70" spans="1:9" x14ac:dyDescent="0.3">
      <c r="A70" s="8" t="s">
        <v>101</v>
      </c>
      <c r="B70" s="7">
        <v>46062</v>
      </c>
      <c r="C70" s="6" t="s">
        <v>19</v>
      </c>
      <c r="D70" s="6" t="s">
        <v>14</v>
      </c>
      <c r="E70" s="6" t="s">
        <v>24</v>
      </c>
      <c r="F70" s="6" t="s">
        <v>22</v>
      </c>
      <c r="G70" s="6" t="s">
        <v>14</v>
      </c>
      <c r="H70" s="6" t="s">
        <v>14</v>
      </c>
      <c r="I70" s="9">
        <v>69458</v>
      </c>
    </row>
    <row r="71" spans="1:9" x14ac:dyDescent="0.3">
      <c r="A71" s="8" t="s">
        <v>102</v>
      </c>
      <c r="B71" s="7">
        <v>46062</v>
      </c>
      <c r="C71" s="6" t="s">
        <v>19</v>
      </c>
      <c r="D71" s="6" t="s">
        <v>33</v>
      </c>
      <c r="E71" s="6" t="s">
        <v>34</v>
      </c>
      <c r="F71" s="6" t="s">
        <v>31</v>
      </c>
      <c r="G71" s="6" t="s">
        <v>14</v>
      </c>
      <c r="H71" s="6" t="s">
        <v>14</v>
      </c>
      <c r="I71" s="9">
        <v>30017</v>
      </c>
    </row>
    <row r="72" spans="1:9" x14ac:dyDescent="0.3">
      <c r="A72" s="8" t="s">
        <v>103</v>
      </c>
      <c r="B72" s="7">
        <v>46063</v>
      </c>
      <c r="C72" s="6" t="s">
        <v>10</v>
      </c>
      <c r="D72" s="6" t="s">
        <v>11</v>
      </c>
      <c r="E72" s="6" t="s">
        <v>16</v>
      </c>
      <c r="F72" s="6" t="s">
        <v>25</v>
      </c>
      <c r="G72" s="6" t="s">
        <v>14</v>
      </c>
      <c r="H72" s="6" t="s">
        <v>14</v>
      </c>
      <c r="I72" s="9">
        <v>46584</v>
      </c>
    </row>
    <row r="73" spans="1:9" x14ac:dyDescent="0.3">
      <c r="A73" s="8" t="s">
        <v>104</v>
      </c>
      <c r="B73" s="7">
        <v>46063</v>
      </c>
      <c r="C73" s="6" t="s">
        <v>19</v>
      </c>
      <c r="D73" s="6" t="s">
        <v>14</v>
      </c>
      <c r="E73" s="6" t="s">
        <v>47</v>
      </c>
      <c r="F73" s="6" t="s">
        <v>22</v>
      </c>
      <c r="G73" s="6" t="s">
        <v>14</v>
      </c>
      <c r="H73" s="6" t="s">
        <v>14</v>
      </c>
      <c r="I73" s="9">
        <v>62343</v>
      </c>
    </row>
    <row r="74" spans="1:9" x14ac:dyDescent="0.3">
      <c r="A74" s="8" t="s">
        <v>105</v>
      </c>
      <c r="B74" s="7">
        <v>46063</v>
      </c>
      <c r="C74" s="6" t="s">
        <v>19</v>
      </c>
      <c r="D74" s="6" t="s">
        <v>20</v>
      </c>
      <c r="E74" s="6" t="s">
        <v>21</v>
      </c>
      <c r="F74" s="6" t="s">
        <v>22</v>
      </c>
      <c r="G74" s="6" t="s">
        <v>14</v>
      </c>
      <c r="H74" s="6" t="s">
        <v>14</v>
      </c>
      <c r="I74" s="9">
        <v>71383</v>
      </c>
    </row>
    <row r="75" spans="1:9" x14ac:dyDescent="0.3">
      <c r="A75" s="8" t="s">
        <v>106</v>
      </c>
      <c r="B75" s="7">
        <v>46064</v>
      </c>
      <c r="C75" s="6" t="s">
        <v>10</v>
      </c>
      <c r="D75" s="6" t="s">
        <v>14</v>
      </c>
      <c r="E75" s="6" t="s">
        <v>24</v>
      </c>
      <c r="F75" s="6" t="s">
        <v>25</v>
      </c>
      <c r="G75" s="6" t="s">
        <v>14</v>
      </c>
      <c r="H75" s="6" t="s">
        <v>14</v>
      </c>
      <c r="I75" s="9">
        <v>49194</v>
      </c>
    </row>
    <row r="76" spans="1:9" x14ac:dyDescent="0.3">
      <c r="A76" s="8" t="s">
        <v>107</v>
      </c>
      <c r="B76" s="7">
        <v>46064</v>
      </c>
      <c r="C76" s="6" t="s">
        <v>19</v>
      </c>
      <c r="D76" s="6" t="s">
        <v>11</v>
      </c>
      <c r="E76" s="6" t="s">
        <v>12</v>
      </c>
      <c r="F76" s="6" t="s">
        <v>22</v>
      </c>
      <c r="G76" s="6" t="s">
        <v>14</v>
      </c>
      <c r="H76" s="6" t="s">
        <v>14</v>
      </c>
      <c r="I76" s="9">
        <v>48586</v>
      </c>
    </row>
    <row r="77" spans="1:9" x14ac:dyDescent="0.3">
      <c r="A77" s="8" t="s">
        <v>108</v>
      </c>
      <c r="B77" s="7">
        <v>46064</v>
      </c>
      <c r="C77" s="6" t="s">
        <v>19</v>
      </c>
      <c r="D77" s="6" t="s">
        <v>11</v>
      </c>
      <c r="E77" s="6" t="s">
        <v>16</v>
      </c>
      <c r="F77" s="6" t="s">
        <v>25</v>
      </c>
      <c r="G77" s="6" t="s">
        <v>14</v>
      </c>
      <c r="H77" s="6" t="s">
        <v>14</v>
      </c>
      <c r="I77" s="9">
        <v>67645</v>
      </c>
    </row>
    <row r="78" spans="1:9" x14ac:dyDescent="0.3">
      <c r="A78" s="8" t="s">
        <v>109</v>
      </c>
      <c r="B78" s="7">
        <v>46065</v>
      </c>
      <c r="C78" s="6" t="s">
        <v>19</v>
      </c>
      <c r="D78" s="6" t="s">
        <v>33</v>
      </c>
      <c r="E78" s="6" t="s">
        <v>44</v>
      </c>
      <c r="F78" s="6" t="s">
        <v>25</v>
      </c>
      <c r="G78" s="6" t="s">
        <v>14</v>
      </c>
      <c r="H78" s="6" t="s">
        <v>14</v>
      </c>
      <c r="I78" s="9">
        <v>79641</v>
      </c>
    </row>
    <row r="79" spans="1:9" x14ac:dyDescent="0.3">
      <c r="A79" s="8" t="s">
        <v>110</v>
      </c>
      <c r="B79" s="7">
        <v>46065</v>
      </c>
      <c r="C79" s="6" t="s">
        <v>19</v>
      </c>
      <c r="D79" s="6" t="s">
        <v>20</v>
      </c>
      <c r="E79" s="6" t="s">
        <v>21</v>
      </c>
      <c r="F79" s="6" t="s">
        <v>17</v>
      </c>
      <c r="G79" s="6" t="s">
        <v>14</v>
      </c>
      <c r="H79" s="6" t="s">
        <v>14</v>
      </c>
      <c r="I79" s="9">
        <v>21865</v>
      </c>
    </row>
    <row r="80" spans="1:9" x14ac:dyDescent="0.3">
      <c r="A80" s="8" t="s">
        <v>111</v>
      </c>
      <c r="B80" s="7">
        <v>46066</v>
      </c>
      <c r="C80" s="6" t="s">
        <v>10</v>
      </c>
      <c r="D80" s="6" t="s">
        <v>33</v>
      </c>
      <c r="E80" s="6" t="s">
        <v>44</v>
      </c>
      <c r="F80" s="6" t="s">
        <v>25</v>
      </c>
      <c r="G80" s="6" t="s">
        <v>14</v>
      </c>
      <c r="H80" s="6" t="s">
        <v>14</v>
      </c>
      <c r="I80" s="9">
        <v>35419</v>
      </c>
    </row>
    <row r="81" spans="1:9" x14ac:dyDescent="0.3">
      <c r="A81" s="8" t="s">
        <v>112</v>
      </c>
      <c r="B81" s="7">
        <v>46066</v>
      </c>
      <c r="C81" s="6" t="s">
        <v>19</v>
      </c>
      <c r="D81" s="6" t="s">
        <v>14</v>
      </c>
      <c r="E81" s="6" t="s">
        <v>40</v>
      </c>
      <c r="F81" s="6" t="s">
        <v>31</v>
      </c>
      <c r="G81" s="6" t="s">
        <v>14</v>
      </c>
      <c r="H81" s="6" t="s">
        <v>14</v>
      </c>
      <c r="I81" s="9">
        <v>62517</v>
      </c>
    </row>
    <row r="82" spans="1:9" x14ac:dyDescent="0.3">
      <c r="A82" s="8" t="s">
        <v>113</v>
      </c>
      <c r="B82" s="7">
        <v>46068</v>
      </c>
      <c r="C82" s="6" t="s">
        <v>10</v>
      </c>
      <c r="D82" s="6" t="s">
        <v>14</v>
      </c>
      <c r="E82" s="6" t="s">
        <v>40</v>
      </c>
      <c r="F82" s="6" t="s">
        <v>17</v>
      </c>
      <c r="G82" s="6" t="s">
        <v>14</v>
      </c>
      <c r="H82" s="6" t="s">
        <v>14</v>
      </c>
      <c r="I82" s="9">
        <v>29159</v>
      </c>
    </row>
    <row r="83" spans="1:9" x14ac:dyDescent="0.3">
      <c r="A83" s="8" t="s">
        <v>114</v>
      </c>
      <c r="B83" s="7">
        <v>46068</v>
      </c>
      <c r="C83" s="6" t="s">
        <v>19</v>
      </c>
      <c r="D83" s="6" t="s">
        <v>11</v>
      </c>
      <c r="E83" s="6" t="s">
        <v>27</v>
      </c>
      <c r="F83" s="6" t="s">
        <v>17</v>
      </c>
      <c r="G83" s="6" t="s">
        <v>14</v>
      </c>
      <c r="H83" s="6" t="s">
        <v>14</v>
      </c>
      <c r="I83" s="9">
        <v>31198</v>
      </c>
    </row>
    <row r="84" spans="1:9" x14ac:dyDescent="0.3">
      <c r="A84" s="8" t="s">
        <v>115</v>
      </c>
      <c r="B84" s="7">
        <v>46069</v>
      </c>
      <c r="C84" s="6" t="s">
        <v>10</v>
      </c>
      <c r="D84" s="6" t="s">
        <v>11</v>
      </c>
      <c r="E84" s="6" t="s">
        <v>12</v>
      </c>
      <c r="F84" s="6" t="s">
        <v>13</v>
      </c>
      <c r="G84" s="6" t="s">
        <v>14</v>
      </c>
      <c r="H84" s="6" t="s">
        <v>14</v>
      </c>
      <c r="I84" s="9">
        <v>56064</v>
      </c>
    </row>
    <row r="85" spans="1:9" x14ac:dyDescent="0.3">
      <c r="A85" s="8" t="s">
        <v>116</v>
      </c>
      <c r="B85" s="7">
        <v>46070</v>
      </c>
      <c r="C85" s="6" t="s">
        <v>19</v>
      </c>
      <c r="D85" s="6" t="s">
        <v>33</v>
      </c>
      <c r="E85" s="6" t="s">
        <v>44</v>
      </c>
      <c r="F85" s="6" t="s">
        <v>25</v>
      </c>
      <c r="G85" s="6" t="s">
        <v>14</v>
      </c>
      <c r="H85" s="6" t="s">
        <v>14</v>
      </c>
      <c r="I85" s="9">
        <v>78040</v>
      </c>
    </row>
    <row r="86" spans="1:9" x14ac:dyDescent="0.3">
      <c r="A86" s="8" t="s">
        <v>117</v>
      </c>
      <c r="B86" s="7">
        <v>46070</v>
      </c>
      <c r="C86" s="6" t="s">
        <v>19</v>
      </c>
      <c r="D86" s="6" t="s">
        <v>11</v>
      </c>
      <c r="E86" s="6" t="s">
        <v>16</v>
      </c>
      <c r="F86" s="6" t="s">
        <v>28</v>
      </c>
      <c r="G86" s="6" t="s">
        <v>14</v>
      </c>
      <c r="H86" s="6" t="s">
        <v>14</v>
      </c>
      <c r="I86" s="9">
        <v>64796</v>
      </c>
    </row>
    <row r="87" spans="1:9" x14ac:dyDescent="0.3">
      <c r="A87" s="8" t="s">
        <v>118</v>
      </c>
      <c r="B87" s="7">
        <v>46070</v>
      </c>
      <c r="C87" s="6" t="s">
        <v>19</v>
      </c>
      <c r="D87" s="6" t="s">
        <v>20</v>
      </c>
      <c r="E87" s="6" t="s">
        <v>52</v>
      </c>
      <c r="F87" s="6" t="s">
        <v>17</v>
      </c>
      <c r="G87" s="6" t="s">
        <v>14</v>
      </c>
      <c r="H87" s="6" t="s">
        <v>14</v>
      </c>
      <c r="I87" s="9">
        <v>16632</v>
      </c>
    </row>
    <row r="88" spans="1:9" x14ac:dyDescent="0.3">
      <c r="A88" s="8" t="s">
        <v>119</v>
      </c>
      <c r="B88" s="7">
        <v>46072</v>
      </c>
      <c r="C88" s="6" t="s">
        <v>10</v>
      </c>
      <c r="D88" s="6" t="s">
        <v>20</v>
      </c>
      <c r="E88" s="6" t="s">
        <v>21</v>
      </c>
      <c r="F88" s="6" t="s">
        <v>22</v>
      </c>
      <c r="G88" s="6" t="s">
        <v>14</v>
      </c>
      <c r="H88" s="6" t="s">
        <v>14</v>
      </c>
      <c r="I88" s="9">
        <v>35289</v>
      </c>
    </row>
    <row r="89" spans="1:9" x14ac:dyDescent="0.3">
      <c r="A89" s="8" t="s">
        <v>120</v>
      </c>
      <c r="B89" s="7">
        <v>46073</v>
      </c>
      <c r="C89" s="6" t="s">
        <v>10</v>
      </c>
      <c r="D89" s="6" t="s">
        <v>20</v>
      </c>
      <c r="E89" s="6" t="s">
        <v>21</v>
      </c>
      <c r="F89" s="6" t="s">
        <v>17</v>
      </c>
      <c r="G89" s="6" t="s">
        <v>14</v>
      </c>
      <c r="H89" s="6" t="s">
        <v>14</v>
      </c>
      <c r="I89" s="9">
        <v>80385</v>
      </c>
    </row>
    <row r="90" spans="1:9" x14ac:dyDescent="0.3">
      <c r="A90" s="8" t="s">
        <v>121</v>
      </c>
      <c r="B90" s="7">
        <v>46074</v>
      </c>
      <c r="C90" s="6" t="s">
        <v>19</v>
      </c>
      <c r="D90" s="6" t="s">
        <v>33</v>
      </c>
      <c r="E90" s="6" t="s">
        <v>34</v>
      </c>
      <c r="F90" s="6" t="s">
        <v>22</v>
      </c>
      <c r="G90" s="6" t="s">
        <v>14</v>
      </c>
      <c r="H90" s="6" t="s">
        <v>14</v>
      </c>
      <c r="I90" s="9">
        <v>12384</v>
      </c>
    </row>
    <row r="91" spans="1:9" x14ac:dyDescent="0.3">
      <c r="A91" s="8" t="s">
        <v>122</v>
      </c>
      <c r="B91" s="7">
        <v>46075</v>
      </c>
      <c r="C91" s="6" t="s">
        <v>10</v>
      </c>
      <c r="D91" s="6" t="s">
        <v>20</v>
      </c>
      <c r="E91" s="6" t="s">
        <v>52</v>
      </c>
      <c r="F91" s="6" t="s">
        <v>22</v>
      </c>
      <c r="G91" s="6" t="s">
        <v>14</v>
      </c>
      <c r="H91" s="6" t="s">
        <v>14</v>
      </c>
      <c r="I91" s="9">
        <v>22966</v>
      </c>
    </row>
    <row r="92" spans="1:9" x14ac:dyDescent="0.3">
      <c r="A92" s="8" t="s">
        <v>123</v>
      </c>
      <c r="B92" s="7">
        <v>46075</v>
      </c>
      <c r="C92" s="6" t="s">
        <v>10</v>
      </c>
      <c r="D92" s="6" t="s">
        <v>20</v>
      </c>
      <c r="E92" s="6" t="s">
        <v>52</v>
      </c>
      <c r="F92" s="6" t="s">
        <v>22</v>
      </c>
      <c r="G92" s="6" t="s">
        <v>14</v>
      </c>
      <c r="H92" s="6" t="s">
        <v>14</v>
      </c>
      <c r="I92" s="9">
        <v>64921</v>
      </c>
    </row>
    <row r="93" spans="1:9" x14ac:dyDescent="0.3">
      <c r="A93" s="8" t="s">
        <v>124</v>
      </c>
      <c r="B93" s="7">
        <v>46075</v>
      </c>
      <c r="C93" s="6" t="s">
        <v>10</v>
      </c>
      <c r="D93" s="6" t="s">
        <v>20</v>
      </c>
      <c r="E93" s="6" t="s">
        <v>30</v>
      </c>
      <c r="F93" s="6" t="s">
        <v>25</v>
      </c>
      <c r="G93" s="6" t="s">
        <v>14</v>
      </c>
      <c r="H93" s="6" t="s">
        <v>14</v>
      </c>
      <c r="I93" s="9">
        <v>58175</v>
      </c>
    </row>
    <row r="94" spans="1:9" x14ac:dyDescent="0.3">
      <c r="A94" s="8" t="s">
        <v>125</v>
      </c>
      <c r="B94" s="7">
        <v>46075</v>
      </c>
      <c r="C94" s="6" t="s">
        <v>19</v>
      </c>
      <c r="D94" s="6" t="s">
        <v>33</v>
      </c>
      <c r="E94" s="6" t="s">
        <v>36</v>
      </c>
      <c r="F94" s="6" t="s">
        <v>28</v>
      </c>
      <c r="G94" s="6" t="s">
        <v>14</v>
      </c>
      <c r="H94" s="6" t="s">
        <v>14</v>
      </c>
      <c r="I94" s="9">
        <v>32159</v>
      </c>
    </row>
    <row r="95" spans="1:9" x14ac:dyDescent="0.3">
      <c r="A95" s="8" t="s">
        <v>126</v>
      </c>
      <c r="B95" s="7">
        <v>46078</v>
      </c>
      <c r="C95" s="6" t="s">
        <v>19</v>
      </c>
      <c r="D95" s="6" t="s">
        <v>11</v>
      </c>
      <c r="E95" s="6" t="s">
        <v>27</v>
      </c>
      <c r="F95" s="6" t="s">
        <v>31</v>
      </c>
      <c r="G95" s="6" t="s">
        <v>14</v>
      </c>
      <c r="H95" s="6" t="s">
        <v>14</v>
      </c>
      <c r="I95" s="9">
        <v>36285</v>
      </c>
    </row>
    <row r="96" spans="1:9" x14ac:dyDescent="0.3">
      <c r="A96" s="8" t="s">
        <v>127</v>
      </c>
      <c r="B96" s="7">
        <v>46079</v>
      </c>
      <c r="C96" s="6" t="s">
        <v>10</v>
      </c>
      <c r="D96" s="6" t="s">
        <v>20</v>
      </c>
      <c r="E96" s="6" t="s">
        <v>30</v>
      </c>
      <c r="F96" s="6" t="s">
        <v>13</v>
      </c>
      <c r="G96" s="6" t="s">
        <v>14</v>
      </c>
      <c r="H96" s="6" t="s">
        <v>14</v>
      </c>
      <c r="I96" s="9">
        <v>78617</v>
      </c>
    </row>
    <row r="97" spans="1:9" x14ac:dyDescent="0.3">
      <c r="A97" s="8" t="s">
        <v>128</v>
      </c>
      <c r="B97" s="7">
        <v>46079</v>
      </c>
      <c r="C97" s="6" t="s">
        <v>19</v>
      </c>
      <c r="D97" s="6" t="s">
        <v>14</v>
      </c>
      <c r="E97" s="6" t="s">
        <v>24</v>
      </c>
      <c r="F97" s="6" t="s">
        <v>13</v>
      </c>
      <c r="G97" s="6" t="s">
        <v>14</v>
      </c>
      <c r="H97" s="6" t="s">
        <v>14</v>
      </c>
      <c r="I97" s="9">
        <v>27305</v>
      </c>
    </row>
    <row r="98" spans="1:9" x14ac:dyDescent="0.3">
      <c r="A98" s="8" t="s">
        <v>129</v>
      </c>
      <c r="B98" s="7">
        <v>46082</v>
      </c>
      <c r="C98" s="6" t="s">
        <v>19</v>
      </c>
      <c r="D98" s="6" t="s">
        <v>33</v>
      </c>
      <c r="E98" s="6" t="s">
        <v>36</v>
      </c>
      <c r="F98" s="6" t="s">
        <v>25</v>
      </c>
      <c r="G98" s="6" t="s">
        <v>14</v>
      </c>
      <c r="H98" s="6" t="s">
        <v>14</v>
      </c>
      <c r="I98" s="9">
        <v>50088</v>
      </c>
    </row>
    <row r="99" spans="1:9" x14ac:dyDescent="0.3">
      <c r="A99" s="8" t="s">
        <v>130</v>
      </c>
      <c r="B99" s="7">
        <v>46083</v>
      </c>
      <c r="C99" s="6" t="s">
        <v>19</v>
      </c>
      <c r="D99" s="6" t="s">
        <v>14</v>
      </c>
      <c r="E99" s="6" t="s">
        <v>47</v>
      </c>
      <c r="F99" s="6" t="s">
        <v>22</v>
      </c>
      <c r="G99" s="6" t="s">
        <v>14</v>
      </c>
      <c r="H99" s="6" t="s">
        <v>14</v>
      </c>
      <c r="I99" s="9">
        <v>31065</v>
      </c>
    </row>
    <row r="100" spans="1:9" x14ac:dyDescent="0.3">
      <c r="A100" s="8" t="s">
        <v>131</v>
      </c>
      <c r="B100" s="7">
        <v>46083</v>
      </c>
      <c r="C100" s="6" t="s">
        <v>19</v>
      </c>
      <c r="D100" s="6" t="s">
        <v>20</v>
      </c>
      <c r="E100" s="6" t="s">
        <v>21</v>
      </c>
      <c r="F100" s="6" t="s">
        <v>25</v>
      </c>
      <c r="G100" s="6" t="s">
        <v>14</v>
      </c>
      <c r="H100" s="6" t="s">
        <v>14</v>
      </c>
      <c r="I100" s="9">
        <v>17287</v>
      </c>
    </row>
    <row r="101" spans="1:9" x14ac:dyDescent="0.3">
      <c r="A101" s="8" t="s">
        <v>132</v>
      </c>
      <c r="B101" s="7">
        <v>46084</v>
      </c>
      <c r="C101" s="6" t="s">
        <v>10</v>
      </c>
      <c r="D101" s="6" t="s">
        <v>14</v>
      </c>
      <c r="E101" s="6" t="s">
        <v>47</v>
      </c>
      <c r="F101" s="6" t="s">
        <v>13</v>
      </c>
      <c r="G101" s="6" t="s">
        <v>14</v>
      </c>
      <c r="H101" s="6" t="s">
        <v>14</v>
      </c>
      <c r="I101" s="9">
        <v>25986</v>
      </c>
    </row>
    <row r="102" spans="1:9" x14ac:dyDescent="0.3">
      <c r="A102" s="8" t="s">
        <v>133</v>
      </c>
      <c r="B102" s="7">
        <v>46084</v>
      </c>
      <c r="C102" s="6" t="s">
        <v>10</v>
      </c>
      <c r="D102" s="6" t="s">
        <v>11</v>
      </c>
      <c r="E102" s="6" t="s">
        <v>16</v>
      </c>
      <c r="F102" s="6" t="s">
        <v>28</v>
      </c>
      <c r="G102" s="6" t="s">
        <v>14</v>
      </c>
      <c r="H102" s="6" t="s">
        <v>14</v>
      </c>
      <c r="I102" s="9">
        <v>78105</v>
      </c>
    </row>
    <row r="103" spans="1:9" x14ac:dyDescent="0.3">
      <c r="A103" s="8" t="s">
        <v>134</v>
      </c>
      <c r="B103" s="7">
        <v>46085</v>
      </c>
      <c r="C103" s="6" t="s">
        <v>10</v>
      </c>
      <c r="D103" s="6" t="s">
        <v>14</v>
      </c>
      <c r="E103" s="6" t="s">
        <v>40</v>
      </c>
      <c r="F103" s="6" t="s">
        <v>25</v>
      </c>
      <c r="G103" s="6" t="s">
        <v>14</v>
      </c>
      <c r="H103" s="6" t="s">
        <v>14</v>
      </c>
      <c r="I103" s="9">
        <v>47920</v>
      </c>
    </row>
    <row r="104" spans="1:9" x14ac:dyDescent="0.3">
      <c r="A104" s="8" t="s">
        <v>135</v>
      </c>
      <c r="B104" s="7">
        <v>46085</v>
      </c>
      <c r="C104" s="6" t="s">
        <v>10</v>
      </c>
      <c r="D104" s="6" t="s">
        <v>33</v>
      </c>
      <c r="E104" s="6" t="s">
        <v>44</v>
      </c>
      <c r="F104" s="6" t="s">
        <v>22</v>
      </c>
      <c r="G104" s="6" t="s">
        <v>14</v>
      </c>
      <c r="H104" s="6" t="s">
        <v>14</v>
      </c>
      <c r="I104" s="9">
        <v>66268</v>
      </c>
    </row>
    <row r="105" spans="1:9" x14ac:dyDescent="0.3">
      <c r="A105" s="8" t="s">
        <v>136</v>
      </c>
      <c r="B105" s="7">
        <v>46085</v>
      </c>
      <c r="C105" s="6" t="s">
        <v>19</v>
      </c>
      <c r="D105" s="6" t="s">
        <v>14</v>
      </c>
      <c r="E105" s="6" t="s">
        <v>24</v>
      </c>
      <c r="F105" s="6" t="s">
        <v>28</v>
      </c>
      <c r="G105" s="6" t="s">
        <v>14</v>
      </c>
      <c r="H105" s="6" t="s">
        <v>14</v>
      </c>
      <c r="I105" s="9">
        <v>19543</v>
      </c>
    </row>
    <row r="106" spans="1:9" x14ac:dyDescent="0.3">
      <c r="A106" s="8" t="s">
        <v>137</v>
      </c>
      <c r="B106" s="7">
        <v>46085</v>
      </c>
      <c r="C106" s="6" t="s">
        <v>19</v>
      </c>
      <c r="D106" s="6" t="s">
        <v>20</v>
      </c>
      <c r="E106" s="6" t="s">
        <v>52</v>
      </c>
      <c r="F106" s="6" t="s">
        <v>22</v>
      </c>
      <c r="G106" s="6" t="s">
        <v>14</v>
      </c>
      <c r="H106" s="6" t="s">
        <v>14</v>
      </c>
      <c r="I106" s="9">
        <v>38734</v>
      </c>
    </row>
    <row r="107" spans="1:9" x14ac:dyDescent="0.3">
      <c r="A107" s="8" t="s">
        <v>138</v>
      </c>
      <c r="B107" s="7">
        <v>46085</v>
      </c>
      <c r="C107" s="6" t="s">
        <v>19</v>
      </c>
      <c r="D107" s="6" t="s">
        <v>20</v>
      </c>
      <c r="E107" s="6" t="s">
        <v>30</v>
      </c>
      <c r="F107" s="6" t="s">
        <v>17</v>
      </c>
      <c r="G107" s="6" t="s">
        <v>14</v>
      </c>
      <c r="H107" s="6" t="s">
        <v>14</v>
      </c>
      <c r="I107" s="9">
        <v>40746</v>
      </c>
    </row>
    <row r="108" spans="1:9" x14ac:dyDescent="0.3">
      <c r="A108" s="8" t="s">
        <v>139</v>
      </c>
      <c r="B108" s="7">
        <v>46086</v>
      </c>
      <c r="C108" s="6" t="s">
        <v>19</v>
      </c>
      <c r="D108" s="6" t="s">
        <v>33</v>
      </c>
      <c r="E108" s="6" t="s">
        <v>44</v>
      </c>
      <c r="F108" s="6" t="s">
        <v>31</v>
      </c>
      <c r="G108" s="6" t="s">
        <v>14</v>
      </c>
      <c r="H108" s="6" t="s">
        <v>14</v>
      </c>
      <c r="I108" s="9">
        <v>73642</v>
      </c>
    </row>
    <row r="109" spans="1:9" x14ac:dyDescent="0.3">
      <c r="A109" s="8" t="s">
        <v>140</v>
      </c>
      <c r="B109" s="7">
        <v>46086</v>
      </c>
      <c r="C109" s="6" t="s">
        <v>19</v>
      </c>
      <c r="D109" s="6" t="s">
        <v>20</v>
      </c>
      <c r="E109" s="6" t="s">
        <v>21</v>
      </c>
      <c r="F109" s="6" t="s">
        <v>25</v>
      </c>
      <c r="G109" s="6" t="s">
        <v>14</v>
      </c>
      <c r="H109" s="6" t="s">
        <v>14</v>
      </c>
      <c r="I109" s="9">
        <v>13342</v>
      </c>
    </row>
    <row r="110" spans="1:9" x14ac:dyDescent="0.3">
      <c r="A110" s="8" t="s">
        <v>141</v>
      </c>
      <c r="B110" s="7">
        <v>46087</v>
      </c>
      <c r="C110" s="6" t="s">
        <v>10</v>
      </c>
      <c r="D110" s="6" t="s">
        <v>14</v>
      </c>
      <c r="E110" s="6" t="s">
        <v>24</v>
      </c>
      <c r="F110" s="6" t="s">
        <v>28</v>
      </c>
      <c r="G110" s="6" t="s">
        <v>14</v>
      </c>
      <c r="H110" s="6" t="s">
        <v>14</v>
      </c>
      <c r="I110" s="9">
        <v>74955</v>
      </c>
    </row>
    <row r="111" spans="1:9" x14ac:dyDescent="0.3">
      <c r="A111" s="8" t="s">
        <v>142</v>
      </c>
      <c r="B111" s="7">
        <v>46087</v>
      </c>
      <c r="C111" s="6" t="s">
        <v>10</v>
      </c>
      <c r="D111" s="6" t="s">
        <v>14</v>
      </c>
      <c r="E111" s="6" t="s">
        <v>40</v>
      </c>
      <c r="F111" s="6" t="s">
        <v>25</v>
      </c>
      <c r="G111" s="6" t="s">
        <v>14</v>
      </c>
      <c r="H111" s="6" t="s">
        <v>14</v>
      </c>
      <c r="I111" s="9">
        <v>31457</v>
      </c>
    </row>
    <row r="112" spans="1:9" x14ac:dyDescent="0.3">
      <c r="A112" s="8" t="s">
        <v>143</v>
      </c>
      <c r="B112" s="7">
        <v>46087</v>
      </c>
      <c r="C112" s="6" t="s">
        <v>10</v>
      </c>
      <c r="D112" s="6" t="s">
        <v>33</v>
      </c>
      <c r="E112" s="6" t="s">
        <v>34</v>
      </c>
      <c r="F112" s="6" t="s">
        <v>31</v>
      </c>
      <c r="G112" s="6" t="s">
        <v>14</v>
      </c>
      <c r="H112" s="6" t="s">
        <v>14</v>
      </c>
      <c r="I112" s="9">
        <v>54107</v>
      </c>
    </row>
    <row r="113" spans="1:9" x14ac:dyDescent="0.3">
      <c r="A113" s="8" t="s">
        <v>144</v>
      </c>
      <c r="B113" s="7">
        <v>46087</v>
      </c>
      <c r="C113" s="6" t="s">
        <v>10</v>
      </c>
      <c r="D113" s="6" t="s">
        <v>11</v>
      </c>
      <c r="E113" s="6" t="s">
        <v>12</v>
      </c>
      <c r="F113" s="6" t="s">
        <v>25</v>
      </c>
      <c r="G113" s="6" t="s">
        <v>14</v>
      </c>
      <c r="H113" s="6" t="s">
        <v>14</v>
      </c>
      <c r="I113" s="9">
        <v>18893</v>
      </c>
    </row>
    <row r="114" spans="1:9" x14ac:dyDescent="0.3">
      <c r="A114" s="8" t="s">
        <v>145</v>
      </c>
      <c r="B114" s="7">
        <v>46087</v>
      </c>
      <c r="C114" s="6" t="s">
        <v>19</v>
      </c>
      <c r="D114" s="6" t="s">
        <v>33</v>
      </c>
      <c r="E114" s="6" t="s">
        <v>34</v>
      </c>
      <c r="F114" s="6" t="s">
        <v>17</v>
      </c>
      <c r="G114" s="6" t="s">
        <v>14</v>
      </c>
      <c r="H114" s="6" t="s">
        <v>14</v>
      </c>
      <c r="I114" s="9">
        <v>21860</v>
      </c>
    </row>
    <row r="115" spans="1:9" x14ac:dyDescent="0.3">
      <c r="A115" s="8" t="s">
        <v>146</v>
      </c>
      <c r="B115" s="7">
        <v>46088</v>
      </c>
      <c r="C115" s="6" t="s">
        <v>10</v>
      </c>
      <c r="D115" s="6" t="s">
        <v>20</v>
      </c>
      <c r="E115" s="6" t="s">
        <v>30</v>
      </c>
      <c r="F115" s="6" t="s">
        <v>25</v>
      </c>
      <c r="G115" s="6" t="s">
        <v>14</v>
      </c>
      <c r="H115" s="6" t="s">
        <v>14</v>
      </c>
      <c r="I115" s="9">
        <v>15343</v>
      </c>
    </row>
    <row r="116" spans="1:9" x14ac:dyDescent="0.3">
      <c r="A116" s="8" t="s">
        <v>147</v>
      </c>
      <c r="B116" s="7">
        <v>46088</v>
      </c>
      <c r="C116" s="6" t="s">
        <v>19</v>
      </c>
      <c r="D116" s="6" t="s">
        <v>11</v>
      </c>
      <c r="E116" s="6" t="s">
        <v>27</v>
      </c>
      <c r="F116" s="6" t="s">
        <v>17</v>
      </c>
      <c r="G116" s="6" t="s">
        <v>14</v>
      </c>
      <c r="H116" s="6" t="s">
        <v>14</v>
      </c>
      <c r="I116" s="9">
        <v>65682</v>
      </c>
    </row>
    <row r="117" spans="1:9" x14ac:dyDescent="0.3">
      <c r="A117" s="8" t="s">
        <v>148</v>
      </c>
      <c r="B117" s="7">
        <v>46089</v>
      </c>
      <c r="C117" s="6" t="s">
        <v>19</v>
      </c>
      <c r="D117" s="6" t="s">
        <v>20</v>
      </c>
      <c r="E117" s="6" t="s">
        <v>52</v>
      </c>
      <c r="F117" s="6" t="s">
        <v>17</v>
      </c>
      <c r="G117" s="6" t="s">
        <v>14</v>
      </c>
      <c r="H117" s="6" t="s">
        <v>14</v>
      </c>
      <c r="I117" s="9">
        <v>24910</v>
      </c>
    </row>
    <row r="118" spans="1:9" x14ac:dyDescent="0.3">
      <c r="A118" s="8" t="s">
        <v>149</v>
      </c>
      <c r="B118" s="7">
        <v>46092</v>
      </c>
      <c r="C118" s="6" t="s">
        <v>19</v>
      </c>
      <c r="D118" s="6" t="s">
        <v>11</v>
      </c>
      <c r="E118" s="6" t="s">
        <v>12</v>
      </c>
      <c r="F118" s="6" t="s">
        <v>22</v>
      </c>
      <c r="G118" s="6" t="s">
        <v>14</v>
      </c>
      <c r="H118" s="6" t="s">
        <v>14</v>
      </c>
      <c r="I118" s="9">
        <v>83774</v>
      </c>
    </row>
    <row r="119" spans="1:9" x14ac:dyDescent="0.3">
      <c r="A119" s="8" t="s">
        <v>150</v>
      </c>
      <c r="B119" s="7">
        <v>46093</v>
      </c>
      <c r="C119" s="6" t="s">
        <v>10</v>
      </c>
      <c r="D119" s="6" t="s">
        <v>33</v>
      </c>
      <c r="E119" s="6" t="s">
        <v>36</v>
      </c>
      <c r="F119" s="6" t="s">
        <v>17</v>
      </c>
      <c r="G119" s="6" t="s">
        <v>14</v>
      </c>
      <c r="H119" s="6" t="s">
        <v>14</v>
      </c>
      <c r="I119" s="9">
        <v>25545</v>
      </c>
    </row>
    <row r="120" spans="1:9" x14ac:dyDescent="0.3">
      <c r="A120" s="8" t="s">
        <v>151</v>
      </c>
      <c r="B120" s="7">
        <v>46094</v>
      </c>
      <c r="C120" s="6" t="s">
        <v>10</v>
      </c>
      <c r="D120" s="6" t="s">
        <v>33</v>
      </c>
      <c r="E120" s="6" t="s">
        <v>44</v>
      </c>
      <c r="F120" s="6" t="s">
        <v>28</v>
      </c>
      <c r="G120" s="6" t="s">
        <v>14</v>
      </c>
      <c r="H120" s="6" t="s">
        <v>14</v>
      </c>
      <c r="I120" s="9">
        <v>83910</v>
      </c>
    </row>
    <row r="121" spans="1:9" x14ac:dyDescent="0.3">
      <c r="A121" s="8" t="s">
        <v>152</v>
      </c>
      <c r="B121" s="7">
        <v>46094</v>
      </c>
      <c r="C121" s="6" t="s">
        <v>10</v>
      </c>
      <c r="D121" s="6" t="s">
        <v>20</v>
      </c>
      <c r="E121" s="6" t="s">
        <v>30</v>
      </c>
      <c r="F121" s="6" t="s">
        <v>13</v>
      </c>
      <c r="G121" s="6" t="s">
        <v>14</v>
      </c>
      <c r="H121" s="6" t="s">
        <v>14</v>
      </c>
      <c r="I121" s="9">
        <v>57543</v>
      </c>
    </row>
    <row r="122" spans="1:9" x14ac:dyDescent="0.3">
      <c r="A122" s="8" t="s">
        <v>153</v>
      </c>
      <c r="B122" s="7">
        <v>46094</v>
      </c>
      <c r="C122" s="6" t="s">
        <v>19</v>
      </c>
      <c r="D122" s="6" t="s">
        <v>14</v>
      </c>
      <c r="E122" s="6" t="s">
        <v>24</v>
      </c>
      <c r="F122" s="6" t="s">
        <v>17</v>
      </c>
      <c r="G122" s="6" t="s">
        <v>14</v>
      </c>
      <c r="H122" s="6" t="s">
        <v>14</v>
      </c>
      <c r="I122" s="9">
        <v>50513</v>
      </c>
    </row>
    <row r="123" spans="1:9" x14ac:dyDescent="0.3">
      <c r="A123" s="8" t="s">
        <v>154</v>
      </c>
      <c r="B123" s="7">
        <v>46095</v>
      </c>
      <c r="C123" s="6" t="s">
        <v>19</v>
      </c>
      <c r="D123" s="6" t="s">
        <v>14</v>
      </c>
      <c r="E123" s="6" t="s">
        <v>40</v>
      </c>
      <c r="F123" s="6" t="s">
        <v>25</v>
      </c>
      <c r="G123" s="6" t="s">
        <v>14</v>
      </c>
      <c r="H123" s="6" t="s">
        <v>14</v>
      </c>
      <c r="I123" s="9">
        <v>47270</v>
      </c>
    </row>
    <row r="124" spans="1:9" x14ac:dyDescent="0.3">
      <c r="A124" s="8" t="s">
        <v>155</v>
      </c>
      <c r="B124" s="7">
        <v>46096</v>
      </c>
      <c r="C124" s="6" t="s">
        <v>19</v>
      </c>
      <c r="D124" s="6" t="s">
        <v>33</v>
      </c>
      <c r="E124" s="6" t="s">
        <v>44</v>
      </c>
      <c r="F124" s="6" t="s">
        <v>28</v>
      </c>
      <c r="G124" s="6" t="s">
        <v>14</v>
      </c>
      <c r="H124" s="6" t="s">
        <v>14</v>
      </c>
      <c r="I124" s="9">
        <v>34700</v>
      </c>
    </row>
    <row r="125" spans="1:9" x14ac:dyDescent="0.3">
      <c r="A125" s="8" t="s">
        <v>156</v>
      </c>
      <c r="B125" s="7">
        <v>46097</v>
      </c>
      <c r="C125" s="6" t="s">
        <v>10</v>
      </c>
      <c r="D125" s="6" t="s">
        <v>33</v>
      </c>
      <c r="E125" s="6" t="s">
        <v>34</v>
      </c>
      <c r="F125" s="6" t="s">
        <v>17</v>
      </c>
      <c r="G125" s="6" t="s">
        <v>14</v>
      </c>
      <c r="H125" s="6" t="s">
        <v>14</v>
      </c>
      <c r="I125" s="9">
        <v>46698</v>
      </c>
    </row>
    <row r="126" spans="1:9" x14ac:dyDescent="0.3">
      <c r="A126" s="8" t="s">
        <v>157</v>
      </c>
      <c r="B126" s="7">
        <v>46097</v>
      </c>
      <c r="C126" s="6" t="s">
        <v>10</v>
      </c>
      <c r="D126" s="6" t="s">
        <v>11</v>
      </c>
      <c r="E126" s="6" t="s">
        <v>27</v>
      </c>
      <c r="F126" s="6" t="s">
        <v>25</v>
      </c>
      <c r="G126" s="6" t="s">
        <v>14</v>
      </c>
      <c r="H126" s="6" t="s">
        <v>14</v>
      </c>
      <c r="I126" s="9">
        <v>54642</v>
      </c>
    </row>
    <row r="127" spans="1:9" x14ac:dyDescent="0.3">
      <c r="A127" s="8" t="s">
        <v>158</v>
      </c>
      <c r="B127" s="7">
        <v>46097</v>
      </c>
      <c r="C127" s="6" t="s">
        <v>10</v>
      </c>
      <c r="D127" s="6" t="s">
        <v>20</v>
      </c>
      <c r="E127" s="6" t="s">
        <v>21</v>
      </c>
      <c r="F127" s="6" t="s">
        <v>13</v>
      </c>
      <c r="G127" s="6" t="s">
        <v>14</v>
      </c>
      <c r="H127" s="6" t="s">
        <v>14</v>
      </c>
      <c r="I127" s="9">
        <v>16611</v>
      </c>
    </row>
    <row r="128" spans="1:9" x14ac:dyDescent="0.3">
      <c r="A128" s="8" t="s">
        <v>159</v>
      </c>
      <c r="B128" s="7">
        <v>46097</v>
      </c>
      <c r="C128" s="6" t="s">
        <v>19</v>
      </c>
      <c r="D128" s="6" t="s">
        <v>33</v>
      </c>
      <c r="E128" s="6" t="s">
        <v>36</v>
      </c>
      <c r="F128" s="6" t="s">
        <v>22</v>
      </c>
      <c r="G128" s="6" t="s">
        <v>14</v>
      </c>
      <c r="H128" s="6" t="s">
        <v>14</v>
      </c>
      <c r="I128" s="9">
        <v>47547</v>
      </c>
    </row>
    <row r="129" spans="1:9" x14ac:dyDescent="0.3">
      <c r="A129" s="8" t="s">
        <v>160</v>
      </c>
      <c r="B129" s="7">
        <v>46098</v>
      </c>
      <c r="C129" s="6" t="s">
        <v>10</v>
      </c>
      <c r="D129" s="6" t="s">
        <v>20</v>
      </c>
      <c r="E129" s="6" t="s">
        <v>52</v>
      </c>
      <c r="F129" s="6" t="s">
        <v>17</v>
      </c>
      <c r="G129" s="6" t="s">
        <v>14</v>
      </c>
      <c r="H129" s="6" t="s">
        <v>14</v>
      </c>
      <c r="I129" s="9">
        <v>68661</v>
      </c>
    </row>
    <row r="130" spans="1:9" x14ac:dyDescent="0.3">
      <c r="A130" s="8" t="s">
        <v>161</v>
      </c>
      <c r="B130" s="7">
        <v>46098</v>
      </c>
      <c r="C130" s="6" t="s">
        <v>19</v>
      </c>
      <c r="D130" s="6" t="s">
        <v>33</v>
      </c>
      <c r="E130" s="6" t="s">
        <v>34</v>
      </c>
      <c r="F130" s="6" t="s">
        <v>25</v>
      </c>
      <c r="G130" s="6" t="s">
        <v>14</v>
      </c>
      <c r="H130" s="6" t="s">
        <v>14</v>
      </c>
      <c r="I130" s="9">
        <v>41189</v>
      </c>
    </row>
    <row r="131" spans="1:9" x14ac:dyDescent="0.3">
      <c r="A131" s="8" t="s">
        <v>162</v>
      </c>
      <c r="B131" s="7">
        <v>46098</v>
      </c>
      <c r="C131" s="6" t="s">
        <v>19</v>
      </c>
      <c r="D131" s="6" t="s">
        <v>11</v>
      </c>
      <c r="E131" s="6" t="s">
        <v>16</v>
      </c>
      <c r="F131" s="6" t="s">
        <v>25</v>
      </c>
      <c r="G131" s="6" t="s">
        <v>14</v>
      </c>
      <c r="H131" s="6" t="s">
        <v>14</v>
      </c>
      <c r="I131" s="9">
        <v>71399</v>
      </c>
    </row>
    <row r="132" spans="1:9" x14ac:dyDescent="0.3">
      <c r="A132" s="8" t="s">
        <v>163</v>
      </c>
      <c r="B132" s="7">
        <v>46098</v>
      </c>
      <c r="C132" s="6" t="s">
        <v>19</v>
      </c>
      <c r="D132" s="6" t="s">
        <v>20</v>
      </c>
      <c r="E132" s="6" t="s">
        <v>30</v>
      </c>
      <c r="F132" s="6" t="s">
        <v>25</v>
      </c>
      <c r="G132" s="6" t="s">
        <v>14</v>
      </c>
      <c r="H132" s="6" t="s">
        <v>14</v>
      </c>
      <c r="I132" s="9">
        <v>12117</v>
      </c>
    </row>
    <row r="133" spans="1:9" x14ac:dyDescent="0.3">
      <c r="A133" s="8" t="s">
        <v>164</v>
      </c>
      <c r="B133" s="7">
        <v>46099</v>
      </c>
      <c r="C133" s="6" t="s">
        <v>10</v>
      </c>
      <c r="D133" s="6" t="s">
        <v>11</v>
      </c>
      <c r="E133" s="6" t="s">
        <v>16</v>
      </c>
      <c r="F133" s="6" t="s">
        <v>17</v>
      </c>
      <c r="G133" s="6" t="s">
        <v>14</v>
      </c>
      <c r="H133" s="6" t="s">
        <v>14</v>
      </c>
      <c r="I133" s="9">
        <v>48631</v>
      </c>
    </row>
    <row r="134" spans="1:9" x14ac:dyDescent="0.3">
      <c r="A134" s="8" t="s">
        <v>165</v>
      </c>
      <c r="B134" s="7">
        <v>46100</v>
      </c>
      <c r="C134" s="6" t="s">
        <v>10</v>
      </c>
      <c r="D134" s="6" t="s">
        <v>14</v>
      </c>
      <c r="E134" s="6" t="s">
        <v>47</v>
      </c>
      <c r="F134" s="6" t="s">
        <v>25</v>
      </c>
      <c r="G134" s="6" t="s">
        <v>14</v>
      </c>
      <c r="H134" s="6" t="s">
        <v>14</v>
      </c>
      <c r="I134" s="9">
        <v>17258</v>
      </c>
    </row>
    <row r="135" spans="1:9" x14ac:dyDescent="0.3">
      <c r="A135" s="8" t="s">
        <v>166</v>
      </c>
      <c r="B135" s="7">
        <v>46100</v>
      </c>
      <c r="C135" s="6" t="s">
        <v>19</v>
      </c>
      <c r="D135" s="6" t="s">
        <v>14</v>
      </c>
      <c r="E135" s="6" t="s">
        <v>40</v>
      </c>
      <c r="F135" s="6" t="s">
        <v>25</v>
      </c>
      <c r="G135" s="6" t="s">
        <v>14</v>
      </c>
      <c r="H135" s="6" t="s">
        <v>14</v>
      </c>
      <c r="I135" s="9">
        <v>84936</v>
      </c>
    </row>
    <row r="136" spans="1:9" x14ac:dyDescent="0.3">
      <c r="A136" s="8" t="s">
        <v>167</v>
      </c>
      <c r="B136" s="7">
        <v>46100</v>
      </c>
      <c r="C136" s="6" t="s">
        <v>19</v>
      </c>
      <c r="D136" s="6" t="s">
        <v>14</v>
      </c>
      <c r="E136" s="6" t="s">
        <v>47</v>
      </c>
      <c r="F136" s="6" t="s">
        <v>25</v>
      </c>
      <c r="G136" s="6" t="s">
        <v>14</v>
      </c>
      <c r="H136" s="6" t="s">
        <v>14</v>
      </c>
      <c r="I136" s="9">
        <v>66693</v>
      </c>
    </row>
    <row r="137" spans="1:9" x14ac:dyDescent="0.3">
      <c r="A137" s="8" t="s">
        <v>168</v>
      </c>
      <c r="B137" s="7">
        <v>46102</v>
      </c>
      <c r="C137" s="6" t="s">
        <v>10</v>
      </c>
      <c r="D137" s="6" t="s">
        <v>14</v>
      </c>
      <c r="E137" s="6" t="s">
        <v>24</v>
      </c>
      <c r="F137" s="6" t="s">
        <v>13</v>
      </c>
      <c r="G137" s="6" t="s">
        <v>14</v>
      </c>
      <c r="H137" s="6" t="s">
        <v>14</v>
      </c>
      <c r="I137" s="9">
        <v>79221</v>
      </c>
    </row>
    <row r="138" spans="1:9" x14ac:dyDescent="0.3">
      <c r="A138" s="8" t="s">
        <v>169</v>
      </c>
      <c r="B138" s="7">
        <v>46102</v>
      </c>
      <c r="C138" s="6" t="s">
        <v>19</v>
      </c>
      <c r="D138" s="6" t="s">
        <v>11</v>
      </c>
      <c r="E138" s="6" t="s">
        <v>27</v>
      </c>
      <c r="F138" s="6" t="s">
        <v>22</v>
      </c>
      <c r="G138" s="6" t="s">
        <v>14</v>
      </c>
      <c r="H138" s="6" t="s">
        <v>14</v>
      </c>
      <c r="I138" s="9">
        <v>13252</v>
      </c>
    </row>
    <row r="139" spans="1:9" x14ac:dyDescent="0.3">
      <c r="A139" s="8" t="s">
        <v>170</v>
      </c>
      <c r="B139" s="7">
        <v>46103</v>
      </c>
      <c r="C139" s="6" t="s">
        <v>10</v>
      </c>
      <c r="D139" s="6" t="s">
        <v>11</v>
      </c>
      <c r="E139" s="6" t="s">
        <v>12</v>
      </c>
      <c r="F139" s="6" t="s">
        <v>25</v>
      </c>
      <c r="G139" s="6" t="s">
        <v>14</v>
      </c>
      <c r="H139" s="6" t="s">
        <v>14</v>
      </c>
      <c r="I139" s="9">
        <v>52818</v>
      </c>
    </row>
    <row r="140" spans="1:9" x14ac:dyDescent="0.3">
      <c r="A140" s="8" t="s">
        <v>171</v>
      </c>
      <c r="B140" s="7">
        <v>46103</v>
      </c>
      <c r="C140" s="6" t="s">
        <v>10</v>
      </c>
      <c r="D140" s="6" t="s">
        <v>20</v>
      </c>
      <c r="E140" s="6" t="s">
        <v>52</v>
      </c>
      <c r="F140" s="6" t="s">
        <v>25</v>
      </c>
      <c r="G140" s="6" t="s">
        <v>14</v>
      </c>
      <c r="H140" s="6" t="s">
        <v>14</v>
      </c>
      <c r="I140" s="9">
        <v>65006</v>
      </c>
    </row>
    <row r="141" spans="1:9" x14ac:dyDescent="0.3">
      <c r="A141" s="8" t="s">
        <v>172</v>
      </c>
      <c r="B141" s="7">
        <v>46105</v>
      </c>
      <c r="C141" s="6" t="s">
        <v>10</v>
      </c>
      <c r="D141" s="6" t="s">
        <v>33</v>
      </c>
      <c r="E141" s="6" t="s">
        <v>36</v>
      </c>
      <c r="F141" s="6" t="s">
        <v>25</v>
      </c>
      <c r="G141" s="6" t="s">
        <v>14</v>
      </c>
      <c r="H141" s="6" t="s">
        <v>14</v>
      </c>
      <c r="I141" s="9">
        <v>73087</v>
      </c>
    </row>
    <row r="142" spans="1:9" x14ac:dyDescent="0.3">
      <c r="A142" s="8" t="s">
        <v>173</v>
      </c>
      <c r="B142" s="7">
        <v>46105</v>
      </c>
      <c r="C142" s="6" t="s">
        <v>10</v>
      </c>
      <c r="D142" s="6" t="s">
        <v>11</v>
      </c>
      <c r="E142" s="6" t="s">
        <v>27</v>
      </c>
      <c r="F142" s="6" t="s">
        <v>31</v>
      </c>
      <c r="G142" s="6" t="s">
        <v>14</v>
      </c>
      <c r="H142" s="6" t="s">
        <v>14</v>
      </c>
      <c r="I142" s="9">
        <v>16499</v>
      </c>
    </row>
    <row r="143" spans="1:9" x14ac:dyDescent="0.3">
      <c r="A143" s="8" t="s">
        <v>174</v>
      </c>
      <c r="B143" s="7">
        <v>46105</v>
      </c>
      <c r="C143" s="6" t="s">
        <v>10</v>
      </c>
      <c r="D143" s="6" t="s">
        <v>20</v>
      </c>
      <c r="E143" s="6" t="s">
        <v>21</v>
      </c>
      <c r="F143" s="6" t="s">
        <v>17</v>
      </c>
      <c r="G143" s="6" t="s">
        <v>14</v>
      </c>
      <c r="H143" s="6" t="s">
        <v>14</v>
      </c>
      <c r="I143" s="9">
        <v>72160</v>
      </c>
    </row>
    <row r="144" spans="1:9" x14ac:dyDescent="0.3">
      <c r="A144" s="8" t="s">
        <v>175</v>
      </c>
      <c r="B144" s="7">
        <v>46105</v>
      </c>
      <c r="C144" s="6" t="s">
        <v>19</v>
      </c>
      <c r="D144" s="6" t="s">
        <v>11</v>
      </c>
      <c r="E144" s="6" t="s">
        <v>16</v>
      </c>
      <c r="F144" s="6" t="s">
        <v>17</v>
      </c>
      <c r="G144" s="6" t="s">
        <v>14</v>
      </c>
      <c r="H144" s="6" t="s">
        <v>14</v>
      </c>
      <c r="I144" s="9">
        <v>12302</v>
      </c>
    </row>
    <row r="145" spans="1:9" x14ac:dyDescent="0.3">
      <c r="A145" s="8" t="s">
        <v>176</v>
      </c>
      <c r="B145" s="7">
        <v>46106</v>
      </c>
      <c r="C145" s="6" t="s">
        <v>19</v>
      </c>
      <c r="D145" s="6" t="s">
        <v>11</v>
      </c>
      <c r="E145" s="6" t="s">
        <v>12</v>
      </c>
      <c r="F145" s="6" t="s">
        <v>25</v>
      </c>
      <c r="G145" s="6" t="s">
        <v>14</v>
      </c>
      <c r="H145" s="6" t="s">
        <v>14</v>
      </c>
      <c r="I145" s="9">
        <v>18254</v>
      </c>
    </row>
    <row r="146" spans="1:9" x14ac:dyDescent="0.3">
      <c r="A146" s="8" t="s">
        <v>177</v>
      </c>
      <c r="B146" s="7">
        <v>46113</v>
      </c>
      <c r="C146" s="6" t="s">
        <v>10</v>
      </c>
      <c r="D146" s="6" t="s">
        <v>11</v>
      </c>
      <c r="E146" s="6" t="s">
        <v>12</v>
      </c>
      <c r="F146" s="6" t="s">
        <v>22</v>
      </c>
      <c r="G146" s="6" t="s">
        <v>14</v>
      </c>
      <c r="H146" s="6" t="s">
        <v>14</v>
      </c>
      <c r="I146" s="9">
        <v>51790</v>
      </c>
    </row>
    <row r="147" spans="1:9" x14ac:dyDescent="0.3">
      <c r="A147" s="8" t="s">
        <v>178</v>
      </c>
      <c r="B147" s="7">
        <v>46113</v>
      </c>
      <c r="C147" s="6" t="s">
        <v>19</v>
      </c>
      <c r="D147" s="6" t="s">
        <v>14</v>
      </c>
      <c r="E147" s="6" t="s">
        <v>47</v>
      </c>
      <c r="F147" s="6" t="s">
        <v>17</v>
      </c>
      <c r="G147" s="6" t="s">
        <v>14</v>
      </c>
      <c r="H147" s="6" t="s">
        <v>14</v>
      </c>
      <c r="I147" s="9">
        <v>54348</v>
      </c>
    </row>
    <row r="148" spans="1:9" x14ac:dyDescent="0.3">
      <c r="A148" s="8" t="s">
        <v>179</v>
      </c>
      <c r="B148" s="7">
        <v>46114</v>
      </c>
      <c r="C148" s="6" t="s">
        <v>10</v>
      </c>
      <c r="D148" s="6" t="s">
        <v>33</v>
      </c>
      <c r="E148" s="6" t="s">
        <v>44</v>
      </c>
      <c r="F148" s="6" t="s">
        <v>25</v>
      </c>
      <c r="G148" s="6" t="s">
        <v>14</v>
      </c>
      <c r="H148" s="6" t="s">
        <v>14</v>
      </c>
      <c r="I148" s="9">
        <v>34299</v>
      </c>
    </row>
    <row r="149" spans="1:9" x14ac:dyDescent="0.3">
      <c r="A149" s="8" t="s">
        <v>180</v>
      </c>
      <c r="B149" s="7">
        <v>46114</v>
      </c>
      <c r="C149" s="6" t="s">
        <v>10</v>
      </c>
      <c r="D149" s="6" t="s">
        <v>11</v>
      </c>
      <c r="E149" s="6" t="s">
        <v>12</v>
      </c>
      <c r="F149" s="6" t="s">
        <v>28</v>
      </c>
      <c r="G149" s="6" t="s">
        <v>14</v>
      </c>
      <c r="H149" s="6" t="s">
        <v>14</v>
      </c>
      <c r="I149" s="9">
        <v>17895</v>
      </c>
    </row>
    <row r="150" spans="1:9" x14ac:dyDescent="0.3">
      <c r="A150" s="8" t="s">
        <v>181</v>
      </c>
      <c r="B150" s="7">
        <v>46114</v>
      </c>
      <c r="C150" s="6" t="s">
        <v>10</v>
      </c>
      <c r="D150" s="6" t="s">
        <v>11</v>
      </c>
      <c r="E150" s="6" t="s">
        <v>16</v>
      </c>
      <c r="F150" s="6" t="s">
        <v>25</v>
      </c>
      <c r="G150" s="6" t="s">
        <v>14</v>
      </c>
      <c r="H150" s="6" t="s">
        <v>14</v>
      </c>
      <c r="I150" s="9">
        <v>22729</v>
      </c>
    </row>
    <row r="151" spans="1:9" x14ac:dyDescent="0.3">
      <c r="A151" s="8" t="s">
        <v>182</v>
      </c>
      <c r="B151" s="7">
        <v>46115</v>
      </c>
      <c r="C151" s="6" t="s">
        <v>19</v>
      </c>
      <c r="D151" s="6" t="s">
        <v>14</v>
      </c>
      <c r="E151" s="6" t="s">
        <v>24</v>
      </c>
      <c r="F151" s="6" t="s">
        <v>13</v>
      </c>
      <c r="G151" s="6" t="s">
        <v>14</v>
      </c>
      <c r="H151" s="6" t="s">
        <v>14</v>
      </c>
      <c r="I151" s="9">
        <v>59295</v>
      </c>
    </row>
    <row r="152" spans="1:9" x14ac:dyDescent="0.3">
      <c r="A152" s="8" t="s">
        <v>183</v>
      </c>
      <c r="B152" s="7">
        <v>46115</v>
      </c>
      <c r="C152" s="6" t="s">
        <v>19</v>
      </c>
      <c r="D152" s="6" t="s">
        <v>33</v>
      </c>
      <c r="E152" s="6" t="s">
        <v>36</v>
      </c>
      <c r="F152" s="6" t="s">
        <v>25</v>
      </c>
      <c r="G152" s="6" t="s">
        <v>14</v>
      </c>
      <c r="H152" s="6" t="s">
        <v>14</v>
      </c>
      <c r="I152" s="9">
        <v>46349</v>
      </c>
    </row>
    <row r="153" spans="1:9" x14ac:dyDescent="0.3">
      <c r="A153" s="8" t="s">
        <v>184</v>
      </c>
      <c r="B153" s="7">
        <v>46115</v>
      </c>
      <c r="C153" s="6" t="s">
        <v>19</v>
      </c>
      <c r="D153" s="6" t="s">
        <v>11</v>
      </c>
      <c r="E153" s="6" t="s">
        <v>12</v>
      </c>
      <c r="F153" s="6" t="s">
        <v>25</v>
      </c>
      <c r="G153" s="6" t="s">
        <v>14</v>
      </c>
      <c r="H153" s="6" t="s">
        <v>14</v>
      </c>
      <c r="I153" s="9">
        <v>53240</v>
      </c>
    </row>
    <row r="154" spans="1:9" x14ac:dyDescent="0.3">
      <c r="A154" s="8" t="s">
        <v>185</v>
      </c>
      <c r="B154" s="7">
        <v>46115</v>
      </c>
      <c r="C154" s="6" t="s">
        <v>19</v>
      </c>
      <c r="D154" s="6" t="s">
        <v>20</v>
      </c>
      <c r="E154" s="6" t="s">
        <v>21</v>
      </c>
      <c r="F154" s="6" t="s">
        <v>25</v>
      </c>
      <c r="G154" s="6" t="s">
        <v>14</v>
      </c>
      <c r="H154" s="6" t="s">
        <v>14</v>
      </c>
      <c r="I154" s="9">
        <v>38614</v>
      </c>
    </row>
    <row r="155" spans="1:9" x14ac:dyDescent="0.3">
      <c r="A155" s="8" t="s">
        <v>186</v>
      </c>
      <c r="B155" s="7">
        <v>46116</v>
      </c>
      <c r="C155" s="6" t="s">
        <v>10</v>
      </c>
      <c r="D155" s="6" t="s">
        <v>33</v>
      </c>
      <c r="E155" s="6" t="s">
        <v>34</v>
      </c>
      <c r="F155" s="6" t="s">
        <v>13</v>
      </c>
      <c r="G155" s="6" t="s">
        <v>14</v>
      </c>
      <c r="H155" s="6" t="s">
        <v>14</v>
      </c>
      <c r="I155" s="9">
        <v>61811</v>
      </c>
    </row>
    <row r="156" spans="1:9" x14ac:dyDescent="0.3">
      <c r="A156" s="8" t="s">
        <v>187</v>
      </c>
      <c r="B156" s="7">
        <v>46116</v>
      </c>
      <c r="C156" s="6" t="s">
        <v>10</v>
      </c>
      <c r="D156" s="6" t="s">
        <v>11</v>
      </c>
      <c r="E156" s="6" t="s">
        <v>27</v>
      </c>
      <c r="F156" s="6" t="s">
        <v>31</v>
      </c>
      <c r="G156" s="6" t="s">
        <v>14</v>
      </c>
      <c r="H156" s="6" t="s">
        <v>14</v>
      </c>
      <c r="I156" s="9">
        <v>44711</v>
      </c>
    </row>
    <row r="157" spans="1:9" x14ac:dyDescent="0.3">
      <c r="A157" s="8" t="s">
        <v>188</v>
      </c>
      <c r="B157" s="7">
        <v>46116</v>
      </c>
      <c r="C157" s="6" t="s">
        <v>19</v>
      </c>
      <c r="D157" s="6" t="s">
        <v>11</v>
      </c>
      <c r="E157" s="6" t="s">
        <v>12</v>
      </c>
      <c r="F157" s="6" t="s">
        <v>25</v>
      </c>
      <c r="G157" s="6" t="s">
        <v>14</v>
      </c>
      <c r="H157" s="6" t="s">
        <v>14</v>
      </c>
      <c r="I157" s="9">
        <v>36071</v>
      </c>
    </row>
    <row r="158" spans="1:9" x14ac:dyDescent="0.3">
      <c r="A158" s="8" t="s">
        <v>189</v>
      </c>
      <c r="B158" s="7">
        <v>46117</v>
      </c>
      <c r="C158" s="6" t="s">
        <v>19</v>
      </c>
      <c r="D158" s="6" t="s">
        <v>14</v>
      </c>
      <c r="E158" s="6" t="s">
        <v>24</v>
      </c>
      <c r="F158" s="6" t="s">
        <v>22</v>
      </c>
      <c r="G158" s="6" t="s">
        <v>14</v>
      </c>
      <c r="H158" s="6" t="s">
        <v>14</v>
      </c>
      <c r="I158" s="9">
        <v>56425</v>
      </c>
    </row>
    <row r="159" spans="1:9" x14ac:dyDescent="0.3">
      <c r="A159" s="8" t="s">
        <v>190</v>
      </c>
      <c r="B159" s="7">
        <v>46117</v>
      </c>
      <c r="C159" s="6" t="s">
        <v>19</v>
      </c>
      <c r="D159" s="6" t="s">
        <v>33</v>
      </c>
      <c r="E159" s="6" t="s">
        <v>34</v>
      </c>
      <c r="F159" s="6" t="s">
        <v>28</v>
      </c>
      <c r="G159" s="6" t="s">
        <v>14</v>
      </c>
      <c r="H159" s="6" t="s">
        <v>14</v>
      </c>
      <c r="I159" s="9">
        <v>35574</v>
      </c>
    </row>
    <row r="160" spans="1:9" x14ac:dyDescent="0.3">
      <c r="A160" s="8" t="s">
        <v>191</v>
      </c>
      <c r="B160" s="7">
        <v>46118</v>
      </c>
      <c r="C160" s="6" t="s">
        <v>19</v>
      </c>
      <c r="D160" s="6" t="s">
        <v>20</v>
      </c>
      <c r="E160" s="6" t="s">
        <v>52</v>
      </c>
      <c r="F160" s="6" t="s">
        <v>22</v>
      </c>
      <c r="G160" s="6" t="s">
        <v>14</v>
      </c>
      <c r="H160" s="6" t="s">
        <v>14</v>
      </c>
      <c r="I160" s="9">
        <v>72004</v>
      </c>
    </row>
    <row r="161" spans="1:9" x14ac:dyDescent="0.3">
      <c r="A161" s="8" t="s">
        <v>192</v>
      </c>
      <c r="B161" s="7">
        <v>46119</v>
      </c>
      <c r="C161" s="6" t="s">
        <v>10</v>
      </c>
      <c r="D161" s="6" t="s">
        <v>14</v>
      </c>
      <c r="E161" s="6" t="s">
        <v>47</v>
      </c>
      <c r="F161" s="6" t="s">
        <v>22</v>
      </c>
      <c r="G161" s="6" t="s">
        <v>14</v>
      </c>
      <c r="H161" s="6" t="s">
        <v>14</v>
      </c>
      <c r="I161" s="9">
        <v>64251</v>
      </c>
    </row>
    <row r="162" spans="1:9" x14ac:dyDescent="0.3">
      <c r="A162" s="8" t="s">
        <v>193</v>
      </c>
      <c r="B162" s="7">
        <v>46119</v>
      </c>
      <c r="C162" s="6" t="s">
        <v>10</v>
      </c>
      <c r="D162" s="6" t="s">
        <v>33</v>
      </c>
      <c r="E162" s="6" t="s">
        <v>36</v>
      </c>
      <c r="F162" s="6" t="s">
        <v>25</v>
      </c>
      <c r="G162" s="6" t="s">
        <v>14</v>
      </c>
      <c r="H162" s="6" t="s">
        <v>14</v>
      </c>
      <c r="I162" s="9">
        <v>64733</v>
      </c>
    </row>
    <row r="163" spans="1:9" x14ac:dyDescent="0.3">
      <c r="A163" s="8" t="s">
        <v>194</v>
      </c>
      <c r="B163" s="7">
        <v>46119</v>
      </c>
      <c r="C163" s="6" t="s">
        <v>19</v>
      </c>
      <c r="D163" s="6" t="s">
        <v>14</v>
      </c>
      <c r="E163" s="6" t="s">
        <v>47</v>
      </c>
      <c r="F163" s="6" t="s">
        <v>31</v>
      </c>
      <c r="G163" s="6" t="s">
        <v>14</v>
      </c>
      <c r="H163" s="6" t="s">
        <v>14</v>
      </c>
      <c r="I163" s="9">
        <v>69854</v>
      </c>
    </row>
    <row r="164" spans="1:9" x14ac:dyDescent="0.3">
      <c r="A164" s="8" t="s">
        <v>195</v>
      </c>
      <c r="B164" s="7">
        <v>46120</v>
      </c>
      <c r="C164" s="6" t="s">
        <v>19</v>
      </c>
      <c r="D164" s="6" t="s">
        <v>20</v>
      </c>
      <c r="E164" s="6" t="s">
        <v>30</v>
      </c>
      <c r="F164" s="6" t="s">
        <v>13</v>
      </c>
      <c r="G164" s="6" t="s">
        <v>14</v>
      </c>
      <c r="H164" s="6" t="s">
        <v>14</v>
      </c>
      <c r="I164" s="9">
        <v>22954</v>
      </c>
    </row>
    <row r="165" spans="1:9" x14ac:dyDescent="0.3">
      <c r="A165" s="8" t="s">
        <v>196</v>
      </c>
      <c r="B165" s="7">
        <v>46121</v>
      </c>
      <c r="C165" s="6" t="s">
        <v>19</v>
      </c>
      <c r="D165" s="6" t="s">
        <v>33</v>
      </c>
      <c r="E165" s="6" t="s">
        <v>44</v>
      </c>
      <c r="F165" s="6" t="s">
        <v>25</v>
      </c>
      <c r="G165" s="6" t="s">
        <v>14</v>
      </c>
      <c r="H165" s="6" t="s">
        <v>14</v>
      </c>
      <c r="I165" s="9">
        <v>83726</v>
      </c>
    </row>
    <row r="166" spans="1:9" x14ac:dyDescent="0.3">
      <c r="A166" s="8" t="s">
        <v>197</v>
      </c>
      <c r="B166" s="7">
        <v>46122</v>
      </c>
      <c r="C166" s="6" t="s">
        <v>10</v>
      </c>
      <c r="D166" s="6" t="s">
        <v>14</v>
      </c>
      <c r="E166" s="6" t="s">
        <v>24</v>
      </c>
      <c r="F166" s="6" t="s">
        <v>17</v>
      </c>
      <c r="G166" s="6" t="s">
        <v>14</v>
      </c>
      <c r="H166" s="6" t="s">
        <v>14</v>
      </c>
      <c r="I166" s="9">
        <v>37658</v>
      </c>
    </row>
    <row r="167" spans="1:9" x14ac:dyDescent="0.3">
      <c r="A167" s="8" t="s">
        <v>198</v>
      </c>
      <c r="B167" s="7">
        <v>46122</v>
      </c>
      <c r="C167" s="6" t="s">
        <v>10</v>
      </c>
      <c r="D167" s="6" t="s">
        <v>14</v>
      </c>
      <c r="E167" s="6" t="s">
        <v>47</v>
      </c>
      <c r="F167" s="6" t="s">
        <v>13</v>
      </c>
      <c r="G167" s="6" t="s">
        <v>14</v>
      </c>
      <c r="H167" s="6" t="s">
        <v>14</v>
      </c>
      <c r="I167" s="9">
        <v>50660</v>
      </c>
    </row>
    <row r="168" spans="1:9" x14ac:dyDescent="0.3">
      <c r="A168" s="8" t="s">
        <v>199</v>
      </c>
      <c r="B168" s="7">
        <v>46122</v>
      </c>
      <c r="C168" s="6" t="s">
        <v>19</v>
      </c>
      <c r="D168" s="6" t="s">
        <v>33</v>
      </c>
      <c r="E168" s="6" t="s">
        <v>34</v>
      </c>
      <c r="F168" s="6" t="s">
        <v>13</v>
      </c>
      <c r="G168" s="6" t="s">
        <v>14</v>
      </c>
      <c r="H168" s="6" t="s">
        <v>14</v>
      </c>
      <c r="I168" s="9">
        <v>16809</v>
      </c>
    </row>
    <row r="169" spans="1:9" x14ac:dyDescent="0.3">
      <c r="A169" s="8" t="s">
        <v>200</v>
      </c>
      <c r="B169" s="7">
        <v>46124</v>
      </c>
      <c r="C169" s="6" t="s">
        <v>10</v>
      </c>
      <c r="D169" s="6" t="s">
        <v>14</v>
      </c>
      <c r="E169" s="6" t="s">
        <v>40</v>
      </c>
      <c r="F169" s="6" t="s">
        <v>25</v>
      </c>
      <c r="G169" s="6" t="s">
        <v>14</v>
      </c>
      <c r="H169" s="6" t="s">
        <v>14</v>
      </c>
      <c r="I169" s="9">
        <v>84409</v>
      </c>
    </row>
    <row r="170" spans="1:9" x14ac:dyDescent="0.3">
      <c r="A170" s="8" t="s">
        <v>201</v>
      </c>
      <c r="B170" s="7">
        <v>46124</v>
      </c>
      <c r="C170" s="6" t="s">
        <v>10</v>
      </c>
      <c r="D170" s="6" t="s">
        <v>20</v>
      </c>
      <c r="E170" s="6" t="s">
        <v>52</v>
      </c>
      <c r="F170" s="6" t="s">
        <v>17</v>
      </c>
      <c r="G170" s="6" t="s">
        <v>14</v>
      </c>
      <c r="H170" s="6" t="s">
        <v>14</v>
      </c>
      <c r="I170" s="9">
        <v>31508</v>
      </c>
    </row>
    <row r="171" spans="1:9" x14ac:dyDescent="0.3">
      <c r="A171" s="8" t="s">
        <v>202</v>
      </c>
      <c r="B171" s="7">
        <v>46124</v>
      </c>
      <c r="C171" s="6" t="s">
        <v>19</v>
      </c>
      <c r="D171" s="6" t="s">
        <v>20</v>
      </c>
      <c r="E171" s="6" t="s">
        <v>21</v>
      </c>
      <c r="F171" s="6" t="s">
        <v>22</v>
      </c>
      <c r="G171" s="6" t="s">
        <v>14</v>
      </c>
      <c r="H171" s="6" t="s">
        <v>14</v>
      </c>
      <c r="I171" s="9">
        <v>24219</v>
      </c>
    </row>
    <row r="172" spans="1:9" x14ac:dyDescent="0.3">
      <c r="A172" s="8" t="s">
        <v>203</v>
      </c>
      <c r="B172" s="7">
        <v>46125</v>
      </c>
      <c r="C172" s="6" t="s">
        <v>10</v>
      </c>
      <c r="D172" s="6" t="s">
        <v>33</v>
      </c>
      <c r="E172" s="6" t="s">
        <v>44</v>
      </c>
      <c r="F172" s="6" t="s">
        <v>17</v>
      </c>
      <c r="G172" s="6" t="s">
        <v>14</v>
      </c>
      <c r="H172" s="6" t="s">
        <v>14</v>
      </c>
      <c r="I172" s="9">
        <v>45827</v>
      </c>
    </row>
    <row r="173" spans="1:9" x14ac:dyDescent="0.3">
      <c r="A173" s="8" t="s">
        <v>204</v>
      </c>
      <c r="B173" s="7">
        <v>46125</v>
      </c>
      <c r="C173" s="6" t="s">
        <v>10</v>
      </c>
      <c r="D173" s="6" t="s">
        <v>20</v>
      </c>
      <c r="E173" s="6" t="s">
        <v>52</v>
      </c>
      <c r="F173" s="6" t="s">
        <v>28</v>
      </c>
      <c r="G173" s="6" t="s">
        <v>14</v>
      </c>
      <c r="H173" s="6" t="s">
        <v>14</v>
      </c>
      <c r="I173" s="9">
        <v>66021</v>
      </c>
    </row>
    <row r="174" spans="1:9" x14ac:dyDescent="0.3">
      <c r="A174" s="8" t="s">
        <v>205</v>
      </c>
      <c r="B174" s="7">
        <v>46127</v>
      </c>
      <c r="C174" s="6" t="s">
        <v>19</v>
      </c>
      <c r="D174" s="6" t="s">
        <v>11</v>
      </c>
      <c r="E174" s="6" t="s">
        <v>27</v>
      </c>
      <c r="F174" s="6" t="s">
        <v>17</v>
      </c>
      <c r="G174" s="6" t="s">
        <v>14</v>
      </c>
      <c r="H174" s="6" t="s">
        <v>14</v>
      </c>
      <c r="I174" s="9">
        <v>18941</v>
      </c>
    </row>
    <row r="175" spans="1:9" x14ac:dyDescent="0.3">
      <c r="A175" s="8" t="s">
        <v>206</v>
      </c>
      <c r="B175" s="7">
        <v>46129</v>
      </c>
      <c r="C175" s="6" t="s">
        <v>10</v>
      </c>
      <c r="D175" s="6" t="s">
        <v>33</v>
      </c>
      <c r="E175" s="6" t="s">
        <v>36</v>
      </c>
      <c r="F175" s="6" t="s">
        <v>13</v>
      </c>
      <c r="G175" s="6" t="s">
        <v>14</v>
      </c>
      <c r="H175" s="6" t="s">
        <v>14</v>
      </c>
      <c r="I175" s="9">
        <v>66384</v>
      </c>
    </row>
    <row r="176" spans="1:9" x14ac:dyDescent="0.3">
      <c r="A176" s="8" t="s">
        <v>207</v>
      </c>
      <c r="B176" s="7">
        <v>46129</v>
      </c>
      <c r="C176" s="6" t="s">
        <v>10</v>
      </c>
      <c r="D176" s="6" t="s">
        <v>20</v>
      </c>
      <c r="E176" s="6" t="s">
        <v>21</v>
      </c>
      <c r="F176" s="6" t="s">
        <v>25</v>
      </c>
      <c r="G176" s="6" t="s">
        <v>14</v>
      </c>
      <c r="H176" s="6" t="s">
        <v>14</v>
      </c>
      <c r="I176" s="9">
        <v>42977</v>
      </c>
    </row>
    <row r="177" spans="1:9" x14ac:dyDescent="0.3">
      <c r="A177" s="8" t="s">
        <v>208</v>
      </c>
      <c r="B177" s="7">
        <v>46130</v>
      </c>
      <c r="C177" s="6" t="s">
        <v>19</v>
      </c>
      <c r="D177" s="6" t="s">
        <v>11</v>
      </c>
      <c r="E177" s="6" t="s">
        <v>27</v>
      </c>
      <c r="F177" s="6" t="s">
        <v>25</v>
      </c>
      <c r="G177" s="6" t="s">
        <v>14</v>
      </c>
      <c r="H177" s="6" t="s">
        <v>14</v>
      </c>
      <c r="I177" s="9">
        <v>18949</v>
      </c>
    </row>
    <row r="178" spans="1:9" x14ac:dyDescent="0.3">
      <c r="A178" s="8" t="s">
        <v>209</v>
      </c>
      <c r="B178" s="7">
        <v>46131</v>
      </c>
      <c r="C178" s="6" t="s">
        <v>10</v>
      </c>
      <c r="D178" s="6" t="s">
        <v>33</v>
      </c>
      <c r="E178" s="6" t="s">
        <v>34</v>
      </c>
      <c r="F178" s="6" t="s">
        <v>25</v>
      </c>
      <c r="G178" s="6" t="s">
        <v>14</v>
      </c>
      <c r="H178" s="6" t="s">
        <v>14</v>
      </c>
      <c r="I178" s="9">
        <v>46754</v>
      </c>
    </row>
    <row r="179" spans="1:9" x14ac:dyDescent="0.3">
      <c r="A179" s="8" t="s">
        <v>210</v>
      </c>
      <c r="B179" s="7">
        <v>46131</v>
      </c>
      <c r="C179" s="6" t="s">
        <v>10</v>
      </c>
      <c r="D179" s="6" t="s">
        <v>20</v>
      </c>
      <c r="E179" s="6" t="s">
        <v>30</v>
      </c>
      <c r="F179" s="6" t="s">
        <v>13</v>
      </c>
      <c r="G179" s="6" t="s">
        <v>14</v>
      </c>
      <c r="H179" s="6" t="s">
        <v>14</v>
      </c>
      <c r="I179" s="9">
        <v>79215</v>
      </c>
    </row>
    <row r="180" spans="1:9" x14ac:dyDescent="0.3">
      <c r="A180" s="8" t="s">
        <v>211</v>
      </c>
      <c r="B180" s="7">
        <v>46131</v>
      </c>
      <c r="C180" s="6" t="s">
        <v>19</v>
      </c>
      <c r="D180" s="6" t="s">
        <v>14</v>
      </c>
      <c r="E180" s="6" t="s">
        <v>40</v>
      </c>
      <c r="F180" s="6" t="s">
        <v>13</v>
      </c>
      <c r="G180" s="6" t="s">
        <v>14</v>
      </c>
      <c r="H180" s="6" t="s">
        <v>14</v>
      </c>
      <c r="I180" s="9">
        <v>44307</v>
      </c>
    </row>
    <row r="181" spans="1:9" x14ac:dyDescent="0.3">
      <c r="A181" s="8" t="s">
        <v>212</v>
      </c>
      <c r="B181" s="7">
        <v>46131</v>
      </c>
      <c r="C181" s="6" t="s">
        <v>19</v>
      </c>
      <c r="D181" s="6" t="s">
        <v>33</v>
      </c>
      <c r="E181" s="6" t="s">
        <v>36</v>
      </c>
      <c r="F181" s="6" t="s">
        <v>31</v>
      </c>
      <c r="G181" s="6" t="s">
        <v>14</v>
      </c>
      <c r="H181" s="6" t="s">
        <v>14</v>
      </c>
      <c r="I181" s="9">
        <v>17713</v>
      </c>
    </row>
    <row r="182" spans="1:9" x14ac:dyDescent="0.3">
      <c r="A182" s="8" t="s">
        <v>213</v>
      </c>
      <c r="B182" s="7">
        <v>46131</v>
      </c>
      <c r="C182" s="6" t="s">
        <v>19</v>
      </c>
      <c r="D182" s="6" t="s">
        <v>20</v>
      </c>
      <c r="E182" s="6" t="s">
        <v>52</v>
      </c>
      <c r="F182" s="6" t="s">
        <v>17</v>
      </c>
      <c r="G182" s="6" t="s">
        <v>14</v>
      </c>
      <c r="H182" s="6" t="s">
        <v>14</v>
      </c>
      <c r="I182" s="9">
        <v>35275</v>
      </c>
    </row>
    <row r="183" spans="1:9" x14ac:dyDescent="0.3">
      <c r="A183" s="8" t="s">
        <v>214</v>
      </c>
      <c r="B183" s="7">
        <v>46132</v>
      </c>
      <c r="C183" s="6" t="s">
        <v>10</v>
      </c>
      <c r="D183" s="6" t="s">
        <v>20</v>
      </c>
      <c r="E183" s="6" t="s">
        <v>21</v>
      </c>
      <c r="F183" s="6" t="s">
        <v>31</v>
      </c>
      <c r="G183" s="6" t="s">
        <v>14</v>
      </c>
      <c r="H183" s="6" t="s">
        <v>14</v>
      </c>
      <c r="I183" s="9">
        <v>72890</v>
      </c>
    </row>
    <row r="184" spans="1:9" x14ac:dyDescent="0.3">
      <c r="A184" s="8" t="s">
        <v>215</v>
      </c>
      <c r="B184" s="7">
        <v>46132</v>
      </c>
      <c r="C184" s="6" t="s">
        <v>19</v>
      </c>
      <c r="D184" s="6" t="s">
        <v>33</v>
      </c>
      <c r="E184" s="6" t="s">
        <v>44</v>
      </c>
      <c r="F184" s="6" t="s">
        <v>25</v>
      </c>
      <c r="G184" s="6" t="s">
        <v>14</v>
      </c>
      <c r="H184" s="6" t="s">
        <v>14</v>
      </c>
      <c r="I184" s="9">
        <v>42354</v>
      </c>
    </row>
    <row r="185" spans="1:9" x14ac:dyDescent="0.3">
      <c r="A185" s="8" t="s">
        <v>216</v>
      </c>
      <c r="B185" s="7">
        <v>46133</v>
      </c>
      <c r="C185" s="6" t="s">
        <v>19</v>
      </c>
      <c r="D185" s="6" t="s">
        <v>14</v>
      </c>
      <c r="E185" s="6" t="s">
        <v>40</v>
      </c>
      <c r="F185" s="6" t="s">
        <v>17</v>
      </c>
      <c r="G185" s="6" t="s">
        <v>14</v>
      </c>
      <c r="H185" s="6" t="s">
        <v>14</v>
      </c>
      <c r="I185" s="9">
        <v>20335</v>
      </c>
    </row>
    <row r="186" spans="1:9" x14ac:dyDescent="0.3">
      <c r="A186" s="8" t="s">
        <v>217</v>
      </c>
      <c r="B186" s="7">
        <v>46134</v>
      </c>
      <c r="C186" s="6" t="s">
        <v>10</v>
      </c>
      <c r="D186" s="6" t="s">
        <v>14</v>
      </c>
      <c r="E186" s="6" t="s">
        <v>40</v>
      </c>
      <c r="F186" s="6" t="s">
        <v>25</v>
      </c>
      <c r="G186" s="6" t="s">
        <v>14</v>
      </c>
      <c r="H186" s="6" t="s">
        <v>14</v>
      </c>
      <c r="I186" s="9">
        <v>64995</v>
      </c>
    </row>
    <row r="187" spans="1:9" x14ac:dyDescent="0.3">
      <c r="A187" s="8" t="s">
        <v>218</v>
      </c>
      <c r="B187" s="7">
        <v>46134</v>
      </c>
      <c r="C187" s="6" t="s">
        <v>10</v>
      </c>
      <c r="D187" s="6" t="s">
        <v>20</v>
      </c>
      <c r="E187" s="6" t="s">
        <v>30</v>
      </c>
      <c r="F187" s="6" t="s">
        <v>13</v>
      </c>
      <c r="G187" s="6" t="s">
        <v>14</v>
      </c>
      <c r="H187" s="6" t="s">
        <v>14</v>
      </c>
      <c r="I187" s="9">
        <v>28964</v>
      </c>
    </row>
    <row r="188" spans="1:9" x14ac:dyDescent="0.3">
      <c r="A188" s="8" t="s">
        <v>219</v>
      </c>
      <c r="B188" s="7">
        <v>46135</v>
      </c>
      <c r="C188" s="6" t="s">
        <v>10</v>
      </c>
      <c r="D188" s="6" t="s">
        <v>11</v>
      </c>
      <c r="E188" s="6" t="s">
        <v>16</v>
      </c>
      <c r="F188" s="6" t="s">
        <v>17</v>
      </c>
      <c r="G188" s="6" t="s">
        <v>14</v>
      </c>
      <c r="H188" s="6" t="s">
        <v>14</v>
      </c>
      <c r="I188" s="9">
        <v>23093</v>
      </c>
    </row>
    <row r="189" spans="1:9" x14ac:dyDescent="0.3">
      <c r="A189" s="8" t="s">
        <v>220</v>
      </c>
      <c r="B189" s="7">
        <v>46135</v>
      </c>
      <c r="C189" s="6" t="s">
        <v>19</v>
      </c>
      <c r="D189" s="6" t="s">
        <v>11</v>
      </c>
      <c r="E189" s="6" t="s">
        <v>16</v>
      </c>
      <c r="F189" s="6" t="s">
        <v>17</v>
      </c>
      <c r="G189" s="6" t="s">
        <v>14</v>
      </c>
      <c r="H189" s="6" t="s">
        <v>14</v>
      </c>
      <c r="I189" s="9">
        <v>40699</v>
      </c>
    </row>
    <row r="190" spans="1:9" x14ac:dyDescent="0.3">
      <c r="A190" s="8" t="s">
        <v>221</v>
      </c>
      <c r="B190" s="7">
        <v>46136</v>
      </c>
      <c r="C190" s="6" t="s">
        <v>10</v>
      </c>
      <c r="D190" s="6" t="s">
        <v>11</v>
      </c>
      <c r="E190" s="6" t="s">
        <v>27</v>
      </c>
      <c r="F190" s="6" t="s">
        <v>22</v>
      </c>
      <c r="G190" s="6" t="s">
        <v>14</v>
      </c>
      <c r="H190" s="6" t="s">
        <v>14</v>
      </c>
      <c r="I190" s="9">
        <v>71040</v>
      </c>
    </row>
    <row r="191" spans="1:9" x14ac:dyDescent="0.3">
      <c r="A191" s="8" t="s">
        <v>222</v>
      </c>
      <c r="B191" s="7">
        <v>46137</v>
      </c>
      <c r="C191" s="6" t="s">
        <v>19</v>
      </c>
      <c r="D191" s="6" t="s">
        <v>20</v>
      </c>
      <c r="E191" s="6" t="s">
        <v>30</v>
      </c>
      <c r="F191" s="6" t="s">
        <v>17</v>
      </c>
      <c r="G191" s="6" t="s">
        <v>14</v>
      </c>
      <c r="H191" s="6" t="s">
        <v>14</v>
      </c>
      <c r="I191" s="9">
        <v>25234</v>
      </c>
    </row>
    <row r="192" spans="1:9" x14ac:dyDescent="0.3">
      <c r="A192" s="8" t="s">
        <v>223</v>
      </c>
      <c r="B192" s="7">
        <v>46138</v>
      </c>
      <c r="C192" s="6" t="s">
        <v>10</v>
      </c>
      <c r="D192" s="6" t="s">
        <v>14</v>
      </c>
      <c r="E192" s="6" t="s">
        <v>24</v>
      </c>
      <c r="F192" s="6" t="s">
        <v>25</v>
      </c>
      <c r="G192" s="6" t="s">
        <v>14</v>
      </c>
      <c r="H192" s="6" t="s">
        <v>14</v>
      </c>
      <c r="I192" s="9">
        <v>65707</v>
      </c>
    </row>
    <row r="193" spans="1:9" x14ac:dyDescent="0.3">
      <c r="A193" s="8" t="s">
        <v>224</v>
      </c>
      <c r="B193" s="7">
        <v>46138</v>
      </c>
      <c r="C193" s="6" t="s">
        <v>19</v>
      </c>
      <c r="D193" s="6" t="s">
        <v>11</v>
      </c>
      <c r="E193" s="6" t="s">
        <v>16</v>
      </c>
      <c r="F193" s="6" t="s">
        <v>17</v>
      </c>
      <c r="G193" s="6" t="s">
        <v>14</v>
      </c>
      <c r="H193" s="6" t="s">
        <v>14</v>
      </c>
      <c r="I193" s="9">
        <v>28748</v>
      </c>
    </row>
    <row r="194" spans="1:9" x14ac:dyDescent="0.3">
      <c r="A194" s="8" t="s">
        <v>225</v>
      </c>
      <c r="B194" s="7">
        <v>46143</v>
      </c>
      <c r="C194" s="6" t="s">
        <v>10</v>
      </c>
      <c r="D194" s="6" t="s">
        <v>11</v>
      </c>
      <c r="E194" s="6" t="s">
        <v>16</v>
      </c>
      <c r="F194" s="6" t="s">
        <v>22</v>
      </c>
      <c r="G194" s="6" t="s">
        <v>14</v>
      </c>
      <c r="H194" s="6" t="s">
        <v>14</v>
      </c>
      <c r="I194" s="9">
        <v>39751</v>
      </c>
    </row>
    <row r="195" spans="1:9" x14ac:dyDescent="0.3">
      <c r="A195" s="8" t="s">
        <v>226</v>
      </c>
      <c r="B195" s="7">
        <v>46143</v>
      </c>
      <c r="C195" s="6" t="s">
        <v>19</v>
      </c>
      <c r="D195" s="6" t="s">
        <v>33</v>
      </c>
      <c r="E195" s="6" t="s">
        <v>44</v>
      </c>
      <c r="F195" s="6" t="s">
        <v>25</v>
      </c>
      <c r="G195" s="6" t="s">
        <v>14</v>
      </c>
      <c r="H195" s="6" t="s">
        <v>14</v>
      </c>
      <c r="I195" s="9">
        <v>64638</v>
      </c>
    </row>
    <row r="196" spans="1:9" x14ac:dyDescent="0.3">
      <c r="A196" s="8" t="s">
        <v>227</v>
      </c>
      <c r="B196" s="7">
        <v>46143</v>
      </c>
      <c r="C196" s="6" t="s">
        <v>19</v>
      </c>
      <c r="D196" s="6" t="s">
        <v>11</v>
      </c>
      <c r="E196" s="6" t="s">
        <v>27</v>
      </c>
      <c r="F196" s="6" t="s">
        <v>22</v>
      </c>
      <c r="G196" s="6" t="s">
        <v>14</v>
      </c>
      <c r="H196" s="6" t="s">
        <v>14</v>
      </c>
      <c r="I196" s="9">
        <v>65413</v>
      </c>
    </row>
    <row r="197" spans="1:9" x14ac:dyDescent="0.3">
      <c r="A197" s="8" t="s">
        <v>228</v>
      </c>
      <c r="B197" s="7">
        <v>46143</v>
      </c>
      <c r="C197" s="6" t="s">
        <v>19</v>
      </c>
      <c r="D197" s="6" t="s">
        <v>20</v>
      </c>
      <c r="E197" s="6" t="s">
        <v>30</v>
      </c>
      <c r="F197" s="6" t="s">
        <v>22</v>
      </c>
      <c r="G197" s="6" t="s">
        <v>14</v>
      </c>
      <c r="H197" s="6" t="s">
        <v>14</v>
      </c>
      <c r="I197" s="9">
        <v>70067</v>
      </c>
    </row>
    <row r="198" spans="1:9" x14ac:dyDescent="0.3">
      <c r="A198" s="8" t="s">
        <v>229</v>
      </c>
      <c r="B198" s="7">
        <v>46144</v>
      </c>
      <c r="C198" s="6" t="s">
        <v>10</v>
      </c>
      <c r="D198" s="6" t="s">
        <v>33</v>
      </c>
      <c r="E198" s="6" t="s">
        <v>36</v>
      </c>
      <c r="F198" s="6" t="s">
        <v>22</v>
      </c>
      <c r="G198" s="6" t="s">
        <v>14</v>
      </c>
      <c r="H198" s="6" t="s">
        <v>14</v>
      </c>
      <c r="I198" s="9">
        <v>38736</v>
      </c>
    </row>
    <row r="199" spans="1:9" x14ac:dyDescent="0.3">
      <c r="A199" s="8" t="s">
        <v>230</v>
      </c>
      <c r="B199" s="7">
        <v>46144</v>
      </c>
      <c r="C199" s="6" t="s">
        <v>19</v>
      </c>
      <c r="D199" s="6" t="s">
        <v>11</v>
      </c>
      <c r="E199" s="6" t="s">
        <v>27</v>
      </c>
      <c r="F199" s="6" t="s">
        <v>22</v>
      </c>
      <c r="G199" s="6" t="s">
        <v>14</v>
      </c>
      <c r="H199" s="6" t="s">
        <v>14</v>
      </c>
      <c r="I199" s="9">
        <v>73886</v>
      </c>
    </row>
    <row r="200" spans="1:9" x14ac:dyDescent="0.3">
      <c r="A200" s="8" t="s">
        <v>231</v>
      </c>
      <c r="B200" s="7">
        <v>46144</v>
      </c>
      <c r="C200" s="6" t="s">
        <v>19</v>
      </c>
      <c r="D200" s="6" t="s">
        <v>20</v>
      </c>
      <c r="E200" s="6" t="s">
        <v>52</v>
      </c>
      <c r="F200" s="6" t="s">
        <v>31</v>
      </c>
      <c r="G200" s="6" t="s">
        <v>14</v>
      </c>
      <c r="H200" s="6" t="s">
        <v>14</v>
      </c>
      <c r="I200" s="9">
        <v>60447</v>
      </c>
    </row>
    <row r="201" spans="1:9" x14ac:dyDescent="0.3">
      <c r="A201" s="8" t="s">
        <v>232</v>
      </c>
      <c r="B201" s="7">
        <v>46145</v>
      </c>
      <c r="C201" s="6" t="s">
        <v>10</v>
      </c>
      <c r="D201" s="6" t="s">
        <v>11</v>
      </c>
      <c r="E201" s="6" t="s">
        <v>27</v>
      </c>
      <c r="F201" s="6" t="s">
        <v>31</v>
      </c>
      <c r="G201" s="6" t="s">
        <v>14</v>
      </c>
      <c r="H201" s="6" t="s">
        <v>14</v>
      </c>
      <c r="I201" s="9">
        <v>73267</v>
      </c>
    </row>
    <row r="202" spans="1:9" x14ac:dyDescent="0.3">
      <c r="A202" s="8" t="s">
        <v>233</v>
      </c>
      <c r="B202" s="7">
        <v>46145</v>
      </c>
      <c r="C202" s="6" t="s">
        <v>10</v>
      </c>
      <c r="D202" s="6" t="s">
        <v>11</v>
      </c>
      <c r="E202" s="6" t="s">
        <v>27</v>
      </c>
      <c r="F202" s="6" t="s">
        <v>22</v>
      </c>
      <c r="G202" s="6" t="s">
        <v>14</v>
      </c>
      <c r="H202" s="6" t="s">
        <v>14</v>
      </c>
      <c r="I202" s="9">
        <v>50360</v>
      </c>
    </row>
    <row r="203" spans="1:9" x14ac:dyDescent="0.3">
      <c r="A203" s="8" t="s">
        <v>234</v>
      </c>
      <c r="B203" s="7">
        <v>46145</v>
      </c>
      <c r="C203" s="6" t="s">
        <v>10</v>
      </c>
      <c r="D203" s="6" t="s">
        <v>20</v>
      </c>
      <c r="E203" s="6" t="s">
        <v>21</v>
      </c>
      <c r="F203" s="6" t="s">
        <v>17</v>
      </c>
      <c r="G203" s="6" t="s">
        <v>14</v>
      </c>
      <c r="H203" s="6" t="s">
        <v>14</v>
      </c>
      <c r="I203" s="9">
        <v>84369</v>
      </c>
    </row>
    <row r="204" spans="1:9" x14ac:dyDescent="0.3">
      <c r="A204" s="8" t="s">
        <v>235</v>
      </c>
      <c r="B204" s="7">
        <v>46145</v>
      </c>
      <c r="C204" s="6" t="s">
        <v>19</v>
      </c>
      <c r="D204" s="6" t="s">
        <v>11</v>
      </c>
      <c r="E204" s="6" t="s">
        <v>16</v>
      </c>
      <c r="F204" s="6" t="s">
        <v>25</v>
      </c>
      <c r="G204" s="6" t="s">
        <v>14</v>
      </c>
      <c r="H204" s="6" t="s">
        <v>14</v>
      </c>
      <c r="I204" s="9">
        <v>17126</v>
      </c>
    </row>
    <row r="205" spans="1:9" x14ac:dyDescent="0.3">
      <c r="A205" s="8" t="s">
        <v>236</v>
      </c>
      <c r="B205" s="7">
        <v>46147</v>
      </c>
      <c r="C205" s="6" t="s">
        <v>10</v>
      </c>
      <c r="D205" s="6" t="s">
        <v>33</v>
      </c>
      <c r="E205" s="6" t="s">
        <v>36</v>
      </c>
      <c r="F205" s="6" t="s">
        <v>17</v>
      </c>
      <c r="G205" s="6" t="s">
        <v>14</v>
      </c>
      <c r="H205" s="6" t="s">
        <v>14</v>
      </c>
      <c r="I205" s="9">
        <v>35664</v>
      </c>
    </row>
    <row r="206" spans="1:9" x14ac:dyDescent="0.3">
      <c r="A206" s="8" t="s">
        <v>237</v>
      </c>
      <c r="B206" s="7">
        <v>46147</v>
      </c>
      <c r="C206" s="6" t="s">
        <v>10</v>
      </c>
      <c r="D206" s="6" t="s">
        <v>20</v>
      </c>
      <c r="E206" s="6" t="s">
        <v>30</v>
      </c>
      <c r="F206" s="6" t="s">
        <v>13</v>
      </c>
      <c r="G206" s="6" t="s">
        <v>14</v>
      </c>
      <c r="H206" s="6" t="s">
        <v>14</v>
      </c>
      <c r="I206" s="9">
        <v>73389</v>
      </c>
    </row>
    <row r="207" spans="1:9" x14ac:dyDescent="0.3">
      <c r="A207" s="8" t="s">
        <v>238</v>
      </c>
      <c r="B207" s="7">
        <v>46148</v>
      </c>
      <c r="C207" s="6" t="s">
        <v>19</v>
      </c>
      <c r="D207" s="6" t="s">
        <v>20</v>
      </c>
      <c r="E207" s="6" t="s">
        <v>52</v>
      </c>
      <c r="F207" s="6" t="s">
        <v>25</v>
      </c>
      <c r="G207" s="6" t="s">
        <v>14</v>
      </c>
      <c r="H207" s="6" t="s">
        <v>14</v>
      </c>
      <c r="I207" s="9">
        <v>29260</v>
      </c>
    </row>
    <row r="208" spans="1:9" x14ac:dyDescent="0.3">
      <c r="A208" s="8" t="s">
        <v>239</v>
      </c>
      <c r="B208" s="7">
        <v>46149</v>
      </c>
      <c r="C208" s="6" t="s">
        <v>10</v>
      </c>
      <c r="D208" s="6" t="s">
        <v>33</v>
      </c>
      <c r="E208" s="6" t="s">
        <v>34</v>
      </c>
      <c r="F208" s="6" t="s">
        <v>28</v>
      </c>
      <c r="G208" s="6" t="s">
        <v>14</v>
      </c>
      <c r="H208" s="6" t="s">
        <v>14</v>
      </c>
      <c r="I208" s="9">
        <v>83295</v>
      </c>
    </row>
    <row r="209" spans="1:9" x14ac:dyDescent="0.3">
      <c r="A209" s="8" t="s">
        <v>240</v>
      </c>
      <c r="B209" s="7">
        <v>46151</v>
      </c>
      <c r="C209" s="6" t="s">
        <v>19</v>
      </c>
      <c r="D209" s="6" t="s">
        <v>33</v>
      </c>
      <c r="E209" s="6" t="s">
        <v>34</v>
      </c>
      <c r="F209" s="6" t="s">
        <v>22</v>
      </c>
      <c r="G209" s="6" t="s">
        <v>14</v>
      </c>
      <c r="H209" s="6" t="s">
        <v>14</v>
      </c>
      <c r="I209" s="9">
        <v>68397</v>
      </c>
    </row>
    <row r="210" spans="1:9" x14ac:dyDescent="0.3">
      <c r="A210" s="8" t="s">
        <v>241</v>
      </c>
      <c r="B210" s="7">
        <v>46152</v>
      </c>
      <c r="C210" s="6" t="s">
        <v>10</v>
      </c>
      <c r="D210" s="6" t="s">
        <v>11</v>
      </c>
      <c r="E210" s="6" t="s">
        <v>16</v>
      </c>
      <c r="F210" s="6" t="s">
        <v>25</v>
      </c>
      <c r="G210" s="6" t="s">
        <v>14</v>
      </c>
      <c r="H210" s="6" t="s">
        <v>14</v>
      </c>
      <c r="I210" s="9">
        <v>66748</v>
      </c>
    </row>
    <row r="211" spans="1:9" x14ac:dyDescent="0.3">
      <c r="A211" s="8" t="s">
        <v>242</v>
      </c>
      <c r="B211" s="7">
        <v>46152</v>
      </c>
      <c r="C211" s="6" t="s">
        <v>19</v>
      </c>
      <c r="D211" s="6" t="s">
        <v>14</v>
      </c>
      <c r="E211" s="6" t="s">
        <v>47</v>
      </c>
      <c r="F211" s="6" t="s">
        <v>13</v>
      </c>
      <c r="G211" s="6" t="s">
        <v>14</v>
      </c>
      <c r="H211" s="6" t="s">
        <v>14</v>
      </c>
      <c r="I211" s="9">
        <v>38790</v>
      </c>
    </row>
    <row r="212" spans="1:9" x14ac:dyDescent="0.3">
      <c r="A212" s="8" t="s">
        <v>243</v>
      </c>
      <c r="B212" s="7">
        <v>46154</v>
      </c>
      <c r="C212" s="6" t="s">
        <v>19</v>
      </c>
      <c r="D212" s="6" t="s">
        <v>20</v>
      </c>
      <c r="E212" s="6" t="s">
        <v>21</v>
      </c>
      <c r="F212" s="6" t="s">
        <v>28</v>
      </c>
      <c r="G212" s="6" t="s">
        <v>14</v>
      </c>
      <c r="H212" s="6" t="s">
        <v>14</v>
      </c>
      <c r="I212" s="9">
        <v>77441</v>
      </c>
    </row>
    <row r="213" spans="1:9" x14ac:dyDescent="0.3">
      <c r="A213" s="8" t="s">
        <v>244</v>
      </c>
      <c r="B213" s="7">
        <v>46155</v>
      </c>
      <c r="C213" s="6" t="s">
        <v>19</v>
      </c>
      <c r="D213" s="6" t="s">
        <v>33</v>
      </c>
      <c r="E213" s="6" t="s">
        <v>34</v>
      </c>
      <c r="F213" s="6" t="s">
        <v>25</v>
      </c>
      <c r="G213" s="6" t="s">
        <v>14</v>
      </c>
      <c r="H213" s="6" t="s">
        <v>14</v>
      </c>
      <c r="I213" s="9">
        <v>57106</v>
      </c>
    </row>
    <row r="214" spans="1:9" x14ac:dyDescent="0.3">
      <c r="A214" s="8" t="s">
        <v>245</v>
      </c>
      <c r="B214" s="7">
        <v>46156</v>
      </c>
      <c r="C214" s="6" t="s">
        <v>10</v>
      </c>
      <c r="D214" s="6" t="s">
        <v>11</v>
      </c>
      <c r="E214" s="6" t="s">
        <v>12</v>
      </c>
      <c r="F214" s="6" t="s">
        <v>22</v>
      </c>
      <c r="G214" s="6" t="s">
        <v>14</v>
      </c>
      <c r="H214" s="6" t="s">
        <v>14</v>
      </c>
      <c r="I214" s="9">
        <v>68491</v>
      </c>
    </row>
    <row r="215" spans="1:9" x14ac:dyDescent="0.3">
      <c r="A215" s="8" t="s">
        <v>246</v>
      </c>
      <c r="B215" s="7">
        <v>46156</v>
      </c>
      <c r="C215" s="6" t="s">
        <v>10</v>
      </c>
      <c r="D215" s="6" t="s">
        <v>20</v>
      </c>
      <c r="E215" s="6" t="s">
        <v>30</v>
      </c>
      <c r="F215" s="6" t="s">
        <v>25</v>
      </c>
      <c r="G215" s="6" t="s">
        <v>14</v>
      </c>
      <c r="H215" s="6" t="s">
        <v>14</v>
      </c>
      <c r="I215" s="9">
        <v>63293</v>
      </c>
    </row>
    <row r="216" spans="1:9" x14ac:dyDescent="0.3">
      <c r="A216" s="8" t="s">
        <v>247</v>
      </c>
      <c r="B216" s="7">
        <v>46157</v>
      </c>
      <c r="C216" s="6" t="s">
        <v>10</v>
      </c>
      <c r="D216" s="6" t="s">
        <v>20</v>
      </c>
      <c r="E216" s="6" t="s">
        <v>52</v>
      </c>
      <c r="F216" s="6" t="s">
        <v>25</v>
      </c>
      <c r="G216" s="6" t="s">
        <v>14</v>
      </c>
      <c r="H216" s="6" t="s">
        <v>14</v>
      </c>
      <c r="I216" s="9">
        <v>44093</v>
      </c>
    </row>
    <row r="217" spans="1:9" x14ac:dyDescent="0.3">
      <c r="A217" s="8" t="s">
        <v>248</v>
      </c>
      <c r="B217" s="7">
        <v>46157</v>
      </c>
      <c r="C217" s="6" t="s">
        <v>19</v>
      </c>
      <c r="D217" s="6" t="s">
        <v>11</v>
      </c>
      <c r="E217" s="6" t="s">
        <v>16</v>
      </c>
      <c r="F217" s="6" t="s">
        <v>31</v>
      </c>
      <c r="G217" s="6" t="s">
        <v>14</v>
      </c>
      <c r="H217" s="6" t="s">
        <v>14</v>
      </c>
      <c r="I217" s="9">
        <v>67658</v>
      </c>
    </row>
    <row r="218" spans="1:9" x14ac:dyDescent="0.3">
      <c r="A218" s="8" t="s">
        <v>249</v>
      </c>
      <c r="B218" s="7">
        <v>46158</v>
      </c>
      <c r="C218" s="6" t="s">
        <v>10</v>
      </c>
      <c r="D218" s="6" t="s">
        <v>14</v>
      </c>
      <c r="E218" s="6" t="s">
        <v>24</v>
      </c>
      <c r="F218" s="6" t="s">
        <v>25</v>
      </c>
      <c r="G218" s="6" t="s">
        <v>14</v>
      </c>
      <c r="H218" s="6" t="s">
        <v>14</v>
      </c>
      <c r="I218" s="9">
        <v>14747</v>
      </c>
    </row>
    <row r="219" spans="1:9" x14ac:dyDescent="0.3">
      <c r="A219" s="8" t="s">
        <v>250</v>
      </c>
      <c r="B219" s="7">
        <v>46158</v>
      </c>
      <c r="C219" s="6" t="s">
        <v>10</v>
      </c>
      <c r="D219" s="6" t="s">
        <v>14</v>
      </c>
      <c r="E219" s="6" t="s">
        <v>40</v>
      </c>
      <c r="F219" s="6" t="s">
        <v>28</v>
      </c>
      <c r="G219" s="6" t="s">
        <v>14</v>
      </c>
      <c r="H219" s="6" t="s">
        <v>14</v>
      </c>
      <c r="I219" s="9">
        <v>44606</v>
      </c>
    </row>
    <row r="220" spans="1:9" x14ac:dyDescent="0.3">
      <c r="A220" s="8" t="s">
        <v>251</v>
      </c>
      <c r="B220" s="7">
        <v>46158</v>
      </c>
      <c r="C220" s="6" t="s">
        <v>10</v>
      </c>
      <c r="D220" s="6" t="s">
        <v>14</v>
      </c>
      <c r="E220" s="6" t="s">
        <v>47</v>
      </c>
      <c r="F220" s="6" t="s">
        <v>31</v>
      </c>
      <c r="G220" s="6" t="s">
        <v>14</v>
      </c>
      <c r="H220" s="6" t="s">
        <v>14</v>
      </c>
      <c r="I220" s="9">
        <v>64256</v>
      </c>
    </row>
    <row r="221" spans="1:9" x14ac:dyDescent="0.3">
      <c r="A221" s="8" t="s">
        <v>252</v>
      </c>
      <c r="B221" s="7">
        <v>46158</v>
      </c>
      <c r="C221" s="6" t="s">
        <v>10</v>
      </c>
      <c r="D221" s="6" t="s">
        <v>11</v>
      </c>
      <c r="E221" s="6" t="s">
        <v>12</v>
      </c>
      <c r="F221" s="6" t="s">
        <v>25</v>
      </c>
      <c r="G221" s="6" t="s">
        <v>14</v>
      </c>
      <c r="H221" s="6" t="s">
        <v>14</v>
      </c>
      <c r="I221" s="9">
        <v>52764</v>
      </c>
    </row>
    <row r="222" spans="1:9" x14ac:dyDescent="0.3">
      <c r="A222" s="8" t="s">
        <v>253</v>
      </c>
      <c r="B222" s="7">
        <v>46158</v>
      </c>
      <c r="C222" s="6" t="s">
        <v>19</v>
      </c>
      <c r="D222" s="6" t="s">
        <v>14</v>
      </c>
      <c r="E222" s="6" t="s">
        <v>40</v>
      </c>
      <c r="F222" s="6" t="s">
        <v>13</v>
      </c>
      <c r="G222" s="6" t="s">
        <v>14</v>
      </c>
      <c r="H222" s="6" t="s">
        <v>14</v>
      </c>
      <c r="I222" s="9">
        <v>72566</v>
      </c>
    </row>
    <row r="223" spans="1:9" x14ac:dyDescent="0.3">
      <c r="A223" s="8" t="s">
        <v>254</v>
      </c>
      <c r="B223" s="7">
        <v>46158</v>
      </c>
      <c r="C223" s="6" t="s">
        <v>19</v>
      </c>
      <c r="D223" s="6" t="s">
        <v>33</v>
      </c>
      <c r="E223" s="6" t="s">
        <v>44</v>
      </c>
      <c r="F223" s="6" t="s">
        <v>17</v>
      </c>
      <c r="G223" s="6" t="s">
        <v>14</v>
      </c>
      <c r="H223" s="6" t="s">
        <v>14</v>
      </c>
      <c r="I223" s="9">
        <v>80866</v>
      </c>
    </row>
    <row r="224" spans="1:9" x14ac:dyDescent="0.3">
      <c r="A224" s="8" t="s">
        <v>255</v>
      </c>
      <c r="B224" s="7">
        <v>46160</v>
      </c>
      <c r="C224" s="6" t="s">
        <v>19</v>
      </c>
      <c r="D224" s="6" t="s">
        <v>14</v>
      </c>
      <c r="E224" s="6" t="s">
        <v>24</v>
      </c>
      <c r="F224" s="6" t="s">
        <v>28</v>
      </c>
      <c r="G224" s="6" t="s">
        <v>14</v>
      </c>
      <c r="H224" s="6" t="s">
        <v>14</v>
      </c>
      <c r="I224" s="9">
        <v>29955</v>
      </c>
    </row>
    <row r="225" spans="1:9" x14ac:dyDescent="0.3">
      <c r="A225" s="8" t="s">
        <v>256</v>
      </c>
      <c r="B225" s="7">
        <v>46160</v>
      </c>
      <c r="C225" s="6" t="s">
        <v>19</v>
      </c>
      <c r="D225" s="6" t="s">
        <v>33</v>
      </c>
      <c r="E225" s="6" t="s">
        <v>36</v>
      </c>
      <c r="F225" s="6" t="s">
        <v>22</v>
      </c>
      <c r="G225" s="6" t="s">
        <v>14</v>
      </c>
      <c r="H225" s="6" t="s">
        <v>14</v>
      </c>
      <c r="I225" s="9">
        <v>70141</v>
      </c>
    </row>
    <row r="226" spans="1:9" x14ac:dyDescent="0.3">
      <c r="A226" s="8" t="s">
        <v>257</v>
      </c>
      <c r="B226" s="7">
        <v>46160</v>
      </c>
      <c r="C226" s="6" t="s">
        <v>19</v>
      </c>
      <c r="D226" s="6" t="s">
        <v>11</v>
      </c>
      <c r="E226" s="6" t="s">
        <v>12</v>
      </c>
      <c r="F226" s="6" t="s">
        <v>31</v>
      </c>
      <c r="G226" s="6" t="s">
        <v>14</v>
      </c>
      <c r="H226" s="6" t="s">
        <v>14</v>
      </c>
      <c r="I226" s="9">
        <v>45434</v>
      </c>
    </row>
    <row r="227" spans="1:9" x14ac:dyDescent="0.3">
      <c r="A227" s="8" t="s">
        <v>258</v>
      </c>
      <c r="B227" s="7">
        <v>46161</v>
      </c>
      <c r="C227" s="6" t="s">
        <v>10</v>
      </c>
      <c r="D227" s="6" t="s">
        <v>14</v>
      </c>
      <c r="E227" s="6" t="s">
        <v>24</v>
      </c>
      <c r="F227" s="6" t="s">
        <v>25</v>
      </c>
      <c r="G227" s="6" t="s">
        <v>14</v>
      </c>
      <c r="H227" s="6" t="s">
        <v>14</v>
      </c>
      <c r="I227" s="9">
        <v>47773</v>
      </c>
    </row>
    <row r="228" spans="1:9" x14ac:dyDescent="0.3">
      <c r="A228" s="8" t="s">
        <v>259</v>
      </c>
      <c r="B228" s="7">
        <v>46161</v>
      </c>
      <c r="C228" s="6" t="s">
        <v>10</v>
      </c>
      <c r="D228" s="6" t="s">
        <v>20</v>
      </c>
      <c r="E228" s="6" t="s">
        <v>21</v>
      </c>
      <c r="F228" s="6" t="s">
        <v>17</v>
      </c>
      <c r="G228" s="6" t="s">
        <v>14</v>
      </c>
      <c r="H228" s="6" t="s">
        <v>14</v>
      </c>
      <c r="I228" s="9">
        <v>16000</v>
      </c>
    </row>
    <row r="229" spans="1:9" x14ac:dyDescent="0.3">
      <c r="A229" s="8" t="s">
        <v>260</v>
      </c>
      <c r="B229" s="7">
        <v>46161</v>
      </c>
      <c r="C229" s="6" t="s">
        <v>19</v>
      </c>
      <c r="D229" s="6" t="s">
        <v>14</v>
      </c>
      <c r="E229" s="6" t="s">
        <v>47</v>
      </c>
      <c r="F229" s="6" t="s">
        <v>28</v>
      </c>
      <c r="G229" s="6" t="s">
        <v>14</v>
      </c>
      <c r="H229" s="6" t="s">
        <v>14</v>
      </c>
      <c r="I229" s="9">
        <v>47909</v>
      </c>
    </row>
    <row r="230" spans="1:9" x14ac:dyDescent="0.3">
      <c r="A230" s="8" t="s">
        <v>261</v>
      </c>
      <c r="B230" s="7">
        <v>46161</v>
      </c>
      <c r="C230" s="6" t="s">
        <v>19</v>
      </c>
      <c r="D230" s="6" t="s">
        <v>11</v>
      </c>
      <c r="E230" s="6" t="s">
        <v>12</v>
      </c>
      <c r="F230" s="6" t="s">
        <v>17</v>
      </c>
      <c r="G230" s="6" t="s">
        <v>14</v>
      </c>
      <c r="H230" s="6" t="s">
        <v>14</v>
      </c>
      <c r="I230" s="9">
        <v>23314</v>
      </c>
    </row>
    <row r="231" spans="1:9" x14ac:dyDescent="0.3">
      <c r="A231" s="8" t="s">
        <v>262</v>
      </c>
      <c r="B231" s="7">
        <v>46162</v>
      </c>
      <c r="C231" s="6" t="s">
        <v>10</v>
      </c>
      <c r="D231" s="6" t="s">
        <v>33</v>
      </c>
      <c r="E231" s="6" t="s">
        <v>44</v>
      </c>
      <c r="F231" s="6" t="s">
        <v>25</v>
      </c>
      <c r="G231" s="6" t="s">
        <v>14</v>
      </c>
      <c r="H231" s="6" t="s">
        <v>14</v>
      </c>
      <c r="I231" s="9">
        <v>81163</v>
      </c>
    </row>
    <row r="232" spans="1:9" x14ac:dyDescent="0.3">
      <c r="A232" s="8" t="s">
        <v>263</v>
      </c>
      <c r="B232" s="7">
        <v>46162</v>
      </c>
      <c r="C232" s="6" t="s">
        <v>10</v>
      </c>
      <c r="D232" s="6" t="s">
        <v>33</v>
      </c>
      <c r="E232" s="6" t="s">
        <v>34</v>
      </c>
      <c r="F232" s="6" t="s">
        <v>22</v>
      </c>
      <c r="G232" s="6" t="s">
        <v>14</v>
      </c>
      <c r="H232" s="6" t="s">
        <v>14</v>
      </c>
      <c r="I232" s="9">
        <v>79270</v>
      </c>
    </row>
    <row r="233" spans="1:9" x14ac:dyDescent="0.3">
      <c r="A233" s="8" t="s">
        <v>264</v>
      </c>
      <c r="B233" s="7">
        <v>46162</v>
      </c>
      <c r="C233" s="6" t="s">
        <v>10</v>
      </c>
      <c r="D233" s="6" t="s">
        <v>20</v>
      </c>
      <c r="E233" s="6" t="s">
        <v>52</v>
      </c>
      <c r="F233" s="6" t="s">
        <v>13</v>
      </c>
      <c r="G233" s="6" t="s">
        <v>14</v>
      </c>
      <c r="H233" s="6" t="s">
        <v>14</v>
      </c>
      <c r="I233" s="9">
        <v>84615</v>
      </c>
    </row>
    <row r="234" spans="1:9" x14ac:dyDescent="0.3">
      <c r="A234" s="8" t="s">
        <v>265</v>
      </c>
      <c r="B234" s="7">
        <v>46163</v>
      </c>
      <c r="C234" s="6" t="s">
        <v>19</v>
      </c>
      <c r="D234" s="6" t="s">
        <v>14</v>
      </c>
      <c r="E234" s="6" t="s">
        <v>40</v>
      </c>
      <c r="F234" s="6" t="s">
        <v>25</v>
      </c>
      <c r="G234" s="6" t="s">
        <v>14</v>
      </c>
      <c r="H234" s="6" t="s">
        <v>14</v>
      </c>
      <c r="I234" s="9">
        <v>23130</v>
      </c>
    </row>
    <row r="235" spans="1:9" x14ac:dyDescent="0.3">
      <c r="A235" s="8" t="s">
        <v>266</v>
      </c>
      <c r="B235" s="7">
        <v>46164</v>
      </c>
      <c r="C235" s="6" t="s">
        <v>10</v>
      </c>
      <c r="D235" s="6" t="s">
        <v>14</v>
      </c>
      <c r="E235" s="6" t="s">
        <v>47</v>
      </c>
      <c r="F235" s="6" t="s">
        <v>22</v>
      </c>
      <c r="G235" s="6" t="s">
        <v>14</v>
      </c>
      <c r="H235" s="6" t="s">
        <v>14</v>
      </c>
      <c r="I235" s="9">
        <v>75335</v>
      </c>
    </row>
    <row r="236" spans="1:9" x14ac:dyDescent="0.3">
      <c r="A236" s="8" t="s">
        <v>267</v>
      </c>
      <c r="B236" s="7">
        <v>46165</v>
      </c>
      <c r="C236" s="6" t="s">
        <v>10</v>
      </c>
      <c r="D236" s="6" t="s">
        <v>14</v>
      </c>
      <c r="E236" s="6" t="s">
        <v>40</v>
      </c>
      <c r="F236" s="6" t="s">
        <v>22</v>
      </c>
      <c r="G236" s="6" t="s">
        <v>14</v>
      </c>
      <c r="H236" s="6" t="s">
        <v>14</v>
      </c>
      <c r="I236" s="9">
        <v>52397</v>
      </c>
    </row>
    <row r="237" spans="1:9" x14ac:dyDescent="0.3">
      <c r="A237" s="8" t="s">
        <v>268</v>
      </c>
      <c r="B237" s="7">
        <v>46166</v>
      </c>
      <c r="C237" s="6" t="s">
        <v>19</v>
      </c>
      <c r="D237" s="6" t="s">
        <v>14</v>
      </c>
      <c r="E237" s="6" t="s">
        <v>24</v>
      </c>
      <c r="F237" s="6" t="s">
        <v>25</v>
      </c>
      <c r="G237" s="6" t="s">
        <v>14</v>
      </c>
      <c r="H237" s="6" t="s">
        <v>14</v>
      </c>
      <c r="I237" s="9">
        <v>46911</v>
      </c>
    </row>
    <row r="238" spans="1:9" x14ac:dyDescent="0.3">
      <c r="A238" s="8" t="s">
        <v>269</v>
      </c>
      <c r="B238" s="7">
        <v>46166</v>
      </c>
      <c r="C238" s="6" t="s">
        <v>19</v>
      </c>
      <c r="D238" s="6" t="s">
        <v>20</v>
      </c>
      <c r="E238" s="6" t="s">
        <v>21</v>
      </c>
      <c r="F238" s="6" t="s">
        <v>22</v>
      </c>
      <c r="G238" s="6" t="s">
        <v>14</v>
      </c>
      <c r="H238" s="6" t="s">
        <v>14</v>
      </c>
      <c r="I238" s="9">
        <v>79444</v>
      </c>
    </row>
    <row r="239" spans="1:9" x14ac:dyDescent="0.3">
      <c r="A239" s="8" t="s">
        <v>270</v>
      </c>
      <c r="B239" s="7">
        <v>46167</v>
      </c>
      <c r="C239" s="6" t="s">
        <v>10</v>
      </c>
      <c r="D239" s="6" t="s">
        <v>33</v>
      </c>
      <c r="E239" s="6" t="s">
        <v>44</v>
      </c>
      <c r="F239" s="6" t="s">
        <v>17</v>
      </c>
      <c r="G239" s="6" t="s">
        <v>14</v>
      </c>
      <c r="H239" s="6" t="s">
        <v>14</v>
      </c>
      <c r="I239" s="9">
        <v>54557</v>
      </c>
    </row>
    <row r="240" spans="1:9" x14ac:dyDescent="0.3">
      <c r="A240" s="8" t="s">
        <v>271</v>
      </c>
      <c r="B240" s="7">
        <v>46167</v>
      </c>
      <c r="C240" s="6" t="s">
        <v>19</v>
      </c>
      <c r="D240" s="6" t="s">
        <v>33</v>
      </c>
      <c r="E240" s="6" t="s">
        <v>36</v>
      </c>
      <c r="F240" s="6" t="s">
        <v>13</v>
      </c>
      <c r="G240" s="6" t="s">
        <v>14</v>
      </c>
      <c r="H240" s="6" t="s">
        <v>14</v>
      </c>
      <c r="I240" s="9">
        <v>62990</v>
      </c>
    </row>
    <row r="241" spans="1:9" x14ac:dyDescent="0.3">
      <c r="A241" s="8" t="s">
        <v>272</v>
      </c>
      <c r="B241" s="7">
        <v>46168</v>
      </c>
      <c r="C241" s="6" t="s">
        <v>19</v>
      </c>
      <c r="D241" s="6" t="s">
        <v>20</v>
      </c>
      <c r="E241" s="6" t="s">
        <v>30</v>
      </c>
      <c r="F241" s="6" t="s">
        <v>22</v>
      </c>
      <c r="G241" s="6" t="s">
        <v>14</v>
      </c>
      <c r="H241" s="6" t="s">
        <v>14</v>
      </c>
      <c r="I241" s="9">
        <v>18469</v>
      </c>
    </row>
    <row r="242" spans="1:9" x14ac:dyDescent="0.3">
      <c r="A242" s="8" t="s">
        <v>273</v>
      </c>
      <c r="B242" s="7">
        <v>46174</v>
      </c>
      <c r="C242" s="6" t="s">
        <v>10</v>
      </c>
      <c r="D242" s="6" t="s">
        <v>14</v>
      </c>
      <c r="E242" s="6" t="s">
        <v>47</v>
      </c>
      <c r="F242" s="6" t="s">
        <v>25</v>
      </c>
      <c r="G242" s="6" t="s">
        <v>14</v>
      </c>
      <c r="H242" s="6" t="s">
        <v>14</v>
      </c>
      <c r="I242" s="9">
        <v>39266</v>
      </c>
    </row>
    <row r="243" spans="1:9" x14ac:dyDescent="0.3">
      <c r="A243" s="8" t="s">
        <v>274</v>
      </c>
      <c r="B243" s="7">
        <v>46174</v>
      </c>
      <c r="C243" s="6" t="s">
        <v>19</v>
      </c>
      <c r="D243" s="6" t="s">
        <v>33</v>
      </c>
      <c r="E243" s="6" t="s">
        <v>36</v>
      </c>
      <c r="F243" s="6" t="s">
        <v>22</v>
      </c>
      <c r="G243" s="6" t="s">
        <v>14</v>
      </c>
      <c r="H243" s="6" t="s">
        <v>14</v>
      </c>
      <c r="I243" s="9">
        <v>73813</v>
      </c>
    </row>
    <row r="244" spans="1:9" x14ac:dyDescent="0.3">
      <c r="A244" s="8" t="s">
        <v>275</v>
      </c>
      <c r="B244" s="7">
        <v>46174</v>
      </c>
      <c r="C244" s="6" t="s">
        <v>19</v>
      </c>
      <c r="D244" s="6" t="s">
        <v>33</v>
      </c>
      <c r="E244" s="6" t="s">
        <v>34</v>
      </c>
      <c r="F244" s="6" t="s">
        <v>17</v>
      </c>
      <c r="G244" s="6" t="s">
        <v>14</v>
      </c>
      <c r="H244" s="6" t="s">
        <v>14</v>
      </c>
      <c r="I244" s="9">
        <v>33949</v>
      </c>
    </row>
    <row r="245" spans="1:9" x14ac:dyDescent="0.3">
      <c r="A245" s="8" t="s">
        <v>276</v>
      </c>
      <c r="B245" s="7">
        <v>46176</v>
      </c>
      <c r="C245" s="6" t="s">
        <v>10</v>
      </c>
      <c r="D245" s="6" t="s">
        <v>14</v>
      </c>
      <c r="E245" s="6" t="s">
        <v>47</v>
      </c>
      <c r="F245" s="6" t="s">
        <v>31</v>
      </c>
      <c r="G245" s="6" t="s">
        <v>14</v>
      </c>
      <c r="H245" s="6" t="s">
        <v>14</v>
      </c>
      <c r="I245" s="9">
        <v>82592</v>
      </c>
    </row>
    <row r="246" spans="1:9" x14ac:dyDescent="0.3">
      <c r="A246" s="8" t="s">
        <v>277</v>
      </c>
      <c r="B246" s="7">
        <v>46176</v>
      </c>
      <c r="C246" s="6" t="s">
        <v>10</v>
      </c>
      <c r="D246" s="6" t="s">
        <v>11</v>
      </c>
      <c r="E246" s="6" t="s">
        <v>27</v>
      </c>
      <c r="F246" s="6" t="s">
        <v>17</v>
      </c>
      <c r="G246" s="6" t="s">
        <v>14</v>
      </c>
      <c r="H246" s="6" t="s">
        <v>14</v>
      </c>
      <c r="I246" s="9">
        <v>14869</v>
      </c>
    </row>
    <row r="247" spans="1:9" x14ac:dyDescent="0.3">
      <c r="A247" s="8" t="s">
        <v>278</v>
      </c>
      <c r="B247" s="7">
        <v>46176</v>
      </c>
      <c r="C247" s="6" t="s">
        <v>19</v>
      </c>
      <c r="D247" s="6" t="s">
        <v>14</v>
      </c>
      <c r="E247" s="6" t="s">
        <v>40</v>
      </c>
      <c r="F247" s="6" t="s">
        <v>25</v>
      </c>
      <c r="G247" s="6" t="s">
        <v>14</v>
      </c>
      <c r="H247" s="6" t="s">
        <v>14</v>
      </c>
      <c r="I247" s="9">
        <v>21348</v>
      </c>
    </row>
    <row r="248" spans="1:9" x14ac:dyDescent="0.3">
      <c r="A248" s="8" t="s">
        <v>279</v>
      </c>
      <c r="B248" s="7">
        <v>46176</v>
      </c>
      <c r="C248" s="6" t="s">
        <v>19</v>
      </c>
      <c r="D248" s="6" t="s">
        <v>14</v>
      </c>
      <c r="E248" s="6" t="s">
        <v>47</v>
      </c>
      <c r="F248" s="6" t="s">
        <v>28</v>
      </c>
      <c r="G248" s="6" t="s">
        <v>14</v>
      </c>
      <c r="H248" s="6" t="s">
        <v>14</v>
      </c>
      <c r="I248" s="9">
        <v>27485</v>
      </c>
    </row>
    <row r="249" spans="1:9" x14ac:dyDescent="0.3">
      <c r="A249" s="8" t="s">
        <v>280</v>
      </c>
      <c r="B249" s="7">
        <v>46178</v>
      </c>
      <c r="C249" s="6" t="s">
        <v>10</v>
      </c>
      <c r="D249" s="6" t="s">
        <v>33</v>
      </c>
      <c r="E249" s="6" t="s">
        <v>36</v>
      </c>
      <c r="F249" s="6" t="s">
        <v>17</v>
      </c>
      <c r="G249" s="6" t="s">
        <v>14</v>
      </c>
      <c r="H249" s="6" t="s">
        <v>14</v>
      </c>
      <c r="I249" s="9">
        <v>12854</v>
      </c>
    </row>
    <row r="250" spans="1:9" x14ac:dyDescent="0.3">
      <c r="A250" s="8" t="s">
        <v>281</v>
      </c>
      <c r="B250" s="7">
        <v>46178</v>
      </c>
      <c r="C250" s="6" t="s">
        <v>19</v>
      </c>
      <c r="D250" s="6" t="s">
        <v>14</v>
      </c>
      <c r="E250" s="6" t="s">
        <v>24</v>
      </c>
      <c r="F250" s="6" t="s">
        <v>31</v>
      </c>
      <c r="G250" s="6" t="s">
        <v>14</v>
      </c>
      <c r="H250" s="6" t="s">
        <v>14</v>
      </c>
      <c r="I250" s="9">
        <v>44479</v>
      </c>
    </row>
    <row r="251" spans="1:9" x14ac:dyDescent="0.3">
      <c r="A251" s="8" t="s">
        <v>282</v>
      </c>
      <c r="B251" s="7">
        <v>46178</v>
      </c>
      <c r="C251" s="6" t="s">
        <v>19</v>
      </c>
      <c r="D251" s="6" t="s">
        <v>11</v>
      </c>
      <c r="E251" s="6" t="s">
        <v>27</v>
      </c>
      <c r="F251" s="6" t="s">
        <v>17</v>
      </c>
      <c r="G251" s="6" t="s">
        <v>14</v>
      </c>
      <c r="H251" s="6" t="s">
        <v>14</v>
      </c>
      <c r="I251" s="9">
        <v>55088</v>
      </c>
    </row>
    <row r="252" spans="1:9" x14ac:dyDescent="0.3">
      <c r="A252" s="8" t="s">
        <v>283</v>
      </c>
      <c r="B252" s="7">
        <v>46178</v>
      </c>
      <c r="C252" s="6" t="s">
        <v>19</v>
      </c>
      <c r="D252" s="6" t="s">
        <v>11</v>
      </c>
      <c r="E252" s="6" t="s">
        <v>16</v>
      </c>
      <c r="F252" s="6" t="s">
        <v>25</v>
      </c>
      <c r="G252" s="6" t="s">
        <v>14</v>
      </c>
      <c r="H252" s="6" t="s">
        <v>14</v>
      </c>
      <c r="I252" s="9">
        <v>50518</v>
      </c>
    </row>
    <row r="253" spans="1:9" x14ac:dyDescent="0.3">
      <c r="A253" s="8" t="s">
        <v>284</v>
      </c>
      <c r="B253" s="7">
        <v>46178</v>
      </c>
      <c r="C253" s="6" t="s">
        <v>19</v>
      </c>
      <c r="D253" s="6" t="s">
        <v>20</v>
      </c>
      <c r="E253" s="6" t="s">
        <v>30</v>
      </c>
      <c r="F253" s="6" t="s">
        <v>13</v>
      </c>
      <c r="G253" s="6" t="s">
        <v>14</v>
      </c>
      <c r="H253" s="6" t="s">
        <v>14</v>
      </c>
      <c r="I253" s="9">
        <v>54533</v>
      </c>
    </row>
    <row r="254" spans="1:9" x14ac:dyDescent="0.3">
      <c r="A254" s="8" t="s">
        <v>285</v>
      </c>
      <c r="B254" s="7">
        <v>46180</v>
      </c>
      <c r="C254" s="6" t="s">
        <v>10</v>
      </c>
      <c r="D254" s="6" t="s">
        <v>14</v>
      </c>
      <c r="E254" s="6" t="s">
        <v>24</v>
      </c>
      <c r="F254" s="6" t="s">
        <v>25</v>
      </c>
      <c r="G254" s="6" t="s">
        <v>14</v>
      </c>
      <c r="H254" s="6" t="s">
        <v>14</v>
      </c>
      <c r="I254" s="9">
        <v>15890</v>
      </c>
    </row>
    <row r="255" spans="1:9" x14ac:dyDescent="0.3">
      <c r="A255" s="8" t="s">
        <v>286</v>
      </c>
      <c r="B255" s="7">
        <v>46180</v>
      </c>
      <c r="C255" s="6" t="s">
        <v>10</v>
      </c>
      <c r="D255" s="6" t="s">
        <v>33</v>
      </c>
      <c r="E255" s="6" t="s">
        <v>44</v>
      </c>
      <c r="F255" s="6" t="s">
        <v>25</v>
      </c>
      <c r="G255" s="6" t="s">
        <v>14</v>
      </c>
      <c r="H255" s="6" t="s">
        <v>14</v>
      </c>
      <c r="I255" s="9">
        <v>33976</v>
      </c>
    </row>
    <row r="256" spans="1:9" x14ac:dyDescent="0.3">
      <c r="A256" s="8" t="s">
        <v>287</v>
      </c>
      <c r="B256" s="7">
        <v>46181</v>
      </c>
      <c r="C256" s="6" t="s">
        <v>10</v>
      </c>
      <c r="D256" s="6" t="s">
        <v>20</v>
      </c>
      <c r="E256" s="6" t="s">
        <v>21</v>
      </c>
      <c r="F256" s="6" t="s">
        <v>31</v>
      </c>
      <c r="G256" s="6" t="s">
        <v>14</v>
      </c>
      <c r="H256" s="6" t="s">
        <v>14</v>
      </c>
      <c r="I256" s="9">
        <v>50304</v>
      </c>
    </row>
    <row r="257" spans="1:9" x14ac:dyDescent="0.3">
      <c r="A257" s="8" t="s">
        <v>288</v>
      </c>
      <c r="B257" s="7">
        <v>46181</v>
      </c>
      <c r="C257" s="6" t="s">
        <v>19</v>
      </c>
      <c r="D257" s="6" t="s">
        <v>33</v>
      </c>
      <c r="E257" s="6" t="s">
        <v>44</v>
      </c>
      <c r="F257" s="6" t="s">
        <v>28</v>
      </c>
      <c r="G257" s="6" t="s">
        <v>14</v>
      </c>
      <c r="H257" s="6" t="s">
        <v>14</v>
      </c>
      <c r="I257" s="9">
        <v>23023</v>
      </c>
    </row>
    <row r="258" spans="1:9" x14ac:dyDescent="0.3">
      <c r="A258" s="8" t="s">
        <v>289</v>
      </c>
      <c r="B258" s="7">
        <v>46181</v>
      </c>
      <c r="C258" s="6" t="s">
        <v>19</v>
      </c>
      <c r="D258" s="6" t="s">
        <v>33</v>
      </c>
      <c r="E258" s="6" t="s">
        <v>34</v>
      </c>
      <c r="F258" s="6" t="s">
        <v>13</v>
      </c>
      <c r="G258" s="6" t="s">
        <v>14</v>
      </c>
      <c r="H258" s="6" t="s">
        <v>14</v>
      </c>
      <c r="I258" s="9">
        <v>48187</v>
      </c>
    </row>
    <row r="259" spans="1:9" x14ac:dyDescent="0.3">
      <c r="A259" s="8" t="s">
        <v>290</v>
      </c>
      <c r="B259" s="7">
        <v>46182</v>
      </c>
      <c r="C259" s="6" t="s">
        <v>10</v>
      </c>
      <c r="D259" s="6" t="s">
        <v>11</v>
      </c>
      <c r="E259" s="6" t="s">
        <v>12</v>
      </c>
      <c r="F259" s="6" t="s">
        <v>28</v>
      </c>
      <c r="G259" s="6" t="s">
        <v>14</v>
      </c>
      <c r="H259" s="6" t="s">
        <v>14</v>
      </c>
      <c r="I259" s="9">
        <v>59202</v>
      </c>
    </row>
    <row r="260" spans="1:9" x14ac:dyDescent="0.3">
      <c r="A260" s="8" t="s">
        <v>291</v>
      </c>
      <c r="B260" s="7">
        <v>46183</v>
      </c>
      <c r="C260" s="6" t="s">
        <v>10</v>
      </c>
      <c r="D260" s="6" t="s">
        <v>20</v>
      </c>
      <c r="E260" s="6" t="s">
        <v>52</v>
      </c>
      <c r="F260" s="6" t="s">
        <v>25</v>
      </c>
      <c r="G260" s="6" t="s">
        <v>14</v>
      </c>
      <c r="H260" s="6" t="s">
        <v>14</v>
      </c>
      <c r="I260" s="9">
        <v>29019</v>
      </c>
    </row>
    <row r="261" spans="1:9" x14ac:dyDescent="0.3">
      <c r="A261" s="8" t="s">
        <v>292</v>
      </c>
      <c r="B261" s="7">
        <v>46184</v>
      </c>
      <c r="C261" s="6" t="s">
        <v>10</v>
      </c>
      <c r="D261" s="6" t="s">
        <v>33</v>
      </c>
      <c r="E261" s="6" t="s">
        <v>34</v>
      </c>
      <c r="F261" s="6" t="s">
        <v>28</v>
      </c>
      <c r="G261" s="6" t="s">
        <v>14</v>
      </c>
      <c r="H261" s="6" t="s">
        <v>14</v>
      </c>
      <c r="I261" s="9">
        <v>49504</v>
      </c>
    </row>
    <row r="262" spans="1:9" x14ac:dyDescent="0.3">
      <c r="A262" s="8" t="s">
        <v>293</v>
      </c>
      <c r="B262" s="7">
        <v>46184</v>
      </c>
      <c r="C262" s="6" t="s">
        <v>19</v>
      </c>
      <c r="D262" s="6" t="s">
        <v>20</v>
      </c>
      <c r="E262" s="6" t="s">
        <v>21</v>
      </c>
      <c r="F262" s="6" t="s">
        <v>25</v>
      </c>
      <c r="G262" s="6" t="s">
        <v>14</v>
      </c>
      <c r="H262" s="6" t="s">
        <v>14</v>
      </c>
      <c r="I262" s="9">
        <v>20007</v>
      </c>
    </row>
    <row r="263" spans="1:9" x14ac:dyDescent="0.3">
      <c r="A263" s="8" t="s">
        <v>294</v>
      </c>
      <c r="B263" s="7">
        <v>46185</v>
      </c>
      <c r="C263" s="6" t="s">
        <v>10</v>
      </c>
      <c r="D263" s="6" t="s">
        <v>20</v>
      </c>
      <c r="E263" s="6" t="s">
        <v>30</v>
      </c>
      <c r="F263" s="6" t="s">
        <v>28</v>
      </c>
      <c r="G263" s="6" t="s">
        <v>14</v>
      </c>
      <c r="H263" s="6" t="s">
        <v>14</v>
      </c>
      <c r="I263" s="9">
        <v>41124</v>
      </c>
    </row>
    <row r="264" spans="1:9" x14ac:dyDescent="0.3">
      <c r="A264" s="8" t="s">
        <v>295</v>
      </c>
      <c r="B264" s="7">
        <v>46185</v>
      </c>
      <c r="C264" s="6" t="s">
        <v>19</v>
      </c>
      <c r="D264" s="6" t="s">
        <v>33</v>
      </c>
      <c r="E264" s="6" t="s">
        <v>44</v>
      </c>
      <c r="F264" s="6" t="s">
        <v>13</v>
      </c>
      <c r="G264" s="6" t="s">
        <v>14</v>
      </c>
      <c r="H264" s="6" t="s">
        <v>14</v>
      </c>
      <c r="I264" s="9">
        <v>19114</v>
      </c>
    </row>
    <row r="265" spans="1:9" x14ac:dyDescent="0.3">
      <c r="A265" s="8" t="s">
        <v>296</v>
      </c>
      <c r="B265" s="7">
        <v>46186</v>
      </c>
      <c r="C265" s="6" t="s">
        <v>10</v>
      </c>
      <c r="D265" s="6" t="s">
        <v>20</v>
      </c>
      <c r="E265" s="6" t="s">
        <v>21</v>
      </c>
      <c r="F265" s="6" t="s">
        <v>28</v>
      </c>
      <c r="G265" s="6" t="s">
        <v>14</v>
      </c>
      <c r="H265" s="6" t="s">
        <v>14</v>
      </c>
      <c r="I265" s="9">
        <v>32764</v>
      </c>
    </row>
    <row r="266" spans="1:9" x14ac:dyDescent="0.3">
      <c r="A266" s="8" t="s">
        <v>297</v>
      </c>
      <c r="B266" s="7">
        <v>46186</v>
      </c>
      <c r="C266" s="6" t="s">
        <v>19</v>
      </c>
      <c r="D266" s="6" t="s">
        <v>14</v>
      </c>
      <c r="E266" s="6" t="s">
        <v>24</v>
      </c>
      <c r="F266" s="6" t="s">
        <v>25</v>
      </c>
      <c r="G266" s="6" t="s">
        <v>14</v>
      </c>
      <c r="H266" s="6" t="s">
        <v>14</v>
      </c>
      <c r="I266" s="9">
        <v>32150</v>
      </c>
    </row>
    <row r="267" spans="1:9" x14ac:dyDescent="0.3">
      <c r="A267" s="8" t="s">
        <v>298</v>
      </c>
      <c r="B267" s="7">
        <v>46187</v>
      </c>
      <c r="C267" s="6" t="s">
        <v>10</v>
      </c>
      <c r="D267" s="6" t="s">
        <v>11</v>
      </c>
      <c r="E267" s="6" t="s">
        <v>27</v>
      </c>
      <c r="F267" s="6" t="s">
        <v>28</v>
      </c>
      <c r="G267" s="6" t="s">
        <v>14</v>
      </c>
      <c r="H267" s="6" t="s">
        <v>14</v>
      </c>
      <c r="I267" s="9">
        <v>80497</v>
      </c>
    </row>
    <row r="268" spans="1:9" x14ac:dyDescent="0.3">
      <c r="A268" s="8" t="s">
        <v>299</v>
      </c>
      <c r="B268" s="7">
        <v>46188</v>
      </c>
      <c r="C268" s="6" t="s">
        <v>19</v>
      </c>
      <c r="D268" s="6" t="s">
        <v>11</v>
      </c>
      <c r="E268" s="6" t="s">
        <v>16</v>
      </c>
      <c r="F268" s="6" t="s">
        <v>25</v>
      </c>
      <c r="G268" s="6" t="s">
        <v>14</v>
      </c>
      <c r="H268" s="6" t="s">
        <v>14</v>
      </c>
      <c r="I268" s="9">
        <v>46674</v>
      </c>
    </row>
    <row r="269" spans="1:9" x14ac:dyDescent="0.3">
      <c r="A269" s="8" t="s">
        <v>300</v>
      </c>
      <c r="B269" s="7">
        <v>46190</v>
      </c>
      <c r="C269" s="6" t="s">
        <v>10</v>
      </c>
      <c r="D269" s="6" t="s">
        <v>11</v>
      </c>
      <c r="E269" s="6" t="s">
        <v>12</v>
      </c>
      <c r="F269" s="6" t="s">
        <v>28</v>
      </c>
      <c r="G269" s="6" t="s">
        <v>14</v>
      </c>
      <c r="H269" s="6" t="s">
        <v>14</v>
      </c>
      <c r="I269" s="9">
        <v>15420</v>
      </c>
    </row>
    <row r="270" spans="1:9" x14ac:dyDescent="0.3">
      <c r="A270" s="8" t="s">
        <v>301</v>
      </c>
      <c r="B270" s="7">
        <v>46191</v>
      </c>
      <c r="C270" s="6" t="s">
        <v>10</v>
      </c>
      <c r="D270" s="6" t="s">
        <v>33</v>
      </c>
      <c r="E270" s="6" t="s">
        <v>34</v>
      </c>
      <c r="F270" s="6" t="s">
        <v>22</v>
      </c>
      <c r="G270" s="6" t="s">
        <v>14</v>
      </c>
      <c r="H270" s="6" t="s">
        <v>14</v>
      </c>
      <c r="I270" s="9">
        <v>51384</v>
      </c>
    </row>
    <row r="271" spans="1:9" x14ac:dyDescent="0.3">
      <c r="A271" s="8" t="s">
        <v>302</v>
      </c>
      <c r="B271" s="7">
        <v>46192</v>
      </c>
      <c r="C271" s="6" t="s">
        <v>10</v>
      </c>
      <c r="D271" s="6" t="s">
        <v>33</v>
      </c>
      <c r="E271" s="6" t="s">
        <v>36</v>
      </c>
      <c r="F271" s="6" t="s">
        <v>22</v>
      </c>
      <c r="G271" s="6" t="s">
        <v>14</v>
      </c>
      <c r="H271" s="6" t="s">
        <v>14</v>
      </c>
      <c r="I271" s="9">
        <v>67680</v>
      </c>
    </row>
    <row r="272" spans="1:9" x14ac:dyDescent="0.3">
      <c r="A272" s="8" t="s">
        <v>303</v>
      </c>
      <c r="B272" s="7">
        <v>46193</v>
      </c>
      <c r="C272" s="6" t="s">
        <v>10</v>
      </c>
      <c r="D272" s="6" t="s">
        <v>11</v>
      </c>
      <c r="E272" s="6" t="s">
        <v>16</v>
      </c>
      <c r="F272" s="6" t="s">
        <v>17</v>
      </c>
      <c r="G272" s="6" t="s">
        <v>14</v>
      </c>
      <c r="H272" s="6" t="s">
        <v>14</v>
      </c>
      <c r="I272" s="9">
        <v>82316</v>
      </c>
    </row>
    <row r="273" spans="1:9" x14ac:dyDescent="0.3">
      <c r="A273" s="8" t="s">
        <v>304</v>
      </c>
      <c r="B273" s="7">
        <v>46194</v>
      </c>
      <c r="C273" s="6" t="s">
        <v>10</v>
      </c>
      <c r="D273" s="6" t="s">
        <v>14</v>
      </c>
      <c r="E273" s="6" t="s">
        <v>40</v>
      </c>
      <c r="F273" s="6" t="s">
        <v>17</v>
      </c>
      <c r="G273" s="6" t="s">
        <v>14</v>
      </c>
      <c r="H273" s="6" t="s">
        <v>14</v>
      </c>
      <c r="I273" s="9">
        <v>67591</v>
      </c>
    </row>
    <row r="274" spans="1:9" x14ac:dyDescent="0.3">
      <c r="A274" s="8" t="s">
        <v>305</v>
      </c>
      <c r="B274" s="7">
        <v>46194</v>
      </c>
      <c r="C274" s="6" t="s">
        <v>10</v>
      </c>
      <c r="D274" s="6" t="s">
        <v>20</v>
      </c>
      <c r="E274" s="6" t="s">
        <v>30</v>
      </c>
      <c r="F274" s="6" t="s">
        <v>25</v>
      </c>
      <c r="G274" s="6" t="s">
        <v>14</v>
      </c>
      <c r="H274" s="6" t="s">
        <v>14</v>
      </c>
      <c r="I274" s="9">
        <v>47247</v>
      </c>
    </row>
    <row r="275" spans="1:9" x14ac:dyDescent="0.3">
      <c r="A275" s="8" t="s">
        <v>306</v>
      </c>
      <c r="B275" s="7">
        <v>46194</v>
      </c>
      <c r="C275" s="6" t="s">
        <v>19</v>
      </c>
      <c r="D275" s="6" t="s">
        <v>20</v>
      </c>
      <c r="E275" s="6" t="s">
        <v>52</v>
      </c>
      <c r="F275" s="6" t="s">
        <v>17</v>
      </c>
      <c r="G275" s="6" t="s">
        <v>14</v>
      </c>
      <c r="H275" s="6" t="s">
        <v>14</v>
      </c>
      <c r="I275" s="9">
        <v>70656</v>
      </c>
    </row>
    <row r="276" spans="1:9" x14ac:dyDescent="0.3">
      <c r="A276" s="8" t="s">
        <v>307</v>
      </c>
      <c r="B276" s="7">
        <v>46195</v>
      </c>
      <c r="C276" s="6" t="s">
        <v>19</v>
      </c>
      <c r="D276" s="6" t="s">
        <v>11</v>
      </c>
      <c r="E276" s="6" t="s">
        <v>12</v>
      </c>
      <c r="F276" s="6" t="s">
        <v>31</v>
      </c>
      <c r="G276" s="6" t="s">
        <v>14</v>
      </c>
      <c r="H276" s="6" t="s">
        <v>14</v>
      </c>
      <c r="I276" s="9">
        <v>48668</v>
      </c>
    </row>
    <row r="277" spans="1:9" x14ac:dyDescent="0.3">
      <c r="A277" s="8" t="s">
        <v>308</v>
      </c>
      <c r="B277" s="7">
        <v>46195</v>
      </c>
      <c r="C277" s="6" t="s">
        <v>19</v>
      </c>
      <c r="D277" s="6" t="s">
        <v>20</v>
      </c>
      <c r="E277" s="6" t="s">
        <v>21</v>
      </c>
      <c r="F277" s="6" t="s">
        <v>22</v>
      </c>
      <c r="G277" s="6" t="s">
        <v>14</v>
      </c>
      <c r="H277" s="6" t="s">
        <v>14</v>
      </c>
      <c r="I277" s="9">
        <v>17415</v>
      </c>
    </row>
    <row r="278" spans="1:9" x14ac:dyDescent="0.3">
      <c r="A278" s="8" t="s">
        <v>309</v>
      </c>
      <c r="B278" s="7">
        <v>46196</v>
      </c>
      <c r="C278" s="6" t="s">
        <v>19</v>
      </c>
      <c r="D278" s="6" t="s">
        <v>33</v>
      </c>
      <c r="E278" s="6" t="s">
        <v>36</v>
      </c>
      <c r="F278" s="6" t="s">
        <v>17</v>
      </c>
      <c r="G278" s="6" t="s">
        <v>14</v>
      </c>
      <c r="H278" s="6" t="s">
        <v>14</v>
      </c>
      <c r="I278" s="9">
        <v>49892</v>
      </c>
    </row>
    <row r="279" spans="1:9" x14ac:dyDescent="0.3">
      <c r="A279" s="8" t="s">
        <v>310</v>
      </c>
      <c r="B279" s="7">
        <v>46196</v>
      </c>
      <c r="C279" s="6" t="s">
        <v>19</v>
      </c>
      <c r="D279" s="6" t="s">
        <v>11</v>
      </c>
      <c r="E279" s="6" t="s">
        <v>27</v>
      </c>
      <c r="F279" s="6" t="s">
        <v>13</v>
      </c>
      <c r="G279" s="6" t="s">
        <v>14</v>
      </c>
      <c r="H279" s="6" t="s">
        <v>14</v>
      </c>
      <c r="I279" s="9">
        <v>82173</v>
      </c>
    </row>
    <row r="280" spans="1:9" x14ac:dyDescent="0.3">
      <c r="A280" s="8" t="s">
        <v>311</v>
      </c>
      <c r="B280" s="7">
        <v>46196</v>
      </c>
      <c r="C280" s="6" t="s">
        <v>19</v>
      </c>
      <c r="D280" s="6" t="s">
        <v>20</v>
      </c>
      <c r="E280" s="6" t="s">
        <v>52</v>
      </c>
      <c r="F280" s="6" t="s">
        <v>25</v>
      </c>
      <c r="G280" s="6" t="s">
        <v>14</v>
      </c>
      <c r="H280" s="6" t="s">
        <v>14</v>
      </c>
      <c r="I280" s="9">
        <v>13605</v>
      </c>
    </row>
    <row r="281" spans="1:9" x14ac:dyDescent="0.3">
      <c r="A281" s="8" t="s">
        <v>312</v>
      </c>
      <c r="B281" s="7">
        <v>46197</v>
      </c>
      <c r="C281" s="6" t="s">
        <v>10</v>
      </c>
      <c r="D281" s="6" t="s">
        <v>14</v>
      </c>
      <c r="E281" s="6" t="s">
        <v>40</v>
      </c>
      <c r="F281" s="6" t="s">
        <v>22</v>
      </c>
      <c r="G281" s="6" t="s">
        <v>14</v>
      </c>
      <c r="H281" s="6" t="s">
        <v>14</v>
      </c>
      <c r="I281" s="9">
        <v>21268</v>
      </c>
    </row>
    <row r="282" spans="1:9" x14ac:dyDescent="0.3">
      <c r="A282" s="8" t="s">
        <v>313</v>
      </c>
      <c r="B282" s="7">
        <v>46198</v>
      </c>
      <c r="C282" s="6" t="s">
        <v>10</v>
      </c>
      <c r="D282" s="6" t="s">
        <v>14</v>
      </c>
      <c r="E282" s="6" t="s">
        <v>24</v>
      </c>
      <c r="F282" s="6" t="s">
        <v>22</v>
      </c>
      <c r="G282" s="6" t="s">
        <v>14</v>
      </c>
      <c r="H282" s="6" t="s">
        <v>14</v>
      </c>
      <c r="I282" s="9">
        <v>78803</v>
      </c>
    </row>
    <row r="283" spans="1:9" x14ac:dyDescent="0.3">
      <c r="A283" s="8" t="s">
        <v>314</v>
      </c>
      <c r="B283" s="7">
        <v>46198</v>
      </c>
      <c r="C283" s="6" t="s">
        <v>10</v>
      </c>
      <c r="D283" s="6" t="s">
        <v>11</v>
      </c>
      <c r="E283" s="6" t="s">
        <v>16</v>
      </c>
      <c r="F283" s="6" t="s">
        <v>31</v>
      </c>
      <c r="G283" s="6" t="s">
        <v>14</v>
      </c>
      <c r="H283" s="6" t="s">
        <v>14</v>
      </c>
      <c r="I283" s="9">
        <v>62993</v>
      </c>
    </row>
    <row r="284" spans="1:9" x14ac:dyDescent="0.3">
      <c r="A284" s="8" t="s">
        <v>315</v>
      </c>
      <c r="B284" s="7">
        <v>46199</v>
      </c>
      <c r="C284" s="6" t="s">
        <v>10</v>
      </c>
      <c r="D284" s="6" t="s">
        <v>33</v>
      </c>
      <c r="E284" s="6" t="s">
        <v>44</v>
      </c>
      <c r="F284" s="6" t="s">
        <v>31</v>
      </c>
      <c r="G284" s="6" t="s">
        <v>14</v>
      </c>
      <c r="H284" s="6" t="s">
        <v>14</v>
      </c>
      <c r="I284" s="9">
        <v>33834</v>
      </c>
    </row>
    <row r="285" spans="1:9" x14ac:dyDescent="0.3">
      <c r="A285" s="8" t="s">
        <v>316</v>
      </c>
      <c r="B285" s="7">
        <v>46199</v>
      </c>
      <c r="C285" s="6" t="s">
        <v>10</v>
      </c>
      <c r="D285" s="6" t="s">
        <v>20</v>
      </c>
      <c r="E285" s="6" t="s">
        <v>52</v>
      </c>
      <c r="F285" s="6" t="s">
        <v>22</v>
      </c>
      <c r="G285" s="6" t="s">
        <v>14</v>
      </c>
      <c r="H285" s="6" t="s">
        <v>14</v>
      </c>
      <c r="I285" s="9">
        <v>40251</v>
      </c>
    </row>
    <row r="286" spans="1:9" x14ac:dyDescent="0.3">
      <c r="A286" s="8" t="s">
        <v>317</v>
      </c>
      <c r="B286" s="7">
        <v>46199</v>
      </c>
      <c r="C286" s="6" t="s">
        <v>19</v>
      </c>
      <c r="D286" s="6" t="s">
        <v>14</v>
      </c>
      <c r="E286" s="6" t="s">
        <v>40</v>
      </c>
      <c r="F286" s="6" t="s">
        <v>13</v>
      </c>
      <c r="G286" s="6" t="s">
        <v>14</v>
      </c>
      <c r="H286" s="6" t="s">
        <v>14</v>
      </c>
      <c r="I286" s="9">
        <v>33545</v>
      </c>
    </row>
    <row r="287" spans="1:9" x14ac:dyDescent="0.3">
      <c r="A287" s="8" t="s">
        <v>318</v>
      </c>
      <c r="B287" s="7">
        <v>46199</v>
      </c>
      <c r="C287" s="6" t="s">
        <v>19</v>
      </c>
      <c r="D287" s="6" t="s">
        <v>14</v>
      </c>
      <c r="E287" s="6" t="s">
        <v>47</v>
      </c>
      <c r="F287" s="6" t="s">
        <v>25</v>
      </c>
      <c r="G287" s="6" t="s">
        <v>14</v>
      </c>
      <c r="H287" s="6" t="s">
        <v>14</v>
      </c>
      <c r="I287" s="9">
        <v>21435</v>
      </c>
    </row>
    <row r="288" spans="1:9" x14ac:dyDescent="0.3">
      <c r="A288" s="8" t="s">
        <v>319</v>
      </c>
      <c r="B288" s="7">
        <v>46199</v>
      </c>
      <c r="C288" s="6" t="s">
        <v>19</v>
      </c>
      <c r="D288" s="6" t="s">
        <v>11</v>
      </c>
      <c r="E288" s="6" t="s">
        <v>12</v>
      </c>
      <c r="F288" s="6" t="s">
        <v>25</v>
      </c>
      <c r="G288" s="6" t="s">
        <v>14</v>
      </c>
      <c r="H288" s="6" t="s">
        <v>14</v>
      </c>
      <c r="I288" s="9">
        <v>28907</v>
      </c>
    </row>
    <row r="289" spans="1:9" x14ac:dyDescent="0.3">
      <c r="A289" s="8" t="s">
        <v>320</v>
      </c>
      <c r="B289" s="7">
        <v>46199</v>
      </c>
      <c r="C289" s="6" t="s">
        <v>19</v>
      </c>
      <c r="D289" s="6" t="s">
        <v>20</v>
      </c>
      <c r="E289" s="6" t="s">
        <v>30</v>
      </c>
      <c r="F289" s="6" t="s">
        <v>13</v>
      </c>
      <c r="G289" s="6" t="s">
        <v>14</v>
      </c>
      <c r="H289" s="6" t="s">
        <v>14</v>
      </c>
      <c r="I289" s="9">
        <v>79584</v>
      </c>
    </row>
    <row r="290" spans="1:9" x14ac:dyDescent="0.3">
      <c r="A290" s="8" t="s">
        <v>321</v>
      </c>
      <c r="B290" s="7">
        <v>46203</v>
      </c>
      <c r="C290" s="6" t="s">
        <v>10</v>
      </c>
      <c r="D290" s="6" t="s">
        <v>14</v>
      </c>
      <c r="E290" s="6" t="s">
        <v>24</v>
      </c>
      <c r="F290" s="6" t="s">
        <v>25</v>
      </c>
      <c r="G290" s="6" t="s">
        <v>322</v>
      </c>
      <c r="H290" s="6" t="s">
        <v>323</v>
      </c>
      <c r="I290" s="9">
        <v>150000</v>
      </c>
    </row>
    <row r="291" spans="1:9" x14ac:dyDescent="0.3">
      <c r="A291" s="8" t="s">
        <v>324</v>
      </c>
      <c r="B291" s="7">
        <v>46203</v>
      </c>
      <c r="C291" s="6" t="s">
        <v>10</v>
      </c>
      <c r="D291" s="6" t="s">
        <v>14</v>
      </c>
      <c r="E291" s="6" t="s">
        <v>40</v>
      </c>
      <c r="F291" s="6" t="s">
        <v>22</v>
      </c>
      <c r="G291" s="6" t="s">
        <v>322</v>
      </c>
      <c r="H291" s="6" t="s">
        <v>14</v>
      </c>
      <c r="I291" s="9">
        <v>65000</v>
      </c>
    </row>
    <row r="292" spans="1:9" x14ac:dyDescent="0.3">
      <c r="A292" s="8" t="s">
        <v>325</v>
      </c>
      <c r="B292" s="7">
        <v>46203</v>
      </c>
      <c r="C292" s="6" t="s">
        <v>10</v>
      </c>
      <c r="D292" s="6" t="s">
        <v>33</v>
      </c>
      <c r="E292" s="6" t="s">
        <v>44</v>
      </c>
      <c r="F292" s="6" t="s">
        <v>17</v>
      </c>
      <c r="G292" s="6" t="s">
        <v>322</v>
      </c>
      <c r="H292" s="6" t="s">
        <v>326</v>
      </c>
      <c r="I292" s="9">
        <v>25000</v>
      </c>
    </row>
    <row r="293" spans="1:9" x14ac:dyDescent="0.3">
      <c r="A293" s="8" t="s">
        <v>327</v>
      </c>
      <c r="B293" s="7">
        <v>46203</v>
      </c>
      <c r="C293" s="6" t="s">
        <v>10</v>
      </c>
      <c r="D293" s="6" t="s">
        <v>11</v>
      </c>
      <c r="E293" s="6" t="s">
        <v>12</v>
      </c>
      <c r="F293" s="6" t="s">
        <v>13</v>
      </c>
      <c r="G293" s="6" t="s">
        <v>322</v>
      </c>
      <c r="H293" s="6" t="s">
        <v>328</v>
      </c>
      <c r="I293" s="9">
        <v>-45000</v>
      </c>
    </row>
    <row r="294" spans="1:9" x14ac:dyDescent="0.3">
      <c r="A294" s="8" t="s">
        <v>329</v>
      </c>
      <c r="B294" s="7">
        <v>46203</v>
      </c>
      <c r="C294" s="6" t="s">
        <v>19</v>
      </c>
      <c r="D294" s="6" t="s">
        <v>11</v>
      </c>
      <c r="E294" s="6" t="s">
        <v>27</v>
      </c>
      <c r="F294" s="6" t="s">
        <v>31</v>
      </c>
      <c r="G294" s="6" t="s">
        <v>322</v>
      </c>
      <c r="H294" s="6" t="s">
        <v>330</v>
      </c>
      <c r="I294" s="9">
        <v>-30000</v>
      </c>
    </row>
    <row r="295" spans="1:9" x14ac:dyDescent="0.3">
      <c r="A295" s="8" t="s">
        <v>331</v>
      </c>
      <c r="B295" s="7">
        <v>46203</v>
      </c>
      <c r="C295" s="6" t="s">
        <v>19</v>
      </c>
      <c r="D295" s="6" t="s">
        <v>20</v>
      </c>
      <c r="E295" s="6" t="s">
        <v>21</v>
      </c>
      <c r="F295" s="6" t="s">
        <v>28</v>
      </c>
      <c r="G295" s="6" t="s">
        <v>322</v>
      </c>
      <c r="H295" s="6" t="s">
        <v>332</v>
      </c>
      <c r="I295" s="9">
        <v>-20000</v>
      </c>
    </row>
    <row r="296" spans="1:9" x14ac:dyDescent="0.3">
      <c r="A296" s="13" t="s">
        <v>333</v>
      </c>
      <c r="B296" s="14">
        <v>46203</v>
      </c>
      <c r="C296" s="15" t="s">
        <v>19</v>
      </c>
      <c r="D296" s="15" t="s">
        <v>14</v>
      </c>
      <c r="E296" s="15" t="s">
        <v>47</v>
      </c>
      <c r="F296" s="15" t="s">
        <v>25</v>
      </c>
      <c r="G296" s="15" t="s">
        <v>322</v>
      </c>
      <c r="H296" s="15" t="s">
        <v>334</v>
      </c>
      <c r="I296" s="16">
        <v>145000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53"/>
  <sheetViews>
    <sheetView zoomScale="85" zoomScaleNormal="85" workbookViewId="0">
      <selection activeCell="B11" sqref="B11"/>
    </sheetView>
  </sheetViews>
  <sheetFormatPr defaultRowHeight="14.4" x14ac:dyDescent="0.3"/>
  <cols>
    <col min="1" max="1" width="11.6640625" customWidth="1"/>
    <col min="2" max="2" width="12.6640625" bestFit="1" customWidth="1"/>
    <col min="3" max="3" width="11" customWidth="1"/>
    <col min="4" max="4" width="13.33203125" customWidth="1"/>
    <col min="5" max="5" width="12.21875" bestFit="1" customWidth="1"/>
    <col min="6" max="6" width="10.5546875" customWidth="1"/>
    <col min="7" max="7" width="14" customWidth="1"/>
    <col min="8" max="8" width="18.33203125" bestFit="1" customWidth="1"/>
    <col min="9" max="9" width="9.88671875" customWidth="1"/>
  </cols>
  <sheetData>
    <row r="1" spans="1:9" x14ac:dyDescent="0.3">
      <c r="A1" s="10" t="s">
        <v>0</v>
      </c>
      <c r="B1" s="11" t="s">
        <v>1</v>
      </c>
      <c r="C1" s="11" t="s">
        <v>2</v>
      </c>
      <c r="D1" s="11" t="s">
        <v>3</v>
      </c>
      <c r="E1" s="11" t="s">
        <v>4</v>
      </c>
      <c r="F1" s="11" t="s">
        <v>5</v>
      </c>
      <c r="G1" s="11" t="s">
        <v>6</v>
      </c>
      <c r="H1" s="11" t="s">
        <v>7</v>
      </c>
      <c r="I1" s="12" t="s">
        <v>8</v>
      </c>
    </row>
    <row r="2" spans="1:9" hidden="1" x14ac:dyDescent="0.3">
      <c r="A2" s="8" t="s">
        <v>9</v>
      </c>
      <c r="B2" s="7">
        <v>46023</v>
      </c>
      <c r="C2" s="6" t="s">
        <v>10</v>
      </c>
      <c r="D2" s="6" t="s">
        <v>11</v>
      </c>
      <c r="E2" s="6" t="s">
        <v>12</v>
      </c>
      <c r="F2" s="6" t="s">
        <v>13</v>
      </c>
      <c r="G2" s="6" t="s">
        <v>14</v>
      </c>
      <c r="H2" s="6" t="s">
        <v>14</v>
      </c>
      <c r="I2" s="9">
        <v>50467</v>
      </c>
    </row>
    <row r="3" spans="1:9" hidden="1" x14ac:dyDescent="0.3">
      <c r="A3" s="8" t="s">
        <v>15</v>
      </c>
      <c r="B3" s="7">
        <v>46023</v>
      </c>
      <c r="C3" s="6" t="s">
        <v>10</v>
      </c>
      <c r="D3" s="6" t="s">
        <v>11</v>
      </c>
      <c r="E3" s="6" t="s">
        <v>16</v>
      </c>
      <c r="F3" s="6" t="s">
        <v>17</v>
      </c>
      <c r="G3" s="6" t="s">
        <v>14</v>
      </c>
      <c r="H3" s="6" t="s">
        <v>14</v>
      </c>
      <c r="I3" s="9">
        <v>78235</v>
      </c>
    </row>
    <row r="4" spans="1:9" hidden="1" x14ac:dyDescent="0.3">
      <c r="A4" s="8" t="s">
        <v>18</v>
      </c>
      <c r="B4" s="7">
        <v>46023</v>
      </c>
      <c r="C4" s="6" t="s">
        <v>19</v>
      </c>
      <c r="D4" s="6" t="s">
        <v>20</v>
      </c>
      <c r="E4" s="6" t="s">
        <v>21</v>
      </c>
      <c r="F4" s="6" t="s">
        <v>22</v>
      </c>
      <c r="G4" s="6" t="s">
        <v>14</v>
      </c>
      <c r="H4" s="6" t="s">
        <v>14</v>
      </c>
      <c r="I4" s="9">
        <v>59362</v>
      </c>
    </row>
    <row r="5" spans="1:9" hidden="1" x14ac:dyDescent="0.3">
      <c r="A5" s="8" t="s">
        <v>23</v>
      </c>
      <c r="B5" s="7">
        <v>46024</v>
      </c>
      <c r="C5" s="6" t="s">
        <v>19</v>
      </c>
      <c r="D5" s="6" t="s">
        <v>14</v>
      </c>
      <c r="E5" s="6" t="s">
        <v>24</v>
      </c>
      <c r="F5" s="6" t="s">
        <v>25</v>
      </c>
      <c r="G5" s="6" t="s">
        <v>14</v>
      </c>
      <c r="H5" s="6" t="s">
        <v>14</v>
      </c>
      <c r="I5" s="9">
        <v>15373</v>
      </c>
    </row>
    <row r="6" spans="1:9" hidden="1" x14ac:dyDescent="0.3">
      <c r="A6" s="8" t="s">
        <v>26</v>
      </c>
      <c r="B6" s="7">
        <v>46025</v>
      </c>
      <c r="C6" s="6" t="s">
        <v>10</v>
      </c>
      <c r="D6" s="6" t="s">
        <v>11</v>
      </c>
      <c r="E6" s="6" t="s">
        <v>27</v>
      </c>
      <c r="F6" s="6" t="s">
        <v>28</v>
      </c>
      <c r="G6" s="6" t="s">
        <v>14</v>
      </c>
      <c r="H6" s="6" t="s">
        <v>14</v>
      </c>
      <c r="I6" s="9">
        <v>72713</v>
      </c>
    </row>
    <row r="7" spans="1:9" hidden="1" x14ac:dyDescent="0.3">
      <c r="A7" s="8" t="s">
        <v>29</v>
      </c>
      <c r="B7" s="7">
        <v>46025</v>
      </c>
      <c r="C7" s="6" t="s">
        <v>19</v>
      </c>
      <c r="D7" s="6" t="s">
        <v>20</v>
      </c>
      <c r="E7" s="6" t="s">
        <v>30</v>
      </c>
      <c r="F7" s="6" t="s">
        <v>31</v>
      </c>
      <c r="G7" s="6" t="s">
        <v>14</v>
      </c>
      <c r="H7" s="6" t="s">
        <v>14</v>
      </c>
      <c r="I7" s="9">
        <v>25046</v>
      </c>
    </row>
    <row r="8" spans="1:9" hidden="1" x14ac:dyDescent="0.3">
      <c r="A8" s="8" t="s">
        <v>32</v>
      </c>
      <c r="B8" s="7">
        <v>46026</v>
      </c>
      <c r="C8" s="6" t="s">
        <v>10</v>
      </c>
      <c r="D8" s="6" t="s">
        <v>33</v>
      </c>
      <c r="E8" s="6" t="s">
        <v>34</v>
      </c>
      <c r="F8" s="6" t="s">
        <v>28</v>
      </c>
      <c r="G8" s="6" t="s">
        <v>14</v>
      </c>
      <c r="H8" s="6" t="s">
        <v>14</v>
      </c>
      <c r="I8" s="9">
        <v>75734</v>
      </c>
    </row>
    <row r="9" spans="1:9" hidden="1" x14ac:dyDescent="0.3">
      <c r="A9" s="8" t="s">
        <v>35</v>
      </c>
      <c r="B9" s="7">
        <v>46026</v>
      </c>
      <c r="C9" s="6" t="s">
        <v>19</v>
      </c>
      <c r="D9" s="6" t="s">
        <v>33</v>
      </c>
      <c r="E9" s="6" t="s">
        <v>36</v>
      </c>
      <c r="F9" s="6" t="s">
        <v>25</v>
      </c>
      <c r="G9" s="6" t="s">
        <v>14</v>
      </c>
      <c r="H9" s="6" t="s">
        <v>14</v>
      </c>
      <c r="I9" s="9">
        <v>58427</v>
      </c>
    </row>
    <row r="10" spans="1:9" hidden="1" x14ac:dyDescent="0.3">
      <c r="A10" s="8" t="s">
        <v>37</v>
      </c>
      <c r="B10" s="7">
        <v>46026</v>
      </c>
      <c r="C10" s="6" t="s">
        <v>19</v>
      </c>
      <c r="D10" s="6" t="s">
        <v>20</v>
      </c>
      <c r="E10" s="6" t="s">
        <v>21</v>
      </c>
      <c r="F10" s="6" t="s">
        <v>17</v>
      </c>
      <c r="G10" s="6" t="s">
        <v>14</v>
      </c>
      <c r="H10" s="6" t="s">
        <v>14</v>
      </c>
      <c r="I10" s="9">
        <v>44254</v>
      </c>
    </row>
    <row r="11" spans="1:9" hidden="1" x14ac:dyDescent="0.3">
      <c r="A11" s="8" t="s">
        <v>38</v>
      </c>
      <c r="B11" s="7">
        <v>46027</v>
      </c>
      <c r="C11" s="6" t="s">
        <v>10</v>
      </c>
      <c r="D11" s="6" t="s">
        <v>20</v>
      </c>
      <c r="E11" s="6" t="s">
        <v>21</v>
      </c>
      <c r="F11" s="6" t="s">
        <v>22</v>
      </c>
      <c r="G11" s="6" t="s">
        <v>14</v>
      </c>
      <c r="H11" s="6" t="s">
        <v>14</v>
      </c>
      <c r="I11" s="9">
        <v>74752</v>
      </c>
    </row>
    <row r="12" spans="1:9" hidden="1" x14ac:dyDescent="0.3">
      <c r="A12" s="8" t="s">
        <v>39</v>
      </c>
      <c r="B12" s="7">
        <v>46031</v>
      </c>
      <c r="C12" s="6" t="s">
        <v>10</v>
      </c>
      <c r="D12" s="6" t="s">
        <v>14</v>
      </c>
      <c r="E12" s="6" t="s">
        <v>40</v>
      </c>
      <c r="F12" s="6" t="s">
        <v>28</v>
      </c>
      <c r="G12" s="6" t="s">
        <v>14</v>
      </c>
      <c r="H12" s="6" t="s">
        <v>14</v>
      </c>
      <c r="I12" s="9">
        <v>55001</v>
      </c>
    </row>
    <row r="13" spans="1:9" hidden="1" x14ac:dyDescent="0.3">
      <c r="A13" s="8" t="s">
        <v>41</v>
      </c>
      <c r="B13" s="7">
        <v>46031</v>
      </c>
      <c r="C13" s="6" t="s">
        <v>10</v>
      </c>
      <c r="D13" s="6" t="s">
        <v>20</v>
      </c>
      <c r="E13" s="6" t="s">
        <v>30</v>
      </c>
      <c r="F13" s="6" t="s">
        <v>25</v>
      </c>
      <c r="G13" s="6" t="s">
        <v>14</v>
      </c>
      <c r="H13" s="6" t="s">
        <v>14</v>
      </c>
      <c r="I13" s="9">
        <v>13150</v>
      </c>
    </row>
    <row r="14" spans="1:9" hidden="1" x14ac:dyDescent="0.3">
      <c r="A14" s="8" t="s">
        <v>42</v>
      </c>
      <c r="B14" s="7">
        <v>46031</v>
      </c>
      <c r="C14" s="6" t="s">
        <v>19</v>
      </c>
      <c r="D14" s="6" t="s">
        <v>14</v>
      </c>
      <c r="E14" s="6" t="s">
        <v>40</v>
      </c>
      <c r="F14" s="6" t="s">
        <v>13</v>
      </c>
      <c r="G14" s="6" t="s">
        <v>14</v>
      </c>
      <c r="H14" s="6" t="s">
        <v>14</v>
      </c>
      <c r="I14" s="9">
        <v>80450</v>
      </c>
    </row>
    <row r="15" spans="1:9" hidden="1" x14ac:dyDescent="0.3">
      <c r="A15" s="8" t="s">
        <v>43</v>
      </c>
      <c r="B15" s="7">
        <v>46031</v>
      </c>
      <c r="C15" s="6" t="s">
        <v>19</v>
      </c>
      <c r="D15" s="6" t="s">
        <v>33</v>
      </c>
      <c r="E15" s="6" t="s">
        <v>44</v>
      </c>
      <c r="F15" s="6" t="s">
        <v>13</v>
      </c>
      <c r="G15" s="6" t="s">
        <v>14</v>
      </c>
      <c r="H15" s="6" t="s">
        <v>14</v>
      </c>
      <c r="I15" s="9">
        <v>69799</v>
      </c>
    </row>
    <row r="16" spans="1:9" hidden="1" x14ac:dyDescent="0.3">
      <c r="A16" s="8" t="s">
        <v>45</v>
      </c>
      <c r="B16" s="7">
        <v>46034</v>
      </c>
      <c r="C16" s="6" t="s">
        <v>19</v>
      </c>
      <c r="D16" s="6" t="s">
        <v>11</v>
      </c>
      <c r="E16" s="6" t="s">
        <v>27</v>
      </c>
      <c r="F16" s="6" t="s">
        <v>13</v>
      </c>
      <c r="G16" s="6" t="s">
        <v>14</v>
      </c>
      <c r="H16" s="6" t="s">
        <v>14</v>
      </c>
      <c r="I16" s="9">
        <v>44049</v>
      </c>
    </row>
    <row r="17" spans="1:9" hidden="1" x14ac:dyDescent="0.3">
      <c r="A17" s="8" t="s">
        <v>46</v>
      </c>
      <c r="B17" s="7">
        <v>46035</v>
      </c>
      <c r="C17" s="6" t="s">
        <v>10</v>
      </c>
      <c r="D17" s="6" t="s">
        <v>14</v>
      </c>
      <c r="E17" s="6" t="s">
        <v>47</v>
      </c>
      <c r="F17" s="6" t="s">
        <v>22</v>
      </c>
      <c r="G17" s="6" t="s">
        <v>14</v>
      </c>
      <c r="H17" s="6" t="s">
        <v>14</v>
      </c>
      <c r="I17" s="9">
        <v>51099</v>
      </c>
    </row>
    <row r="18" spans="1:9" hidden="1" x14ac:dyDescent="0.3">
      <c r="A18" s="8" t="s">
        <v>48</v>
      </c>
      <c r="B18" s="7">
        <v>46035</v>
      </c>
      <c r="C18" s="6" t="s">
        <v>10</v>
      </c>
      <c r="D18" s="6" t="s">
        <v>14</v>
      </c>
      <c r="E18" s="6" t="s">
        <v>47</v>
      </c>
      <c r="F18" s="6" t="s">
        <v>25</v>
      </c>
      <c r="G18" s="6" t="s">
        <v>14</v>
      </c>
      <c r="H18" s="6" t="s">
        <v>14</v>
      </c>
      <c r="I18" s="9">
        <v>63214</v>
      </c>
    </row>
    <row r="19" spans="1:9" hidden="1" x14ac:dyDescent="0.3">
      <c r="A19" s="8" t="s">
        <v>49</v>
      </c>
      <c r="B19" s="7">
        <v>46035</v>
      </c>
      <c r="C19" s="6" t="s">
        <v>19</v>
      </c>
      <c r="D19" s="6" t="s">
        <v>33</v>
      </c>
      <c r="E19" s="6" t="s">
        <v>44</v>
      </c>
      <c r="F19" s="6" t="s">
        <v>13</v>
      </c>
      <c r="G19" s="6" t="s">
        <v>14</v>
      </c>
      <c r="H19" s="6" t="s">
        <v>14</v>
      </c>
      <c r="I19" s="9">
        <v>51298</v>
      </c>
    </row>
    <row r="20" spans="1:9" hidden="1" x14ac:dyDescent="0.3">
      <c r="A20" s="8" t="s">
        <v>50</v>
      </c>
      <c r="B20" s="7">
        <v>46036</v>
      </c>
      <c r="C20" s="6" t="s">
        <v>10</v>
      </c>
      <c r="D20" s="6" t="s">
        <v>33</v>
      </c>
      <c r="E20" s="6" t="s">
        <v>44</v>
      </c>
      <c r="F20" s="6" t="s">
        <v>13</v>
      </c>
      <c r="G20" s="6" t="s">
        <v>14</v>
      </c>
      <c r="H20" s="6" t="s">
        <v>14</v>
      </c>
      <c r="I20" s="9">
        <v>18910</v>
      </c>
    </row>
    <row r="21" spans="1:9" hidden="1" x14ac:dyDescent="0.3">
      <c r="A21" s="8" t="s">
        <v>51</v>
      </c>
      <c r="B21" s="7">
        <v>46036</v>
      </c>
      <c r="C21" s="6" t="s">
        <v>10</v>
      </c>
      <c r="D21" s="6" t="s">
        <v>20</v>
      </c>
      <c r="E21" s="6" t="s">
        <v>52</v>
      </c>
      <c r="F21" s="6" t="s">
        <v>17</v>
      </c>
      <c r="G21" s="6" t="s">
        <v>14</v>
      </c>
      <c r="H21" s="6" t="s">
        <v>14</v>
      </c>
      <c r="I21" s="9">
        <v>18655</v>
      </c>
    </row>
    <row r="22" spans="1:9" hidden="1" x14ac:dyDescent="0.3">
      <c r="A22" s="8" t="s">
        <v>53</v>
      </c>
      <c r="B22" s="7">
        <v>46037</v>
      </c>
      <c r="C22" s="6" t="s">
        <v>10</v>
      </c>
      <c r="D22" s="6" t="s">
        <v>14</v>
      </c>
      <c r="E22" s="6" t="s">
        <v>24</v>
      </c>
      <c r="F22" s="6" t="s">
        <v>22</v>
      </c>
      <c r="G22" s="6" t="s">
        <v>14</v>
      </c>
      <c r="H22" s="6" t="s">
        <v>14</v>
      </c>
      <c r="I22" s="9">
        <v>12860</v>
      </c>
    </row>
    <row r="23" spans="1:9" hidden="1" x14ac:dyDescent="0.3">
      <c r="A23" s="8" t="s">
        <v>54</v>
      </c>
      <c r="B23" s="7">
        <v>46037</v>
      </c>
      <c r="C23" s="6" t="s">
        <v>10</v>
      </c>
      <c r="D23" s="6" t="s">
        <v>33</v>
      </c>
      <c r="E23" s="6" t="s">
        <v>44</v>
      </c>
      <c r="F23" s="6" t="s">
        <v>17</v>
      </c>
      <c r="G23" s="6" t="s">
        <v>14</v>
      </c>
      <c r="H23" s="6" t="s">
        <v>14</v>
      </c>
      <c r="I23" s="9">
        <v>12206</v>
      </c>
    </row>
    <row r="24" spans="1:9" hidden="1" x14ac:dyDescent="0.3">
      <c r="A24" s="8" t="s">
        <v>55</v>
      </c>
      <c r="B24" s="7">
        <v>46037</v>
      </c>
      <c r="C24" s="6" t="s">
        <v>10</v>
      </c>
      <c r="D24" s="6" t="s">
        <v>20</v>
      </c>
      <c r="E24" s="6" t="s">
        <v>52</v>
      </c>
      <c r="F24" s="6" t="s">
        <v>31</v>
      </c>
      <c r="G24" s="6" t="s">
        <v>14</v>
      </c>
      <c r="H24" s="6" t="s">
        <v>14</v>
      </c>
      <c r="I24" s="9">
        <v>67766</v>
      </c>
    </row>
    <row r="25" spans="1:9" hidden="1" x14ac:dyDescent="0.3">
      <c r="A25" s="8" t="s">
        <v>56</v>
      </c>
      <c r="B25" s="7">
        <v>46037</v>
      </c>
      <c r="C25" s="6" t="s">
        <v>19</v>
      </c>
      <c r="D25" s="6" t="s">
        <v>14</v>
      </c>
      <c r="E25" s="6" t="s">
        <v>47</v>
      </c>
      <c r="F25" s="6" t="s">
        <v>31</v>
      </c>
      <c r="G25" s="6" t="s">
        <v>14</v>
      </c>
      <c r="H25" s="6" t="s">
        <v>14</v>
      </c>
      <c r="I25" s="9">
        <v>18801</v>
      </c>
    </row>
    <row r="26" spans="1:9" hidden="1" x14ac:dyDescent="0.3">
      <c r="A26" s="8" t="s">
        <v>57</v>
      </c>
      <c r="B26" s="7">
        <v>46039</v>
      </c>
      <c r="C26" s="6" t="s">
        <v>10</v>
      </c>
      <c r="D26" s="6" t="s">
        <v>11</v>
      </c>
      <c r="E26" s="6" t="s">
        <v>27</v>
      </c>
      <c r="F26" s="6" t="s">
        <v>25</v>
      </c>
      <c r="G26" s="6" t="s">
        <v>14</v>
      </c>
      <c r="H26" s="6" t="s">
        <v>14</v>
      </c>
      <c r="I26" s="9">
        <v>28371</v>
      </c>
    </row>
    <row r="27" spans="1:9" hidden="1" x14ac:dyDescent="0.3">
      <c r="A27" s="8" t="s">
        <v>58</v>
      </c>
      <c r="B27" s="7">
        <v>46039</v>
      </c>
      <c r="C27" s="6" t="s">
        <v>19</v>
      </c>
      <c r="D27" s="6" t="s">
        <v>14</v>
      </c>
      <c r="E27" s="6" t="s">
        <v>24</v>
      </c>
      <c r="F27" s="6" t="s">
        <v>25</v>
      </c>
      <c r="G27" s="6" t="s">
        <v>14</v>
      </c>
      <c r="H27" s="6" t="s">
        <v>14</v>
      </c>
      <c r="I27" s="9">
        <v>39350</v>
      </c>
    </row>
    <row r="28" spans="1:9" hidden="1" x14ac:dyDescent="0.3">
      <c r="A28" s="8" t="s">
        <v>59</v>
      </c>
      <c r="B28" s="7">
        <v>46039</v>
      </c>
      <c r="C28" s="6" t="s">
        <v>19</v>
      </c>
      <c r="D28" s="6" t="s">
        <v>33</v>
      </c>
      <c r="E28" s="6" t="s">
        <v>34</v>
      </c>
      <c r="F28" s="6" t="s">
        <v>22</v>
      </c>
      <c r="G28" s="6" t="s">
        <v>14</v>
      </c>
      <c r="H28" s="6" t="s">
        <v>14</v>
      </c>
      <c r="I28" s="9">
        <v>32309</v>
      </c>
    </row>
    <row r="29" spans="1:9" hidden="1" x14ac:dyDescent="0.3">
      <c r="A29" s="8" t="s">
        <v>60</v>
      </c>
      <c r="B29" s="7">
        <v>46039</v>
      </c>
      <c r="C29" s="6" t="s">
        <v>19</v>
      </c>
      <c r="D29" s="6" t="s">
        <v>11</v>
      </c>
      <c r="E29" s="6" t="s">
        <v>12</v>
      </c>
      <c r="F29" s="6" t="s">
        <v>31</v>
      </c>
      <c r="G29" s="6" t="s">
        <v>14</v>
      </c>
      <c r="H29" s="6" t="s">
        <v>14</v>
      </c>
      <c r="I29" s="9">
        <v>67479</v>
      </c>
    </row>
    <row r="30" spans="1:9" hidden="1" x14ac:dyDescent="0.3">
      <c r="A30" s="8" t="s">
        <v>61</v>
      </c>
      <c r="B30" s="7">
        <v>46042</v>
      </c>
      <c r="C30" s="6" t="s">
        <v>10</v>
      </c>
      <c r="D30" s="6" t="s">
        <v>33</v>
      </c>
      <c r="E30" s="6" t="s">
        <v>36</v>
      </c>
      <c r="F30" s="6" t="s">
        <v>17</v>
      </c>
      <c r="G30" s="6" t="s">
        <v>14</v>
      </c>
      <c r="H30" s="6" t="s">
        <v>14</v>
      </c>
      <c r="I30" s="9">
        <v>18776</v>
      </c>
    </row>
    <row r="31" spans="1:9" hidden="1" x14ac:dyDescent="0.3">
      <c r="A31" s="8" t="s">
        <v>62</v>
      </c>
      <c r="B31" s="7">
        <v>46042</v>
      </c>
      <c r="C31" s="6" t="s">
        <v>19</v>
      </c>
      <c r="D31" s="6" t="s">
        <v>14</v>
      </c>
      <c r="E31" s="6" t="s">
        <v>40</v>
      </c>
      <c r="F31" s="6" t="s">
        <v>22</v>
      </c>
      <c r="G31" s="6" t="s">
        <v>14</v>
      </c>
      <c r="H31" s="6" t="s">
        <v>14</v>
      </c>
      <c r="I31" s="9">
        <v>26397</v>
      </c>
    </row>
    <row r="32" spans="1:9" hidden="1" x14ac:dyDescent="0.3">
      <c r="A32" s="8" t="s">
        <v>63</v>
      </c>
      <c r="B32" s="7">
        <v>46042</v>
      </c>
      <c r="C32" s="6" t="s">
        <v>19</v>
      </c>
      <c r="D32" s="6" t="s">
        <v>11</v>
      </c>
      <c r="E32" s="6" t="s">
        <v>12</v>
      </c>
      <c r="F32" s="6" t="s">
        <v>17</v>
      </c>
      <c r="G32" s="6" t="s">
        <v>14</v>
      </c>
      <c r="H32" s="6" t="s">
        <v>14</v>
      </c>
      <c r="I32" s="9">
        <v>31963</v>
      </c>
    </row>
    <row r="33" spans="1:9" hidden="1" x14ac:dyDescent="0.3">
      <c r="A33" s="8" t="s">
        <v>64</v>
      </c>
      <c r="B33" s="7">
        <v>46043</v>
      </c>
      <c r="C33" s="6" t="s">
        <v>10</v>
      </c>
      <c r="D33" s="6" t="s">
        <v>11</v>
      </c>
      <c r="E33" s="6" t="s">
        <v>16</v>
      </c>
      <c r="F33" s="6" t="s">
        <v>25</v>
      </c>
      <c r="G33" s="6" t="s">
        <v>14</v>
      </c>
      <c r="H33" s="6" t="s">
        <v>14</v>
      </c>
      <c r="I33" s="9">
        <v>22492</v>
      </c>
    </row>
    <row r="34" spans="1:9" hidden="1" x14ac:dyDescent="0.3">
      <c r="A34" s="8" t="s">
        <v>65</v>
      </c>
      <c r="B34" s="7">
        <v>46043</v>
      </c>
      <c r="C34" s="6" t="s">
        <v>10</v>
      </c>
      <c r="D34" s="6" t="s">
        <v>20</v>
      </c>
      <c r="E34" s="6" t="s">
        <v>30</v>
      </c>
      <c r="F34" s="6" t="s">
        <v>25</v>
      </c>
      <c r="G34" s="6" t="s">
        <v>14</v>
      </c>
      <c r="H34" s="6" t="s">
        <v>14</v>
      </c>
      <c r="I34" s="9">
        <v>44217</v>
      </c>
    </row>
    <row r="35" spans="1:9" hidden="1" x14ac:dyDescent="0.3">
      <c r="A35" s="8" t="s">
        <v>66</v>
      </c>
      <c r="B35" s="7">
        <v>46043</v>
      </c>
      <c r="C35" s="6" t="s">
        <v>19</v>
      </c>
      <c r="D35" s="6" t="s">
        <v>33</v>
      </c>
      <c r="E35" s="6" t="s">
        <v>36</v>
      </c>
      <c r="F35" s="6" t="s">
        <v>22</v>
      </c>
      <c r="G35" s="6" t="s">
        <v>14</v>
      </c>
      <c r="H35" s="6" t="s">
        <v>14</v>
      </c>
      <c r="I35" s="9">
        <v>35959</v>
      </c>
    </row>
    <row r="36" spans="1:9" hidden="1" x14ac:dyDescent="0.3">
      <c r="A36" s="8" t="s">
        <v>67</v>
      </c>
      <c r="B36" s="7">
        <v>46044</v>
      </c>
      <c r="C36" s="6" t="s">
        <v>10</v>
      </c>
      <c r="D36" s="6" t="s">
        <v>20</v>
      </c>
      <c r="E36" s="6" t="s">
        <v>21</v>
      </c>
      <c r="F36" s="6" t="s">
        <v>22</v>
      </c>
      <c r="G36" s="6" t="s">
        <v>14</v>
      </c>
      <c r="H36" s="6" t="s">
        <v>14</v>
      </c>
      <c r="I36" s="9">
        <v>35049</v>
      </c>
    </row>
    <row r="37" spans="1:9" hidden="1" x14ac:dyDescent="0.3">
      <c r="A37" s="8" t="s">
        <v>68</v>
      </c>
      <c r="B37" s="7">
        <v>46044</v>
      </c>
      <c r="C37" s="6" t="s">
        <v>19</v>
      </c>
      <c r="D37" s="6" t="s">
        <v>11</v>
      </c>
      <c r="E37" s="6" t="s">
        <v>27</v>
      </c>
      <c r="F37" s="6" t="s">
        <v>25</v>
      </c>
      <c r="G37" s="6" t="s">
        <v>14</v>
      </c>
      <c r="H37" s="6" t="s">
        <v>14</v>
      </c>
      <c r="I37" s="9">
        <v>70017</v>
      </c>
    </row>
    <row r="38" spans="1:9" hidden="1" x14ac:dyDescent="0.3">
      <c r="A38" s="8" t="s">
        <v>69</v>
      </c>
      <c r="B38" s="7">
        <v>46044</v>
      </c>
      <c r="C38" s="6" t="s">
        <v>19</v>
      </c>
      <c r="D38" s="6" t="s">
        <v>11</v>
      </c>
      <c r="E38" s="6" t="s">
        <v>16</v>
      </c>
      <c r="F38" s="6" t="s">
        <v>31</v>
      </c>
      <c r="G38" s="6" t="s">
        <v>14</v>
      </c>
      <c r="H38" s="6" t="s">
        <v>14</v>
      </c>
      <c r="I38" s="9">
        <v>17240</v>
      </c>
    </row>
    <row r="39" spans="1:9" hidden="1" x14ac:dyDescent="0.3">
      <c r="A39" s="8" t="s">
        <v>70</v>
      </c>
      <c r="B39" s="7">
        <v>46046</v>
      </c>
      <c r="C39" s="6" t="s">
        <v>10</v>
      </c>
      <c r="D39" s="6" t="s">
        <v>11</v>
      </c>
      <c r="E39" s="6" t="s">
        <v>12</v>
      </c>
      <c r="F39" s="6" t="s">
        <v>17</v>
      </c>
      <c r="G39" s="6" t="s">
        <v>14</v>
      </c>
      <c r="H39" s="6" t="s">
        <v>14</v>
      </c>
      <c r="I39" s="9">
        <v>15987</v>
      </c>
    </row>
    <row r="40" spans="1:9" hidden="1" x14ac:dyDescent="0.3">
      <c r="A40" s="8" t="s">
        <v>71</v>
      </c>
      <c r="B40" s="7">
        <v>46046</v>
      </c>
      <c r="C40" s="6" t="s">
        <v>19</v>
      </c>
      <c r="D40" s="6" t="s">
        <v>20</v>
      </c>
      <c r="E40" s="6" t="s">
        <v>30</v>
      </c>
      <c r="F40" s="6" t="s">
        <v>17</v>
      </c>
      <c r="G40" s="6" t="s">
        <v>14</v>
      </c>
      <c r="H40" s="6" t="s">
        <v>14</v>
      </c>
      <c r="I40" s="9">
        <v>68138</v>
      </c>
    </row>
    <row r="41" spans="1:9" hidden="1" x14ac:dyDescent="0.3">
      <c r="A41" s="8" t="s">
        <v>72</v>
      </c>
      <c r="B41" s="7">
        <v>46047</v>
      </c>
      <c r="C41" s="6" t="s">
        <v>10</v>
      </c>
      <c r="D41" s="6" t="s">
        <v>14</v>
      </c>
      <c r="E41" s="6" t="s">
        <v>40</v>
      </c>
      <c r="F41" s="6" t="s">
        <v>25</v>
      </c>
      <c r="G41" s="6" t="s">
        <v>14</v>
      </c>
      <c r="H41" s="6" t="s">
        <v>14</v>
      </c>
      <c r="I41" s="9">
        <v>22627</v>
      </c>
    </row>
    <row r="42" spans="1:9" hidden="1" x14ac:dyDescent="0.3">
      <c r="A42" s="8" t="s">
        <v>73</v>
      </c>
      <c r="B42" s="7">
        <v>46047</v>
      </c>
      <c r="C42" s="6" t="s">
        <v>10</v>
      </c>
      <c r="D42" s="6" t="s">
        <v>33</v>
      </c>
      <c r="E42" s="6" t="s">
        <v>36</v>
      </c>
      <c r="F42" s="6" t="s">
        <v>28</v>
      </c>
      <c r="G42" s="6" t="s">
        <v>14</v>
      </c>
      <c r="H42" s="6" t="s">
        <v>14</v>
      </c>
      <c r="I42" s="9">
        <v>42080</v>
      </c>
    </row>
    <row r="43" spans="1:9" hidden="1" x14ac:dyDescent="0.3">
      <c r="A43" s="8" t="s">
        <v>74</v>
      </c>
      <c r="B43" s="7">
        <v>46047</v>
      </c>
      <c r="C43" s="6" t="s">
        <v>19</v>
      </c>
      <c r="D43" s="6" t="s">
        <v>20</v>
      </c>
      <c r="E43" s="6" t="s">
        <v>52</v>
      </c>
      <c r="F43" s="6" t="s">
        <v>25</v>
      </c>
      <c r="G43" s="6" t="s">
        <v>14</v>
      </c>
      <c r="H43" s="6" t="s">
        <v>14</v>
      </c>
      <c r="I43" s="9">
        <v>13062</v>
      </c>
    </row>
    <row r="44" spans="1:9" hidden="1" x14ac:dyDescent="0.3">
      <c r="A44" s="8" t="s">
        <v>75</v>
      </c>
      <c r="B44" s="7">
        <v>46048</v>
      </c>
      <c r="C44" s="6" t="s">
        <v>10</v>
      </c>
      <c r="D44" s="6" t="s">
        <v>14</v>
      </c>
      <c r="E44" s="6" t="s">
        <v>24</v>
      </c>
      <c r="F44" s="6" t="s">
        <v>13</v>
      </c>
      <c r="G44" s="6" t="s">
        <v>14</v>
      </c>
      <c r="H44" s="6" t="s">
        <v>14</v>
      </c>
      <c r="I44" s="9">
        <v>66886</v>
      </c>
    </row>
    <row r="45" spans="1:9" hidden="1" x14ac:dyDescent="0.3">
      <c r="A45" s="8" t="s">
        <v>76</v>
      </c>
      <c r="B45" s="7">
        <v>46048</v>
      </c>
      <c r="C45" s="6" t="s">
        <v>10</v>
      </c>
      <c r="D45" s="6" t="s">
        <v>33</v>
      </c>
      <c r="E45" s="6" t="s">
        <v>34</v>
      </c>
      <c r="F45" s="6" t="s">
        <v>13</v>
      </c>
      <c r="G45" s="6" t="s">
        <v>14</v>
      </c>
      <c r="H45" s="6" t="s">
        <v>14</v>
      </c>
      <c r="I45" s="9">
        <v>62859</v>
      </c>
    </row>
    <row r="46" spans="1:9" hidden="1" x14ac:dyDescent="0.3">
      <c r="A46" s="8" t="s">
        <v>77</v>
      </c>
      <c r="B46" s="7">
        <v>46048</v>
      </c>
      <c r="C46" s="6" t="s">
        <v>19</v>
      </c>
      <c r="D46" s="6" t="s">
        <v>14</v>
      </c>
      <c r="E46" s="6" t="s">
        <v>47</v>
      </c>
      <c r="F46" s="6" t="s">
        <v>25</v>
      </c>
      <c r="G46" s="6" t="s">
        <v>14</v>
      </c>
      <c r="H46" s="6" t="s">
        <v>14</v>
      </c>
      <c r="I46" s="9">
        <v>35625</v>
      </c>
    </row>
    <row r="47" spans="1:9" hidden="1" x14ac:dyDescent="0.3">
      <c r="A47" s="8" t="s">
        <v>78</v>
      </c>
      <c r="B47" s="7">
        <v>46048</v>
      </c>
      <c r="C47" s="6" t="s">
        <v>19</v>
      </c>
      <c r="D47" s="6" t="s">
        <v>33</v>
      </c>
      <c r="E47" s="6" t="s">
        <v>34</v>
      </c>
      <c r="F47" s="6" t="s">
        <v>17</v>
      </c>
      <c r="G47" s="6" t="s">
        <v>14</v>
      </c>
      <c r="H47" s="6" t="s">
        <v>14</v>
      </c>
      <c r="I47" s="9">
        <v>74292</v>
      </c>
    </row>
    <row r="48" spans="1:9" hidden="1" x14ac:dyDescent="0.3">
      <c r="A48" s="8" t="s">
        <v>79</v>
      </c>
      <c r="B48" s="7">
        <v>46048</v>
      </c>
      <c r="C48" s="6" t="s">
        <v>19</v>
      </c>
      <c r="D48" s="6" t="s">
        <v>11</v>
      </c>
      <c r="E48" s="6" t="s">
        <v>16</v>
      </c>
      <c r="F48" s="6" t="s">
        <v>31</v>
      </c>
      <c r="G48" s="6" t="s">
        <v>14</v>
      </c>
      <c r="H48" s="6" t="s">
        <v>14</v>
      </c>
      <c r="I48" s="9">
        <v>35624</v>
      </c>
    </row>
    <row r="49" spans="1:9" hidden="1" x14ac:dyDescent="0.3">
      <c r="A49" s="8" t="s">
        <v>80</v>
      </c>
      <c r="B49" s="7">
        <v>46048</v>
      </c>
      <c r="C49" s="6" t="s">
        <v>19</v>
      </c>
      <c r="D49" s="6" t="s">
        <v>20</v>
      </c>
      <c r="E49" s="6" t="s">
        <v>52</v>
      </c>
      <c r="F49" s="6" t="s">
        <v>31</v>
      </c>
      <c r="G49" s="6" t="s">
        <v>14</v>
      </c>
      <c r="H49" s="6" t="s">
        <v>14</v>
      </c>
      <c r="I49" s="9">
        <v>18229</v>
      </c>
    </row>
    <row r="50" spans="1:9" hidden="1" x14ac:dyDescent="0.3">
      <c r="A50" s="8" t="s">
        <v>81</v>
      </c>
      <c r="B50" s="7">
        <v>46055</v>
      </c>
      <c r="C50" s="6" t="s">
        <v>10</v>
      </c>
      <c r="D50" s="6" t="s">
        <v>33</v>
      </c>
      <c r="E50" s="6" t="s">
        <v>34</v>
      </c>
      <c r="F50" s="6" t="s">
        <v>22</v>
      </c>
      <c r="G50" s="6" t="s">
        <v>14</v>
      </c>
      <c r="H50" s="6" t="s">
        <v>14</v>
      </c>
      <c r="I50" s="9">
        <v>64083</v>
      </c>
    </row>
    <row r="51" spans="1:9" hidden="1" x14ac:dyDescent="0.3">
      <c r="A51" s="8" t="s">
        <v>82</v>
      </c>
      <c r="B51" s="7">
        <v>46055</v>
      </c>
      <c r="C51" s="6" t="s">
        <v>19</v>
      </c>
      <c r="D51" s="6" t="s">
        <v>11</v>
      </c>
      <c r="E51" s="6" t="s">
        <v>12</v>
      </c>
      <c r="F51" s="6" t="s">
        <v>22</v>
      </c>
      <c r="G51" s="6" t="s">
        <v>14</v>
      </c>
      <c r="H51" s="6" t="s">
        <v>14</v>
      </c>
      <c r="I51" s="9">
        <v>26388</v>
      </c>
    </row>
    <row r="52" spans="1:9" hidden="1" x14ac:dyDescent="0.3">
      <c r="A52" s="8" t="s">
        <v>83</v>
      </c>
      <c r="B52" s="7">
        <v>46055</v>
      </c>
      <c r="C52" s="6" t="s">
        <v>19</v>
      </c>
      <c r="D52" s="6" t="s">
        <v>20</v>
      </c>
      <c r="E52" s="6" t="s">
        <v>30</v>
      </c>
      <c r="F52" s="6" t="s">
        <v>28</v>
      </c>
      <c r="G52" s="6" t="s">
        <v>14</v>
      </c>
      <c r="H52" s="6" t="s">
        <v>14</v>
      </c>
      <c r="I52" s="9">
        <v>28389</v>
      </c>
    </row>
    <row r="53" spans="1:9" hidden="1" x14ac:dyDescent="0.3">
      <c r="A53" s="8" t="s">
        <v>84</v>
      </c>
      <c r="B53" s="7">
        <v>46056</v>
      </c>
      <c r="C53" s="6" t="s">
        <v>10</v>
      </c>
      <c r="D53" s="6" t="s">
        <v>11</v>
      </c>
      <c r="E53" s="6" t="s">
        <v>12</v>
      </c>
      <c r="F53" s="6" t="s">
        <v>17</v>
      </c>
      <c r="G53" s="6" t="s">
        <v>14</v>
      </c>
      <c r="H53" s="6" t="s">
        <v>14</v>
      </c>
      <c r="I53" s="9">
        <v>58214</v>
      </c>
    </row>
    <row r="54" spans="1:9" hidden="1" x14ac:dyDescent="0.3">
      <c r="A54" s="8" t="s">
        <v>85</v>
      </c>
      <c r="B54" s="7">
        <v>46056</v>
      </c>
      <c r="C54" s="6" t="s">
        <v>10</v>
      </c>
      <c r="D54" s="6" t="s">
        <v>11</v>
      </c>
      <c r="E54" s="6" t="s">
        <v>16</v>
      </c>
      <c r="F54" s="6" t="s">
        <v>25</v>
      </c>
      <c r="G54" s="6" t="s">
        <v>14</v>
      </c>
      <c r="H54" s="6" t="s">
        <v>14</v>
      </c>
      <c r="I54" s="9">
        <v>62336</v>
      </c>
    </row>
    <row r="55" spans="1:9" hidden="1" x14ac:dyDescent="0.3">
      <c r="A55" s="8" t="s">
        <v>86</v>
      </c>
      <c r="B55" s="7">
        <v>46057</v>
      </c>
      <c r="C55" s="6" t="s">
        <v>19</v>
      </c>
      <c r="D55" s="6" t="s">
        <v>14</v>
      </c>
      <c r="E55" s="6" t="s">
        <v>40</v>
      </c>
      <c r="F55" s="6" t="s">
        <v>31</v>
      </c>
      <c r="G55" s="6" t="s">
        <v>14</v>
      </c>
      <c r="H55" s="6" t="s">
        <v>14</v>
      </c>
      <c r="I55" s="9">
        <v>59280</v>
      </c>
    </row>
    <row r="56" spans="1:9" hidden="1" x14ac:dyDescent="0.3">
      <c r="A56" s="8" t="s">
        <v>87</v>
      </c>
      <c r="B56" s="7">
        <v>46057</v>
      </c>
      <c r="C56" s="6" t="s">
        <v>19</v>
      </c>
      <c r="D56" s="6" t="s">
        <v>20</v>
      </c>
      <c r="E56" s="6" t="s">
        <v>52</v>
      </c>
      <c r="F56" s="6" t="s">
        <v>22</v>
      </c>
      <c r="G56" s="6" t="s">
        <v>14</v>
      </c>
      <c r="H56" s="6" t="s">
        <v>14</v>
      </c>
      <c r="I56" s="9">
        <v>18168</v>
      </c>
    </row>
    <row r="57" spans="1:9" hidden="1" x14ac:dyDescent="0.3">
      <c r="A57" s="8" t="s">
        <v>88</v>
      </c>
      <c r="B57" s="7">
        <v>46057</v>
      </c>
      <c r="C57" s="6" t="s">
        <v>19</v>
      </c>
      <c r="D57" s="6" t="s">
        <v>20</v>
      </c>
      <c r="E57" s="6" t="s">
        <v>30</v>
      </c>
      <c r="F57" s="6" t="s">
        <v>17</v>
      </c>
      <c r="G57" s="6" t="s">
        <v>14</v>
      </c>
      <c r="H57" s="6" t="s">
        <v>14</v>
      </c>
      <c r="I57" s="9">
        <v>16324</v>
      </c>
    </row>
    <row r="58" spans="1:9" hidden="1" x14ac:dyDescent="0.3">
      <c r="A58" s="8" t="s">
        <v>89</v>
      </c>
      <c r="B58" s="7">
        <v>46058</v>
      </c>
      <c r="C58" s="6" t="s">
        <v>10</v>
      </c>
      <c r="D58" s="6" t="s">
        <v>11</v>
      </c>
      <c r="E58" s="6" t="s">
        <v>27</v>
      </c>
      <c r="F58" s="6" t="s">
        <v>25</v>
      </c>
      <c r="G58" s="6" t="s">
        <v>14</v>
      </c>
      <c r="H58" s="6" t="s">
        <v>14</v>
      </c>
      <c r="I58" s="9">
        <v>32932</v>
      </c>
    </row>
    <row r="59" spans="1:9" hidden="1" x14ac:dyDescent="0.3">
      <c r="A59" s="8" t="s">
        <v>90</v>
      </c>
      <c r="B59" s="7">
        <v>46058</v>
      </c>
      <c r="C59" s="6" t="s">
        <v>19</v>
      </c>
      <c r="D59" s="6" t="s">
        <v>33</v>
      </c>
      <c r="E59" s="6" t="s">
        <v>36</v>
      </c>
      <c r="F59" s="6" t="s">
        <v>22</v>
      </c>
      <c r="G59" s="6" t="s">
        <v>14</v>
      </c>
      <c r="H59" s="6" t="s">
        <v>14</v>
      </c>
      <c r="I59" s="9">
        <v>43921</v>
      </c>
    </row>
    <row r="60" spans="1:9" hidden="1" x14ac:dyDescent="0.3">
      <c r="A60" s="8" t="s">
        <v>91</v>
      </c>
      <c r="B60" s="7">
        <v>46059</v>
      </c>
      <c r="C60" s="6" t="s">
        <v>10</v>
      </c>
      <c r="D60" s="6" t="s">
        <v>33</v>
      </c>
      <c r="E60" s="6" t="s">
        <v>34</v>
      </c>
      <c r="F60" s="6" t="s">
        <v>25</v>
      </c>
      <c r="G60" s="6" t="s">
        <v>14</v>
      </c>
      <c r="H60" s="6" t="s">
        <v>14</v>
      </c>
      <c r="I60" s="9">
        <v>24688</v>
      </c>
    </row>
    <row r="61" spans="1:9" hidden="1" x14ac:dyDescent="0.3">
      <c r="A61" s="8" t="s">
        <v>92</v>
      </c>
      <c r="B61" s="7">
        <v>46060</v>
      </c>
      <c r="C61" s="6" t="s">
        <v>10</v>
      </c>
      <c r="D61" s="6" t="s">
        <v>14</v>
      </c>
      <c r="E61" s="6" t="s">
        <v>40</v>
      </c>
      <c r="F61" s="6" t="s">
        <v>25</v>
      </c>
      <c r="G61" s="6" t="s">
        <v>14</v>
      </c>
      <c r="H61" s="6" t="s">
        <v>14</v>
      </c>
      <c r="I61" s="9">
        <v>35483</v>
      </c>
    </row>
    <row r="62" spans="1:9" hidden="1" x14ac:dyDescent="0.3">
      <c r="A62" s="8" t="s">
        <v>93</v>
      </c>
      <c r="B62" s="7">
        <v>46060</v>
      </c>
      <c r="C62" s="6" t="s">
        <v>10</v>
      </c>
      <c r="D62" s="6" t="s">
        <v>33</v>
      </c>
      <c r="E62" s="6" t="s">
        <v>44</v>
      </c>
      <c r="F62" s="6" t="s">
        <v>25</v>
      </c>
      <c r="G62" s="6" t="s">
        <v>14</v>
      </c>
      <c r="H62" s="6" t="s">
        <v>14</v>
      </c>
      <c r="I62" s="9">
        <v>62015</v>
      </c>
    </row>
    <row r="63" spans="1:9" hidden="1" x14ac:dyDescent="0.3">
      <c r="A63" s="8" t="s">
        <v>94</v>
      </c>
      <c r="B63" s="7">
        <v>46060</v>
      </c>
      <c r="C63" s="6" t="s">
        <v>10</v>
      </c>
      <c r="D63" s="6" t="s">
        <v>33</v>
      </c>
      <c r="E63" s="6" t="s">
        <v>36</v>
      </c>
      <c r="F63" s="6" t="s">
        <v>22</v>
      </c>
      <c r="G63" s="6" t="s">
        <v>14</v>
      </c>
      <c r="H63" s="6" t="s">
        <v>14</v>
      </c>
      <c r="I63" s="9">
        <v>21474</v>
      </c>
    </row>
    <row r="64" spans="1:9" hidden="1" x14ac:dyDescent="0.3">
      <c r="A64" s="8" t="s">
        <v>95</v>
      </c>
      <c r="B64" s="7">
        <v>46060</v>
      </c>
      <c r="C64" s="6" t="s">
        <v>19</v>
      </c>
      <c r="D64" s="6" t="s">
        <v>14</v>
      </c>
      <c r="E64" s="6" t="s">
        <v>47</v>
      </c>
      <c r="F64" s="6" t="s">
        <v>17</v>
      </c>
      <c r="G64" s="6" t="s">
        <v>14</v>
      </c>
      <c r="H64" s="6" t="s">
        <v>14</v>
      </c>
      <c r="I64" s="9">
        <v>56261</v>
      </c>
    </row>
    <row r="65" spans="1:9" hidden="1" x14ac:dyDescent="0.3">
      <c r="A65" s="8" t="s">
        <v>96</v>
      </c>
      <c r="B65" s="7">
        <v>46061</v>
      </c>
      <c r="C65" s="6" t="s">
        <v>10</v>
      </c>
      <c r="D65" s="6" t="s">
        <v>14</v>
      </c>
      <c r="E65" s="6" t="s">
        <v>24</v>
      </c>
      <c r="F65" s="6" t="s">
        <v>31</v>
      </c>
      <c r="G65" s="6" t="s">
        <v>14</v>
      </c>
      <c r="H65" s="6" t="s">
        <v>14</v>
      </c>
      <c r="I65" s="9">
        <v>56131</v>
      </c>
    </row>
    <row r="66" spans="1:9" hidden="1" x14ac:dyDescent="0.3">
      <c r="A66" s="8" t="s">
        <v>97</v>
      </c>
      <c r="B66" s="7">
        <v>46061</v>
      </c>
      <c r="C66" s="6" t="s">
        <v>10</v>
      </c>
      <c r="D66" s="6" t="s">
        <v>14</v>
      </c>
      <c r="E66" s="6" t="s">
        <v>47</v>
      </c>
      <c r="F66" s="6" t="s">
        <v>13</v>
      </c>
      <c r="G66" s="6" t="s">
        <v>14</v>
      </c>
      <c r="H66" s="6" t="s">
        <v>14</v>
      </c>
      <c r="I66" s="9">
        <v>79563</v>
      </c>
    </row>
    <row r="67" spans="1:9" hidden="1" x14ac:dyDescent="0.3">
      <c r="A67" s="8" t="s">
        <v>98</v>
      </c>
      <c r="B67" s="7">
        <v>46062</v>
      </c>
      <c r="C67" s="6" t="s">
        <v>10</v>
      </c>
      <c r="D67" s="6" t="s">
        <v>14</v>
      </c>
      <c r="E67" s="6" t="s">
        <v>47</v>
      </c>
      <c r="F67" s="6" t="s">
        <v>25</v>
      </c>
      <c r="G67" s="6" t="s">
        <v>14</v>
      </c>
      <c r="H67" s="6" t="s">
        <v>14</v>
      </c>
      <c r="I67" s="9">
        <v>52774</v>
      </c>
    </row>
    <row r="68" spans="1:9" hidden="1" x14ac:dyDescent="0.3">
      <c r="A68" s="8" t="s">
        <v>99</v>
      </c>
      <c r="B68" s="7">
        <v>46062</v>
      </c>
      <c r="C68" s="6" t="s">
        <v>10</v>
      </c>
      <c r="D68" s="6" t="s">
        <v>33</v>
      </c>
      <c r="E68" s="6" t="s">
        <v>36</v>
      </c>
      <c r="F68" s="6" t="s">
        <v>25</v>
      </c>
      <c r="G68" s="6" t="s">
        <v>14</v>
      </c>
      <c r="H68" s="6" t="s">
        <v>14</v>
      </c>
      <c r="I68" s="9">
        <v>17530</v>
      </c>
    </row>
    <row r="69" spans="1:9" hidden="1" x14ac:dyDescent="0.3">
      <c r="A69" s="8" t="s">
        <v>100</v>
      </c>
      <c r="B69" s="7">
        <v>46062</v>
      </c>
      <c r="C69" s="6" t="s">
        <v>10</v>
      </c>
      <c r="D69" s="6" t="s">
        <v>11</v>
      </c>
      <c r="E69" s="6" t="s">
        <v>27</v>
      </c>
      <c r="F69" s="6" t="s">
        <v>31</v>
      </c>
      <c r="G69" s="6" t="s">
        <v>14</v>
      </c>
      <c r="H69" s="6" t="s">
        <v>14</v>
      </c>
      <c r="I69" s="9">
        <v>84694</v>
      </c>
    </row>
    <row r="70" spans="1:9" hidden="1" x14ac:dyDescent="0.3">
      <c r="A70" s="8" t="s">
        <v>101</v>
      </c>
      <c r="B70" s="7">
        <v>46062</v>
      </c>
      <c r="C70" s="6" t="s">
        <v>19</v>
      </c>
      <c r="D70" s="6" t="s">
        <v>14</v>
      </c>
      <c r="E70" s="6" t="s">
        <v>24</v>
      </c>
      <c r="F70" s="6" t="s">
        <v>22</v>
      </c>
      <c r="G70" s="6" t="s">
        <v>14</v>
      </c>
      <c r="H70" s="6" t="s">
        <v>14</v>
      </c>
      <c r="I70" s="9">
        <v>69458</v>
      </c>
    </row>
    <row r="71" spans="1:9" hidden="1" x14ac:dyDescent="0.3">
      <c r="A71" s="8" t="s">
        <v>102</v>
      </c>
      <c r="B71" s="7">
        <v>46062</v>
      </c>
      <c r="C71" s="6" t="s">
        <v>19</v>
      </c>
      <c r="D71" s="6" t="s">
        <v>33</v>
      </c>
      <c r="E71" s="6" t="s">
        <v>34</v>
      </c>
      <c r="F71" s="6" t="s">
        <v>31</v>
      </c>
      <c r="G71" s="6" t="s">
        <v>14</v>
      </c>
      <c r="H71" s="6" t="s">
        <v>14</v>
      </c>
      <c r="I71" s="9">
        <v>30017</v>
      </c>
    </row>
    <row r="72" spans="1:9" hidden="1" x14ac:dyDescent="0.3">
      <c r="A72" s="8" t="s">
        <v>103</v>
      </c>
      <c r="B72" s="7">
        <v>46063</v>
      </c>
      <c r="C72" s="6" t="s">
        <v>10</v>
      </c>
      <c r="D72" s="6" t="s">
        <v>11</v>
      </c>
      <c r="E72" s="6" t="s">
        <v>16</v>
      </c>
      <c r="F72" s="6" t="s">
        <v>25</v>
      </c>
      <c r="G72" s="6" t="s">
        <v>14</v>
      </c>
      <c r="H72" s="6" t="s">
        <v>14</v>
      </c>
      <c r="I72" s="9">
        <v>46584</v>
      </c>
    </row>
    <row r="73" spans="1:9" hidden="1" x14ac:dyDescent="0.3">
      <c r="A73" s="8" t="s">
        <v>104</v>
      </c>
      <c r="B73" s="7">
        <v>46063</v>
      </c>
      <c r="C73" s="6" t="s">
        <v>19</v>
      </c>
      <c r="D73" s="6" t="s">
        <v>14</v>
      </c>
      <c r="E73" s="6" t="s">
        <v>47</v>
      </c>
      <c r="F73" s="6" t="s">
        <v>22</v>
      </c>
      <c r="G73" s="6" t="s">
        <v>14</v>
      </c>
      <c r="H73" s="6" t="s">
        <v>14</v>
      </c>
      <c r="I73" s="9">
        <v>62343</v>
      </c>
    </row>
    <row r="74" spans="1:9" hidden="1" x14ac:dyDescent="0.3">
      <c r="A74" s="8" t="s">
        <v>105</v>
      </c>
      <c r="B74" s="7">
        <v>46063</v>
      </c>
      <c r="C74" s="6" t="s">
        <v>19</v>
      </c>
      <c r="D74" s="6" t="s">
        <v>20</v>
      </c>
      <c r="E74" s="6" t="s">
        <v>21</v>
      </c>
      <c r="F74" s="6" t="s">
        <v>22</v>
      </c>
      <c r="G74" s="6" t="s">
        <v>14</v>
      </c>
      <c r="H74" s="6" t="s">
        <v>14</v>
      </c>
      <c r="I74" s="9">
        <v>71383</v>
      </c>
    </row>
    <row r="75" spans="1:9" hidden="1" x14ac:dyDescent="0.3">
      <c r="A75" s="8" t="s">
        <v>106</v>
      </c>
      <c r="B75" s="7">
        <v>46064</v>
      </c>
      <c r="C75" s="6" t="s">
        <v>10</v>
      </c>
      <c r="D75" s="6" t="s">
        <v>14</v>
      </c>
      <c r="E75" s="6" t="s">
        <v>24</v>
      </c>
      <c r="F75" s="6" t="s">
        <v>25</v>
      </c>
      <c r="G75" s="6" t="s">
        <v>14</v>
      </c>
      <c r="H75" s="6" t="s">
        <v>14</v>
      </c>
      <c r="I75" s="9">
        <v>49194</v>
      </c>
    </row>
    <row r="76" spans="1:9" hidden="1" x14ac:dyDescent="0.3">
      <c r="A76" s="8" t="s">
        <v>107</v>
      </c>
      <c r="B76" s="7">
        <v>46064</v>
      </c>
      <c r="C76" s="6" t="s">
        <v>19</v>
      </c>
      <c r="D76" s="6" t="s">
        <v>11</v>
      </c>
      <c r="E76" s="6" t="s">
        <v>12</v>
      </c>
      <c r="F76" s="6" t="s">
        <v>22</v>
      </c>
      <c r="G76" s="6" t="s">
        <v>14</v>
      </c>
      <c r="H76" s="6" t="s">
        <v>14</v>
      </c>
      <c r="I76" s="9">
        <v>48586</v>
      </c>
    </row>
    <row r="77" spans="1:9" hidden="1" x14ac:dyDescent="0.3">
      <c r="A77" s="8" t="s">
        <v>108</v>
      </c>
      <c r="B77" s="7">
        <v>46064</v>
      </c>
      <c r="C77" s="6" t="s">
        <v>19</v>
      </c>
      <c r="D77" s="6" t="s">
        <v>11</v>
      </c>
      <c r="E77" s="6" t="s">
        <v>16</v>
      </c>
      <c r="F77" s="6" t="s">
        <v>25</v>
      </c>
      <c r="G77" s="6" t="s">
        <v>14</v>
      </c>
      <c r="H77" s="6" t="s">
        <v>14</v>
      </c>
      <c r="I77" s="9">
        <v>67645</v>
      </c>
    </row>
    <row r="78" spans="1:9" hidden="1" x14ac:dyDescent="0.3">
      <c r="A78" s="8" t="s">
        <v>109</v>
      </c>
      <c r="B78" s="7">
        <v>46065</v>
      </c>
      <c r="C78" s="6" t="s">
        <v>19</v>
      </c>
      <c r="D78" s="6" t="s">
        <v>33</v>
      </c>
      <c r="E78" s="6" t="s">
        <v>44</v>
      </c>
      <c r="F78" s="6" t="s">
        <v>25</v>
      </c>
      <c r="G78" s="6" t="s">
        <v>14</v>
      </c>
      <c r="H78" s="6" t="s">
        <v>14</v>
      </c>
      <c r="I78" s="9">
        <v>79641</v>
      </c>
    </row>
    <row r="79" spans="1:9" hidden="1" x14ac:dyDescent="0.3">
      <c r="A79" s="8" t="s">
        <v>110</v>
      </c>
      <c r="B79" s="7">
        <v>46065</v>
      </c>
      <c r="C79" s="6" t="s">
        <v>19</v>
      </c>
      <c r="D79" s="6" t="s">
        <v>20</v>
      </c>
      <c r="E79" s="6" t="s">
        <v>21</v>
      </c>
      <c r="F79" s="6" t="s">
        <v>17</v>
      </c>
      <c r="G79" s="6" t="s">
        <v>14</v>
      </c>
      <c r="H79" s="6" t="s">
        <v>14</v>
      </c>
      <c r="I79" s="9">
        <v>21865</v>
      </c>
    </row>
    <row r="80" spans="1:9" hidden="1" x14ac:dyDescent="0.3">
      <c r="A80" s="8" t="s">
        <v>111</v>
      </c>
      <c r="B80" s="7">
        <v>46066</v>
      </c>
      <c r="C80" s="6" t="s">
        <v>10</v>
      </c>
      <c r="D80" s="6" t="s">
        <v>33</v>
      </c>
      <c r="E80" s="6" t="s">
        <v>44</v>
      </c>
      <c r="F80" s="6" t="s">
        <v>25</v>
      </c>
      <c r="G80" s="6" t="s">
        <v>14</v>
      </c>
      <c r="H80" s="6" t="s">
        <v>14</v>
      </c>
      <c r="I80" s="9">
        <v>35419</v>
      </c>
    </row>
    <row r="81" spans="1:9" hidden="1" x14ac:dyDescent="0.3">
      <c r="A81" s="8" t="s">
        <v>112</v>
      </c>
      <c r="B81" s="7">
        <v>46066</v>
      </c>
      <c r="C81" s="6" t="s">
        <v>19</v>
      </c>
      <c r="D81" s="6" t="s">
        <v>14</v>
      </c>
      <c r="E81" s="6" t="s">
        <v>40</v>
      </c>
      <c r="F81" s="6" t="s">
        <v>31</v>
      </c>
      <c r="G81" s="6" t="s">
        <v>14</v>
      </c>
      <c r="H81" s="6" t="s">
        <v>14</v>
      </c>
      <c r="I81" s="9">
        <v>62517</v>
      </c>
    </row>
    <row r="82" spans="1:9" hidden="1" x14ac:dyDescent="0.3">
      <c r="A82" s="8" t="s">
        <v>113</v>
      </c>
      <c r="B82" s="7">
        <v>46068</v>
      </c>
      <c r="C82" s="6" t="s">
        <v>10</v>
      </c>
      <c r="D82" s="6" t="s">
        <v>14</v>
      </c>
      <c r="E82" s="6" t="s">
        <v>40</v>
      </c>
      <c r="F82" s="6" t="s">
        <v>17</v>
      </c>
      <c r="G82" s="6" t="s">
        <v>14</v>
      </c>
      <c r="H82" s="6" t="s">
        <v>14</v>
      </c>
      <c r="I82" s="9">
        <v>29159</v>
      </c>
    </row>
    <row r="83" spans="1:9" hidden="1" x14ac:dyDescent="0.3">
      <c r="A83" s="8" t="s">
        <v>114</v>
      </c>
      <c r="B83" s="7">
        <v>46068</v>
      </c>
      <c r="C83" s="6" t="s">
        <v>19</v>
      </c>
      <c r="D83" s="6" t="s">
        <v>11</v>
      </c>
      <c r="E83" s="6" t="s">
        <v>27</v>
      </c>
      <c r="F83" s="6" t="s">
        <v>17</v>
      </c>
      <c r="G83" s="6" t="s">
        <v>14</v>
      </c>
      <c r="H83" s="6" t="s">
        <v>14</v>
      </c>
      <c r="I83" s="9">
        <v>31198</v>
      </c>
    </row>
    <row r="84" spans="1:9" hidden="1" x14ac:dyDescent="0.3">
      <c r="A84" s="8" t="s">
        <v>115</v>
      </c>
      <c r="B84" s="7">
        <v>46069</v>
      </c>
      <c r="C84" s="6" t="s">
        <v>10</v>
      </c>
      <c r="D84" s="6" t="s">
        <v>11</v>
      </c>
      <c r="E84" s="6" t="s">
        <v>12</v>
      </c>
      <c r="F84" s="6" t="s">
        <v>13</v>
      </c>
      <c r="G84" s="6" t="s">
        <v>14</v>
      </c>
      <c r="H84" s="6" t="s">
        <v>14</v>
      </c>
      <c r="I84" s="9">
        <v>56064</v>
      </c>
    </row>
    <row r="85" spans="1:9" hidden="1" x14ac:dyDescent="0.3">
      <c r="A85" s="8" t="s">
        <v>116</v>
      </c>
      <c r="B85" s="7">
        <v>46070</v>
      </c>
      <c r="C85" s="6" t="s">
        <v>19</v>
      </c>
      <c r="D85" s="6" t="s">
        <v>33</v>
      </c>
      <c r="E85" s="6" t="s">
        <v>44</v>
      </c>
      <c r="F85" s="6" t="s">
        <v>25</v>
      </c>
      <c r="G85" s="6" t="s">
        <v>14</v>
      </c>
      <c r="H85" s="6" t="s">
        <v>14</v>
      </c>
      <c r="I85" s="9">
        <v>78040</v>
      </c>
    </row>
    <row r="86" spans="1:9" hidden="1" x14ac:dyDescent="0.3">
      <c r="A86" s="8" t="s">
        <v>117</v>
      </c>
      <c r="B86" s="7">
        <v>46070</v>
      </c>
      <c r="C86" s="6" t="s">
        <v>19</v>
      </c>
      <c r="D86" s="6" t="s">
        <v>11</v>
      </c>
      <c r="E86" s="6" t="s">
        <v>16</v>
      </c>
      <c r="F86" s="6" t="s">
        <v>28</v>
      </c>
      <c r="G86" s="6" t="s">
        <v>14</v>
      </c>
      <c r="H86" s="6" t="s">
        <v>14</v>
      </c>
      <c r="I86" s="9">
        <v>64796</v>
      </c>
    </row>
    <row r="87" spans="1:9" hidden="1" x14ac:dyDescent="0.3">
      <c r="A87" s="8" t="s">
        <v>118</v>
      </c>
      <c r="B87" s="7">
        <v>46070</v>
      </c>
      <c r="C87" s="6" t="s">
        <v>19</v>
      </c>
      <c r="D87" s="6" t="s">
        <v>20</v>
      </c>
      <c r="E87" s="6" t="s">
        <v>52</v>
      </c>
      <c r="F87" s="6" t="s">
        <v>17</v>
      </c>
      <c r="G87" s="6" t="s">
        <v>14</v>
      </c>
      <c r="H87" s="6" t="s">
        <v>14</v>
      </c>
      <c r="I87" s="9">
        <v>16632</v>
      </c>
    </row>
    <row r="88" spans="1:9" hidden="1" x14ac:dyDescent="0.3">
      <c r="A88" s="8" t="s">
        <v>119</v>
      </c>
      <c r="B88" s="7">
        <v>46072</v>
      </c>
      <c r="C88" s="6" t="s">
        <v>10</v>
      </c>
      <c r="D88" s="6" t="s">
        <v>20</v>
      </c>
      <c r="E88" s="6" t="s">
        <v>21</v>
      </c>
      <c r="F88" s="6" t="s">
        <v>22</v>
      </c>
      <c r="G88" s="6" t="s">
        <v>14</v>
      </c>
      <c r="H88" s="6" t="s">
        <v>14</v>
      </c>
      <c r="I88" s="9">
        <v>35289</v>
      </c>
    </row>
    <row r="89" spans="1:9" hidden="1" x14ac:dyDescent="0.3">
      <c r="A89" s="8" t="s">
        <v>120</v>
      </c>
      <c r="B89" s="7">
        <v>46073</v>
      </c>
      <c r="C89" s="6" t="s">
        <v>10</v>
      </c>
      <c r="D89" s="6" t="s">
        <v>20</v>
      </c>
      <c r="E89" s="6" t="s">
        <v>21</v>
      </c>
      <c r="F89" s="6" t="s">
        <v>17</v>
      </c>
      <c r="G89" s="6" t="s">
        <v>14</v>
      </c>
      <c r="H89" s="6" t="s">
        <v>14</v>
      </c>
      <c r="I89" s="9">
        <v>80385</v>
      </c>
    </row>
    <row r="90" spans="1:9" hidden="1" x14ac:dyDescent="0.3">
      <c r="A90" s="8" t="s">
        <v>121</v>
      </c>
      <c r="B90" s="7">
        <v>46074</v>
      </c>
      <c r="C90" s="6" t="s">
        <v>19</v>
      </c>
      <c r="D90" s="6" t="s">
        <v>33</v>
      </c>
      <c r="E90" s="6" t="s">
        <v>34</v>
      </c>
      <c r="F90" s="6" t="s">
        <v>22</v>
      </c>
      <c r="G90" s="6" t="s">
        <v>14</v>
      </c>
      <c r="H90" s="6" t="s">
        <v>14</v>
      </c>
      <c r="I90" s="9">
        <v>12384</v>
      </c>
    </row>
    <row r="91" spans="1:9" hidden="1" x14ac:dyDescent="0.3">
      <c r="A91" s="8" t="s">
        <v>122</v>
      </c>
      <c r="B91" s="7">
        <v>46075</v>
      </c>
      <c r="C91" s="6" t="s">
        <v>10</v>
      </c>
      <c r="D91" s="6" t="s">
        <v>20</v>
      </c>
      <c r="E91" s="6" t="s">
        <v>52</v>
      </c>
      <c r="F91" s="6" t="s">
        <v>22</v>
      </c>
      <c r="G91" s="6" t="s">
        <v>14</v>
      </c>
      <c r="H91" s="6" t="s">
        <v>14</v>
      </c>
      <c r="I91" s="9">
        <v>22966</v>
      </c>
    </row>
    <row r="92" spans="1:9" hidden="1" x14ac:dyDescent="0.3">
      <c r="A92" s="8" t="s">
        <v>123</v>
      </c>
      <c r="B92" s="7">
        <v>46075</v>
      </c>
      <c r="C92" s="6" t="s">
        <v>10</v>
      </c>
      <c r="D92" s="6" t="s">
        <v>20</v>
      </c>
      <c r="E92" s="6" t="s">
        <v>52</v>
      </c>
      <c r="F92" s="6" t="s">
        <v>22</v>
      </c>
      <c r="G92" s="6" t="s">
        <v>14</v>
      </c>
      <c r="H92" s="6" t="s">
        <v>14</v>
      </c>
      <c r="I92" s="9">
        <v>64921</v>
      </c>
    </row>
    <row r="93" spans="1:9" hidden="1" x14ac:dyDescent="0.3">
      <c r="A93" s="8" t="s">
        <v>124</v>
      </c>
      <c r="B93" s="7">
        <v>46075</v>
      </c>
      <c r="C93" s="6" t="s">
        <v>10</v>
      </c>
      <c r="D93" s="6" t="s">
        <v>20</v>
      </c>
      <c r="E93" s="6" t="s">
        <v>30</v>
      </c>
      <c r="F93" s="6" t="s">
        <v>25</v>
      </c>
      <c r="G93" s="6" t="s">
        <v>14</v>
      </c>
      <c r="H93" s="6" t="s">
        <v>14</v>
      </c>
      <c r="I93" s="9">
        <v>58175</v>
      </c>
    </row>
    <row r="94" spans="1:9" hidden="1" x14ac:dyDescent="0.3">
      <c r="A94" s="8" t="s">
        <v>125</v>
      </c>
      <c r="B94" s="7">
        <v>46075</v>
      </c>
      <c r="C94" s="6" t="s">
        <v>19</v>
      </c>
      <c r="D94" s="6" t="s">
        <v>33</v>
      </c>
      <c r="E94" s="6" t="s">
        <v>36</v>
      </c>
      <c r="F94" s="6" t="s">
        <v>28</v>
      </c>
      <c r="G94" s="6" t="s">
        <v>14</v>
      </c>
      <c r="H94" s="6" t="s">
        <v>14</v>
      </c>
      <c r="I94" s="9">
        <v>32159</v>
      </c>
    </row>
    <row r="95" spans="1:9" hidden="1" x14ac:dyDescent="0.3">
      <c r="A95" s="8" t="s">
        <v>126</v>
      </c>
      <c r="B95" s="7">
        <v>46078</v>
      </c>
      <c r="C95" s="6" t="s">
        <v>19</v>
      </c>
      <c r="D95" s="6" t="s">
        <v>11</v>
      </c>
      <c r="E95" s="6" t="s">
        <v>27</v>
      </c>
      <c r="F95" s="6" t="s">
        <v>31</v>
      </c>
      <c r="G95" s="6" t="s">
        <v>14</v>
      </c>
      <c r="H95" s="6" t="s">
        <v>14</v>
      </c>
      <c r="I95" s="9">
        <v>36285</v>
      </c>
    </row>
    <row r="96" spans="1:9" hidden="1" x14ac:dyDescent="0.3">
      <c r="A96" s="8" t="s">
        <v>127</v>
      </c>
      <c r="B96" s="7">
        <v>46079</v>
      </c>
      <c r="C96" s="6" t="s">
        <v>10</v>
      </c>
      <c r="D96" s="6" t="s">
        <v>20</v>
      </c>
      <c r="E96" s="6" t="s">
        <v>30</v>
      </c>
      <c r="F96" s="6" t="s">
        <v>13</v>
      </c>
      <c r="G96" s="6" t="s">
        <v>14</v>
      </c>
      <c r="H96" s="6" t="s">
        <v>14</v>
      </c>
      <c r="I96" s="9">
        <v>78617</v>
      </c>
    </row>
    <row r="97" spans="1:9" hidden="1" x14ac:dyDescent="0.3">
      <c r="A97" s="8" t="s">
        <v>128</v>
      </c>
      <c r="B97" s="7">
        <v>46079</v>
      </c>
      <c r="C97" s="6" t="s">
        <v>19</v>
      </c>
      <c r="D97" s="6" t="s">
        <v>14</v>
      </c>
      <c r="E97" s="6" t="s">
        <v>24</v>
      </c>
      <c r="F97" s="6" t="s">
        <v>13</v>
      </c>
      <c r="G97" s="6" t="s">
        <v>14</v>
      </c>
      <c r="H97" s="6" t="s">
        <v>14</v>
      </c>
      <c r="I97" s="9">
        <v>27305</v>
      </c>
    </row>
    <row r="98" spans="1:9" hidden="1" x14ac:dyDescent="0.3">
      <c r="A98" s="8" t="s">
        <v>129</v>
      </c>
      <c r="B98" s="7">
        <v>46082</v>
      </c>
      <c r="C98" s="6" t="s">
        <v>19</v>
      </c>
      <c r="D98" s="6" t="s">
        <v>33</v>
      </c>
      <c r="E98" s="6" t="s">
        <v>36</v>
      </c>
      <c r="F98" s="6" t="s">
        <v>25</v>
      </c>
      <c r="G98" s="6" t="s">
        <v>14</v>
      </c>
      <c r="H98" s="6" t="s">
        <v>14</v>
      </c>
      <c r="I98" s="9">
        <v>50088</v>
      </c>
    </row>
    <row r="99" spans="1:9" hidden="1" x14ac:dyDescent="0.3">
      <c r="A99" s="8" t="s">
        <v>130</v>
      </c>
      <c r="B99" s="7">
        <v>46083</v>
      </c>
      <c r="C99" s="6" t="s">
        <v>19</v>
      </c>
      <c r="D99" s="6" t="s">
        <v>14</v>
      </c>
      <c r="E99" s="6" t="s">
        <v>47</v>
      </c>
      <c r="F99" s="6" t="s">
        <v>22</v>
      </c>
      <c r="G99" s="6" t="s">
        <v>14</v>
      </c>
      <c r="H99" s="6" t="s">
        <v>14</v>
      </c>
      <c r="I99" s="9">
        <v>31065</v>
      </c>
    </row>
    <row r="100" spans="1:9" hidden="1" x14ac:dyDescent="0.3">
      <c r="A100" s="8" t="s">
        <v>131</v>
      </c>
      <c r="B100" s="7">
        <v>46083</v>
      </c>
      <c r="C100" s="6" t="s">
        <v>19</v>
      </c>
      <c r="D100" s="6" t="s">
        <v>20</v>
      </c>
      <c r="E100" s="6" t="s">
        <v>21</v>
      </c>
      <c r="F100" s="6" t="s">
        <v>25</v>
      </c>
      <c r="G100" s="6" t="s">
        <v>14</v>
      </c>
      <c r="H100" s="6" t="s">
        <v>14</v>
      </c>
      <c r="I100" s="9">
        <v>17287</v>
      </c>
    </row>
    <row r="101" spans="1:9" hidden="1" x14ac:dyDescent="0.3">
      <c r="A101" s="8" t="s">
        <v>132</v>
      </c>
      <c r="B101" s="7">
        <v>46084</v>
      </c>
      <c r="C101" s="6" t="s">
        <v>10</v>
      </c>
      <c r="D101" s="6" t="s">
        <v>14</v>
      </c>
      <c r="E101" s="6" t="s">
        <v>47</v>
      </c>
      <c r="F101" s="6" t="s">
        <v>13</v>
      </c>
      <c r="G101" s="6" t="s">
        <v>14</v>
      </c>
      <c r="H101" s="6" t="s">
        <v>14</v>
      </c>
      <c r="I101" s="9">
        <v>25986</v>
      </c>
    </row>
    <row r="102" spans="1:9" hidden="1" x14ac:dyDescent="0.3">
      <c r="A102" s="8" t="s">
        <v>133</v>
      </c>
      <c r="B102" s="7">
        <v>46084</v>
      </c>
      <c r="C102" s="6" t="s">
        <v>10</v>
      </c>
      <c r="D102" s="6" t="s">
        <v>11</v>
      </c>
      <c r="E102" s="6" t="s">
        <v>16</v>
      </c>
      <c r="F102" s="6" t="s">
        <v>28</v>
      </c>
      <c r="G102" s="6" t="s">
        <v>14</v>
      </c>
      <c r="H102" s="6" t="s">
        <v>14</v>
      </c>
      <c r="I102" s="9">
        <v>78105</v>
      </c>
    </row>
    <row r="103" spans="1:9" hidden="1" x14ac:dyDescent="0.3">
      <c r="A103" s="8" t="s">
        <v>134</v>
      </c>
      <c r="B103" s="7">
        <v>46085</v>
      </c>
      <c r="C103" s="6" t="s">
        <v>10</v>
      </c>
      <c r="D103" s="6" t="s">
        <v>14</v>
      </c>
      <c r="E103" s="6" t="s">
        <v>40</v>
      </c>
      <c r="F103" s="6" t="s">
        <v>25</v>
      </c>
      <c r="G103" s="6" t="s">
        <v>14</v>
      </c>
      <c r="H103" s="6" t="s">
        <v>14</v>
      </c>
      <c r="I103" s="9">
        <v>47920</v>
      </c>
    </row>
    <row r="104" spans="1:9" hidden="1" x14ac:dyDescent="0.3">
      <c r="A104" s="8" t="s">
        <v>135</v>
      </c>
      <c r="B104" s="7">
        <v>46085</v>
      </c>
      <c r="C104" s="6" t="s">
        <v>10</v>
      </c>
      <c r="D104" s="6" t="s">
        <v>33</v>
      </c>
      <c r="E104" s="6" t="s">
        <v>44</v>
      </c>
      <c r="F104" s="6" t="s">
        <v>22</v>
      </c>
      <c r="G104" s="6" t="s">
        <v>14</v>
      </c>
      <c r="H104" s="6" t="s">
        <v>14</v>
      </c>
      <c r="I104" s="9">
        <v>66268</v>
      </c>
    </row>
    <row r="105" spans="1:9" hidden="1" x14ac:dyDescent="0.3">
      <c r="A105" s="8" t="s">
        <v>136</v>
      </c>
      <c r="B105" s="7">
        <v>46085</v>
      </c>
      <c r="C105" s="6" t="s">
        <v>19</v>
      </c>
      <c r="D105" s="6" t="s">
        <v>14</v>
      </c>
      <c r="E105" s="6" t="s">
        <v>24</v>
      </c>
      <c r="F105" s="6" t="s">
        <v>28</v>
      </c>
      <c r="G105" s="6" t="s">
        <v>14</v>
      </c>
      <c r="H105" s="6" t="s">
        <v>14</v>
      </c>
      <c r="I105" s="9">
        <v>19543</v>
      </c>
    </row>
    <row r="106" spans="1:9" hidden="1" x14ac:dyDescent="0.3">
      <c r="A106" s="8" t="s">
        <v>137</v>
      </c>
      <c r="B106" s="7">
        <v>46085</v>
      </c>
      <c r="C106" s="6" t="s">
        <v>19</v>
      </c>
      <c r="D106" s="6" t="s">
        <v>20</v>
      </c>
      <c r="E106" s="6" t="s">
        <v>52</v>
      </c>
      <c r="F106" s="6" t="s">
        <v>22</v>
      </c>
      <c r="G106" s="6" t="s">
        <v>14</v>
      </c>
      <c r="H106" s="6" t="s">
        <v>14</v>
      </c>
      <c r="I106" s="9">
        <v>38734</v>
      </c>
    </row>
    <row r="107" spans="1:9" hidden="1" x14ac:dyDescent="0.3">
      <c r="A107" s="8" t="s">
        <v>138</v>
      </c>
      <c r="B107" s="7">
        <v>46085</v>
      </c>
      <c r="C107" s="6" t="s">
        <v>19</v>
      </c>
      <c r="D107" s="6" t="s">
        <v>20</v>
      </c>
      <c r="E107" s="6" t="s">
        <v>30</v>
      </c>
      <c r="F107" s="6" t="s">
        <v>17</v>
      </c>
      <c r="G107" s="6" t="s">
        <v>14</v>
      </c>
      <c r="H107" s="6" t="s">
        <v>14</v>
      </c>
      <c r="I107" s="9">
        <v>40746</v>
      </c>
    </row>
    <row r="108" spans="1:9" hidden="1" x14ac:dyDescent="0.3">
      <c r="A108" s="8" t="s">
        <v>139</v>
      </c>
      <c r="B108" s="7">
        <v>46086</v>
      </c>
      <c r="C108" s="6" t="s">
        <v>19</v>
      </c>
      <c r="D108" s="6" t="s">
        <v>33</v>
      </c>
      <c r="E108" s="6" t="s">
        <v>44</v>
      </c>
      <c r="F108" s="6" t="s">
        <v>31</v>
      </c>
      <c r="G108" s="6" t="s">
        <v>14</v>
      </c>
      <c r="H108" s="6" t="s">
        <v>14</v>
      </c>
      <c r="I108" s="9">
        <v>73642</v>
      </c>
    </row>
    <row r="109" spans="1:9" hidden="1" x14ac:dyDescent="0.3">
      <c r="A109" s="8" t="s">
        <v>140</v>
      </c>
      <c r="B109" s="7">
        <v>46086</v>
      </c>
      <c r="C109" s="6" t="s">
        <v>19</v>
      </c>
      <c r="D109" s="6" t="s">
        <v>20</v>
      </c>
      <c r="E109" s="6" t="s">
        <v>21</v>
      </c>
      <c r="F109" s="6" t="s">
        <v>25</v>
      </c>
      <c r="G109" s="6" t="s">
        <v>14</v>
      </c>
      <c r="H109" s="6" t="s">
        <v>14</v>
      </c>
      <c r="I109" s="9">
        <v>13342</v>
      </c>
    </row>
    <row r="110" spans="1:9" hidden="1" x14ac:dyDescent="0.3">
      <c r="A110" s="8" t="s">
        <v>141</v>
      </c>
      <c r="B110" s="7">
        <v>46087</v>
      </c>
      <c r="C110" s="6" t="s">
        <v>10</v>
      </c>
      <c r="D110" s="6" t="s">
        <v>14</v>
      </c>
      <c r="E110" s="6" t="s">
        <v>24</v>
      </c>
      <c r="F110" s="6" t="s">
        <v>28</v>
      </c>
      <c r="G110" s="6" t="s">
        <v>14</v>
      </c>
      <c r="H110" s="6" t="s">
        <v>14</v>
      </c>
      <c r="I110" s="9">
        <v>74955</v>
      </c>
    </row>
    <row r="111" spans="1:9" hidden="1" x14ac:dyDescent="0.3">
      <c r="A111" s="8" t="s">
        <v>142</v>
      </c>
      <c r="B111" s="7">
        <v>46087</v>
      </c>
      <c r="C111" s="6" t="s">
        <v>10</v>
      </c>
      <c r="D111" s="6" t="s">
        <v>14</v>
      </c>
      <c r="E111" s="6" t="s">
        <v>40</v>
      </c>
      <c r="F111" s="6" t="s">
        <v>25</v>
      </c>
      <c r="G111" s="6" t="s">
        <v>14</v>
      </c>
      <c r="H111" s="6" t="s">
        <v>14</v>
      </c>
      <c r="I111" s="9">
        <v>31457</v>
      </c>
    </row>
    <row r="112" spans="1:9" hidden="1" x14ac:dyDescent="0.3">
      <c r="A112" s="8" t="s">
        <v>143</v>
      </c>
      <c r="B112" s="7">
        <v>46087</v>
      </c>
      <c r="C112" s="6" t="s">
        <v>10</v>
      </c>
      <c r="D112" s="6" t="s">
        <v>33</v>
      </c>
      <c r="E112" s="6" t="s">
        <v>34</v>
      </c>
      <c r="F112" s="6" t="s">
        <v>31</v>
      </c>
      <c r="G112" s="6" t="s">
        <v>14</v>
      </c>
      <c r="H112" s="6" t="s">
        <v>14</v>
      </c>
      <c r="I112" s="9">
        <v>54107</v>
      </c>
    </row>
    <row r="113" spans="1:9" hidden="1" x14ac:dyDescent="0.3">
      <c r="A113" s="8" t="s">
        <v>144</v>
      </c>
      <c r="B113" s="7">
        <v>46087</v>
      </c>
      <c r="C113" s="6" t="s">
        <v>10</v>
      </c>
      <c r="D113" s="6" t="s">
        <v>11</v>
      </c>
      <c r="E113" s="6" t="s">
        <v>12</v>
      </c>
      <c r="F113" s="6" t="s">
        <v>25</v>
      </c>
      <c r="G113" s="6" t="s">
        <v>14</v>
      </c>
      <c r="H113" s="6" t="s">
        <v>14</v>
      </c>
      <c r="I113" s="9">
        <v>18893</v>
      </c>
    </row>
    <row r="114" spans="1:9" hidden="1" x14ac:dyDescent="0.3">
      <c r="A114" s="8" t="s">
        <v>145</v>
      </c>
      <c r="B114" s="7">
        <v>46087</v>
      </c>
      <c r="C114" s="6" t="s">
        <v>19</v>
      </c>
      <c r="D114" s="6" t="s">
        <v>33</v>
      </c>
      <c r="E114" s="6" t="s">
        <v>34</v>
      </c>
      <c r="F114" s="6" t="s">
        <v>17</v>
      </c>
      <c r="G114" s="6" t="s">
        <v>14</v>
      </c>
      <c r="H114" s="6" t="s">
        <v>14</v>
      </c>
      <c r="I114" s="9">
        <v>21860</v>
      </c>
    </row>
    <row r="115" spans="1:9" hidden="1" x14ac:dyDescent="0.3">
      <c r="A115" s="8" t="s">
        <v>146</v>
      </c>
      <c r="B115" s="7">
        <v>46088</v>
      </c>
      <c r="C115" s="6" t="s">
        <v>10</v>
      </c>
      <c r="D115" s="6" t="s">
        <v>20</v>
      </c>
      <c r="E115" s="6" t="s">
        <v>30</v>
      </c>
      <c r="F115" s="6" t="s">
        <v>25</v>
      </c>
      <c r="G115" s="6" t="s">
        <v>14</v>
      </c>
      <c r="H115" s="6" t="s">
        <v>14</v>
      </c>
      <c r="I115" s="9">
        <v>15343</v>
      </c>
    </row>
    <row r="116" spans="1:9" hidden="1" x14ac:dyDescent="0.3">
      <c r="A116" s="8" t="s">
        <v>147</v>
      </c>
      <c r="B116" s="7">
        <v>46088</v>
      </c>
      <c r="C116" s="6" t="s">
        <v>19</v>
      </c>
      <c r="D116" s="6" t="s">
        <v>11</v>
      </c>
      <c r="E116" s="6" t="s">
        <v>27</v>
      </c>
      <c r="F116" s="6" t="s">
        <v>17</v>
      </c>
      <c r="G116" s="6" t="s">
        <v>14</v>
      </c>
      <c r="H116" s="6" t="s">
        <v>14</v>
      </c>
      <c r="I116" s="9">
        <v>65682</v>
      </c>
    </row>
    <row r="117" spans="1:9" hidden="1" x14ac:dyDescent="0.3">
      <c r="A117" s="8" t="s">
        <v>148</v>
      </c>
      <c r="B117" s="7">
        <v>46089</v>
      </c>
      <c r="C117" s="6" t="s">
        <v>19</v>
      </c>
      <c r="D117" s="6" t="s">
        <v>20</v>
      </c>
      <c r="E117" s="6" t="s">
        <v>52</v>
      </c>
      <c r="F117" s="6" t="s">
        <v>17</v>
      </c>
      <c r="G117" s="6" t="s">
        <v>14</v>
      </c>
      <c r="H117" s="6" t="s">
        <v>14</v>
      </c>
      <c r="I117" s="9">
        <v>24910</v>
      </c>
    </row>
    <row r="118" spans="1:9" hidden="1" x14ac:dyDescent="0.3">
      <c r="A118" s="8" t="s">
        <v>149</v>
      </c>
      <c r="B118" s="7">
        <v>46092</v>
      </c>
      <c r="C118" s="6" t="s">
        <v>19</v>
      </c>
      <c r="D118" s="6" t="s">
        <v>11</v>
      </c>
      <c r="E118" s="6" t="s">
        <v>12</v>
      </c>
      <c r="F118" s="6" t="s">
        <v>22</v>
      </c>
      <c r="G118" s="6" t="s">
        <v>14</v>
      </c>
      <c r="H118" s="6" t="s">
        <v>14</v>
      </c>
      <c r="I118" s="9">
        <v>83774</v>
      </c>
    </row>
    <row r="119" spans="1:9" hidden="1" x14ac:dyDescent="0.3">
      <c r="A119" s="8" t="s">
        <v>150</v>
      </c>
      <c r="B119" s="7">
        <v>46093</v>
      </c>
      <c r="C119" s="6" t="s">
        <v>10</v>
      </c>
      <c r="D119" s="6" t="s">
        <v>33</v>
      </c>
      <c r="E119" s="6" t="s">
        <v>36</v>
      </c>
      <c r="F119" s="6" t="s">
        <v>17</v>
      </c>
      <c r="G119" s="6" t="s">
        <v>14</v>
      </c>
      <c r="H119" s="6" t="s">
        <v>14</v>
      </c>
      <c r="I119" s="9">
        <v>25545</v>
      </c>
    </row>
    <row r="120" spans="1:9" hidden="1" x14ac:dyDescent="0.3">
      <c r="A120" s="8" t="s">
        <v>151</v>
      </c>
      <c r="B120" s="7">
        <v>46094</v>
      </c>
      <c r="C120" s="6" t="s">
        <v>10</v>
      </c>
      <c r="D120" s="6" t="s">
        <v>33</v>
      </c>
      <c r="E120" s="6" t="s">
        <v>44</v>
      </c>
      <c r="F120" s="6" t="s">
        <v>28</v>
      </c>
      <c r="G120" s="6" t="s">
        <v>14</v>
      </c>
      <c r="H120" s="6" t="s">
        <v>14</v>
      </c>
      <c r="I120" s="9">
        <v>83910</v>
      </c>
    </row>
    <row r="121" spans="1:9" hidden="1" x14ac:dyDescent="0.3">
      <c r="A121" s="8" t="s">
        <v>152</v>
      </c>
      <c r="B121" s="7">
        <v>46094</v>
      </c>
      <c r="C121" s="6" t="s">
        <v>10</v>
      </c>
      <c r="D121" s="6" t="s">
        <v>20</v>
      </c>
      <c r="E121" s="6" t="s">
        <v>30</v>
      </c>
      <c r="F121" s="6" t="s">
        <v>13</v>
      </c>
      <c r="G121" s="6" t="s">
        <v>14</v>
      </c>
      <c r="H121" s="6" t="s">
        <v>14</v>
      </c>
      <c r="I121" s="9">
        <v>57543</v>
      </c>
    </row>
    <row r="122" spans="1:9" hidden="1" x14ac:dyDescent="0.3">
      <c r="A122" s="8" t="s">
        <v>153</v>
      </c>
      <c r="B122" s="7">
        <v>46094</v>
      </c>
      <c r="C122" s="6" t="s">
        <v>19</v>
      </c>
      <c r="D122" s="6" t="s">
        <v>14</v>
      </c>
      <c r="E122" s="6" t="s">
        <v>24</v>
      </c>
      <c r="F122" s="6" t="s">
        <v>17</v>
      </c>
      <c r="G122" s="6" t="s">
        <v>14</v>
      </c>
      <c r="H122" s="6" t="s">
        <v>14</v>
      </c>
      <c r="I122" s="9">
        <v>50513</v>
      </c>
    </row>
    <row r="123" spans="1:9" hidden="1" x14ac:dyDescent="0.3">
      <c r="A123" s="8" t="s">
        <v>154</v>
      </c>
      <c r="B123" s="7">
        <v>46095</v>
      </c>
      <c r="C123" s="6" t="s">
        <v>19</v>
      </c>
      <c r="D123" s="6" t="s">
        <v>14</v>
      </c>
      <c r="E123" s="6" t="s">
        <v>40</v>
      </c>
      <c r="F123" s="6" t="s">
        <v>25</v>
      </c>
      <c r="G123" s="6" t="s">
        <v>14</v>
      </c>
      <c r="H123" s="6" t="s">
        <v>14</v>
      </c>
      <c r="I123" s="9">
        <v>47270</v>
      </c>
    </row>
    <row r="124" spans="1:9" hidden="1" x14ac:dyDescent="0.3">
      <c r="A124" s="8" t="s">
        <v>155</v>
      </c>
      <c r="B124" s="7">
        <v>46096</v>
      </c>
      <c r="C124" s="6" t="s">
        <v>19</v>
      </c>
      <c r="D124" s="6" t="s">
        <v>33</v>
      </c>
      <c r="E124" s="6" t="s">
        <v>44</v>
      </c>
      <c r="F124" s="6" t="s">
        <v>28</v>
      </c>
      <c r="G124" s="6" t="s">
        <v>14</v>
      </c>
      <c r="H124" s="6" t="s">
        <v>14</v>
      </c>
      <c r="I124" s="9">
        <v>34700</v>
      </c>
    </row>
    <row r="125" spans="1:9" hidden="1" x14ac:dyDescent="0.3">
      <c r="A125" s="8" t="s">
        <v>156</v>
      </c>
      <c r="B125" s="7">
        <v>46097</v>
      </c>
      <c r="C125" s="6" t="s">
        <v>10</v>
      </c>
      <c r="D125" s="6" t="s">
        <v>33</v>
      </c>
      <c r="E125" s="6" t="s">
        <v>34</v>
      </c>
      <c r="F125" s="6" t="s">
        <v>17</v>
      </c>
      <c r="G125" s="6" t="s">
        <v>14</v>
      </c>
      <c r="H125" s="6" t="s">
        <v>14</v>
      </c>
      <c r="I125" s="9">
        <v>46698</v>
      </c>
    </row>
    <row r="126" spans="1:9" hidden="1" x14ac:dyDescent="0.3">
      <c r="A126" s="8" t="s">
        <v>157</v>
      </c>
      <c r="B126" s="7">
        <v>46097</v>
      </c>
      <c r="C126" s="6" t="s">
        <v>10</v>
      </c>
      <c r="D126" s="6" t="s">
        <v>11</v>
      </c>
      <c r="E126" s="6" t="s">
        <v>27</v>
      </c>
      <c r="F126" s="6" t="s">
        <v>25</v>
      </c>
      <c r="G126" s="6" t="s">
        <v>14</v>
      </c>
      <c r="H126" s="6" t="s">
        <v>14</v>
      </c>
      <c r="I126" s="9">
        <v>54642</v>
      </c>
    </row>
    <row r="127" spans="1:9" hidden="1" x14ac:dyDescent="0.3">
      <c r="A127" s="8" t="s">
        <v>158</v>
      </c>
      <c r="B127" s="7">
        <v>46097</v>
      </c>
      <c r="C127" s="6" t="s">
        <v>10</v>
      </c>
      <c r="D127" s="6" t="s">
        <v>20</v>
      </c>
      <c r="E127" s="6" t="s">
        <v>21</v>
      </c>
      <c r="F127" s="6" t="s">
        <v>13</v>
      </c>
      <c r="G127" s="6" t="s">
        <v>14</v>
      </c>
      <c r="H127" s="6" t="s">
        <v>14</v>
      </c>
      <c r="I127" s="9">
        <v>16611</v>
      </c>
    </row>
    <row r="128" spans="1:9" hidden="1" x14ac:dyDescent="0.3">
      <c r="A128" s="8" t="s">
        <v>159</v>
      </c>
      <c r="B128" s="7">
        <v>46097</v>
      </c>
      <c r="C128" s="6" t="s">
        <v>19</v>
      </c>
      <c r="D128" s="6" t="s">
        <v>33</v>
      </c>
      <c r="E128" s="6" t="s">
        <v>36</v>
      </c>
      <c r="F128" s="6" t="s">
        <v>22</v>
      </c>
      <c r="G128" s="6" t="s">
        <v>14</v>
      </c>
      <c r="H128" s="6" t="s">
        <v>14</v>
      </c>
      <c r="I128" s="9">
        <v>47547</v>
      </c>
    </row>
    <row r="129" spans="1:9" hidden="1" x14ac:dyDescent="0.3">
      <c r="A129" s="8" t="s">
        <v>160</v>
      </c>
      <c r="B129" s="7">
        <v>46098</v>
      </c>
      <c r="C129" s="6" t="s">
        <v>10</v>
      </c>
      <c r="D129" s="6" t="s">
        <v>20</v>
      </c>
      <c r="E129" s="6" t="s">
        <v>52</v>
      </c>
      <c r="F129" s="6" t="s">
        <v>17</v>
      </c>
      <c r="G129" s="6" t="s">
        <v>14</v>
      </c>
      <c r="H129" s="6" t="s">
        <v>14</v>
      </c>
      <c r="I129" s="9">
        <v>68661</v>
      </c>
    </row>
    <row r="130" spans="1:9" hidden="1" x14ac:dyDescent="0.3">
      <c r="A130" s="8" t="s">
        <v>161</v>
      </c>
      <c r="B130" s="7">
        <v>46098</v>
      </c>
      <c r="C130" s="6" t="s">
        <v>19</v>
      </c>
      <c r="D130" s="6" t="s">
        <v>33</v>
      </c>
      <c r="E130" s="6" t="s">
        <v>34</v>
      </c>
      <c r="F130" s="6" t="s">
        <v>25</v>
      </c>
      <c r="G130" s="6" t="s">
        <v>14</v>
      </c>
      <c r="H130" s="6" t="s">
        <v>14</v>
      </c>
      <c r="I130" s="9">
        <v>41189</v>
      </c>
    </row>
    <row r="131" spans="1:9" hidden="1" x14ac:dyDescent="0.3">
      <c r="A131" s="8" t="s">
        <v>162</v>
      </c>
      <c r="B131" s="7">
        <v>46098</v>
      </c>
      <c r="C131" s="6" t="s">
        <v>19</v>
      </c>
      <c r="D131" s="6" t="s">
        <v>11</v>
      </c>
      <c r="E131" s="6" t="s">
        <v>16</v>
      </c>
      <c r="F131" s="6" t="s">
        <v>25</v>
      </c>
      <c r="G131" s="6" t="s">
        <v>14</v>
      </c>
      <c r="H131" s="6" t="s">
        <v>14</v>
      </c>
      <c r="I131" s="9">
        <v>71399</v>
      </c>
    </row>
    <row r="132" spans="1:9" hidden="1" x14ac:dyDescent="0.3">
      <c r="A132" s="8" t="s">
        <v>163</v>
      </c>
      <c r="B132" s="7">
        <v>46098</v>
      </c>
      <c r="C132" s="6" t="s">
        <v>19</v>
      </c>
      <c r="D132" s="6" t="s">
        <v>20</v>
      </c>
      <c r="E132" s="6" t="s">
        <v>30</v>
      </c>
      <c r="F132" s="6" t="s">
        <v>25</v>
      </c>
      <c r="G132" s="6" t="s">
        <v>14</v>
      </c>
      <c r="H132" s="6" t="s">
        <v>14</v>
      </c>
      <c r="I132" s="9">
        <v>12117</v>
      </c>
    </row>
    <row r="133" spans="1:9" hidden="1" x14ac:dyDescent="0.3">
      <c r="A133" s="8" t="s">
        <v>164</v>
      </c>
      <c r="B133" s="7">
        <v>46099</v>
      </c>
      <c r="C133" s="6" t="s">
        <v>10</v>
      </c>
      <c r="D133" s="6" t="s">
        <v>11</v>
      </c>
      <c r="E133" s="6" t="s">
        <v>16</v>
      </c>
      <c r="F133" s="6" t="s">
        <v>17</v>
      </c>
      <c r="G133" s="6" t="s">
        <v>14</v>
      </c>
      <c r="H133" s="6" t="s">
        <v>14</v>
      </c>
      <c r="I133" s="9">
        <v>48631</v>
      </c>
    </row>
    <row r="134" spans="1:9" hidden="1" x14ac:dyDescent="0.3">
      <c r="A134" s="8" t="s">
        <v>165</v>
      </c>
      <c r="B134" s="7">
        <v>46100</v>
      </c>
      <c r="C134" s="6" t="s">
        <v>10</v>
      </c>
      <c r="D134" s="6" t="s">
        <v>14</v>
      </c>
      <c r="E134" s="6" t="s">
        <v>47</v>
      </c>
      <c r="F134" s="6" t="s">
        <v>25</v>
      </c>
      <c r="G134" s="6" t="s">
        <v>14</v>
      </c>
      <c r="H134" s="6" t="s">
        <v>14</v>
      </c>
      <c r="I134" s="9">
        <v>17258</v>
      </c>
    </row>
    <row r="135" spans="1:9" hidden="1" x14ac:dyDescent="0.3">
      <c r="A135" s="8" t="s">
        <v>166</v>
      </c>
      <c r="B135" s="7">
        <v>46100</v>
      </c>
      <c r="C135" s="6" t="s">
        <v>19</v>
      </c>
      <c r="D135" s="6" t="s">
        <v>14</v>
      </c>
      <c r="E135" s="6" t="s">
        <v>40</v>
      </c>
      <c r="F135" s="6" t="s">
        <v>25</v>
      </c>
      <c r="G135" s="6" t="s">
        <v>14</v>
      </c>
      <c r="H135" s="6" t="s">
        <v>14</v>
      </c>
      <c r="I135" s="9">
        <v>84936</v>
      </c>
    </row>
    <row r="136" spans="1:9" hidden="1" x14ac:dyDescent="0.3">
      <c r="A136" s="8" t="s">
        <v>167</v>
      </c>
      <c r="B136" s="7">
        <v>46100</v>
      </c>
      <c r="C136" s="6" t="s">
        <v>19</v>
      </c>
      <c r="D136" s="6" t="s">
        <v>14</v>
      </c>
      <c r="E136" s="6" t="s">
        <v>47</v>
      </c>
      <c r="F136" s="6" t="s">
        <v>25</v>
      </c>
      <c r="G136" s="6" t="s">
        <v>14</v>
      </c>
      <c r="H136" s="6" t="s">
        <v>14</v>
      </c>
      <c r="I136" s="9">
        <v>66693</v>
      </c>
    </row>
    <row r="137" spans="1:9" hidden="1" x14ac:dyDescent="0.3">
      <c r="A137" s="8" t="s">
        <v>168</v>
      </c>
      <c r="B137" s="7">
        <v>46102</v>
      </c>
      <c r="C137" s="6" t="s">
        <v>10</v>
      </c>
      <c r="D137" s="6" t="s">
        <v>14</v>
      </c>
      <c r="E137" s="6" t="s">
        <v>24</v>
      </c>
      <c r="F137" s="6" t="s">
        <v>13</v>
      </c>
      <c r="G137" s="6" t="s">
        <v>14</v>
      </c>
      <c r="H137" s="6" t="s">
        <v>14</v>
      </c>
      <c r="I137" s="9">
        <v>79221</v>
      </c>
    </row>
    <row r="138" spans="1:9" hidden="1" x14ac:dyDescent="0.3">
      <c r="A138" s="8" t="s">
        <v>169</v>
      </c>
      <c r="B138" s="7">
        <v>46102</v>
      </c>
      <c r="C138" s="6" t="s">
        <v>19</v>
      </c>
      <c r="D138" s="6" t="s">
        <v>11</v>
      </c>
      <c r="E138" s="6" t="s">
        <v>27</v>
      </c>
      <c r="F138" s="6" t="s">
        <v>22</v>
      </c>
      <c r="G138" s="6" t="s">
        <v>14</v>
      </c>
      <c r="H138" s="6" t="s">
        <v>14</v>
      </c>
      <c r="I138" s="9">
        <v>13252</v>
      </c>
    </row>
    <row r="139" spans="1:9" hidden="1" x14ac:dyDescent="0.3">
      <c r="A139" s="8" t="s">
        <v>170</v>
      </c>
      <c r="B139" s="7">
        <v>46103</v>
      </c>
      <c r="C139" s="6" t="s">
        <v>10</v>
      </c>
      <c r="D139" s="6" t="s">
        <v>11</v>
      </c>
      <c r="E139" s="6" t="s">
        <v>12</v>
      </c>
      <c r="F139" s="6" t="s">
        <v>25</v>
      </c>
      <c r="G139" s="6" t="s">
        <v>14</v>
      </c>
      <c r="H139" s="6" t="s">
        <v>14</v>
      </c>
      <c r="I139" s="9">
        <v>52818</v>
      </c>
    </row>
    <row r="140" spans="1:9" hidden="1" x14ac:dyDescent="0.3">
      <c r="A140" s="8" t="s">
        <v>171</v>
      </c>
      <c r="B140" s="7">
        <v>46103</v>
      </c>
      <c r="C140" s="6" t="s">
        <v>10</v>
      </c>
      <c r="D140" s="6" t="s">
        <v>20</v>
      </c>
      <c r="E140" s="6" t="s">
        <v>52</v>
      </c>
      <c r="F140" s="6" t="s">
        <v>25</v>
      </c>
      <c r="G140" s="6" t="s">
        <v>14</v>
      </c>
      <c r="H140" s="6" t="s">
        <v>14</v>
      </c>
      <c r="I140" s="9">
        <v>65006</v>
      </c>
    </row>
    <row r="141" spans="1:9" hidden="1" x14ac:dyDescent="0.3">
      <c r="A141" s="8" t="s">
        <v>172</v>
      </c>
      <c r="B141" s="7">
        <v>46105</v>
      </c>
      <c r="C141" s="6" t="s">
        <v>10</v>
      </c>
      <c r="D141" s="6" t="s">
        <v>33</v>
      </c>
      <c r="E141" s="6" t="s">
        <v>36</v>
      </c>
      <c r="F141" s="6" t="s">
        <v>25</v>
      </c>
      <c r="G141" s="6" t="s">
        <v>14</v>
      </c>
      <c r="H141" s="6" t="s">
        <v>14</v>
      </c>
      <c r="I141" s="9">
        <v>73087</v>
      </c>
    </row>
    <row r="142" spans="1:9" hidden="1" x14ac:dyDescent="0.3">
      <c r="A142" s="8" t="s">
        <v>173</v>
      </c>
      <c r="B142" s="7">
        <v>46105</v>
      </c>
      <c r="C142" s="6" t="s">
        <v>10</v>
      </c>
      <c r="D142" s="6" t="s">
        <v>11</v>
      </c>
      <c r="E142" s="6" t="s">
        <v>27</v>
      </c>
      <c r="F142" s="6" t="s">
        <v>31</v>
      </c>
      <c r="G142" s="6" t="s">
        <v>14</v>
      </c>
      <c r="H142" s="6" t="s">
        <v>14</v>
      </c>
      <c r="I142" s="9">
        <v>16499</v>
      </c>
    </row>
    <row r="143" spans="1:9" hidden="1" x14ac:dyDescent="0.3">
      <c r="A143" s="8" t="s">
        <v>174</v>
      </c>
      <c r="B143" s="7">
        <v>46105</v>
      </c>
      <c r="C143" s="6" t="s">
        <v>10</v>
      </c>
      <c r="D143" s="6" t="s">
        <v>20</v>
      </c>
      <c r="E143" s="6" t="s">
        <v>21</v>
      </c>
      <c r="F143" s="6" t="s">
        <v>17</v>
      </c>
      <c r="G143" s="6" t="s">
        <v>14</v>
      </c>
      <c r="H143" s="6" t="s">
        <v>14</v>
      </c>
      <c r="I143" s="9">
        <v>72160</v>
      </c>
    </row>
    <row r="144" spans="1:9" hidden="1" x14ac:dyDescent="0.3">
      <c r="A144" s="8" t="s">
        <v>175</v>
      </c>
      <c r="B144" s="7">
        <v>46105</v>
      </c>
      <c r="C144" s="6" t="s">
        <v>19</v>
      </c>
      <c r="D144" s="6" t="s">
        <v>11</v>
      </c>
      <c r="E144" s="6" t="s">
        <v>16</v>
      </c>
      <c r="F144" s="6" t="s">
        <v>17</v>
      </c>
      <c r="G144" s="6" t="s">
        <v>14</v>
      </c>
      <c r="H144" s="6" t="s">
        <v>14</v>
      </c>
      <c r="I144" s="9">
        <v>12302</v>
      </c>
    </row>
    <row r="145" spans="1:9" hidden="1" x14ac:dyDescent="0.3">
      <c r="A145" s="8" t="s">
        <v>176</v>
      </c>
      <c r="B145" s="7">
        <v>46106</v>
      </c>
      <c r="C145" s="6" t="s">
        <v>19</v>
      </c>
      <c r="D145" s="6" t="s">
        <v>11</v>
      </c>
      <c r="E145" s="6" t="s">
        <v>12</v>
      </c>
      <c r="F145" s="6" t="s">
        <v>25</v>
      </c>
      <c r="G145" s="6" t="s">
        <v>14</v>
      </c>
      <c r="H145" s="6" t="s">
        <v>14</v>
      </c>
      <c r="I145" s="9">
        <v>18254</v>
      </c>
    </row>
    <row r="146" spans="1:9" hidden="1" x14ac:dyDescent="0.3">
      <c r="A146" s="8" t="s">
        <v>177</v>
      </c>
      <c r="B146" s="7">
        <v>46113</v>
      </c>
      <c r="C146" s="6" t="s">
        <v>10</v>
      </c>
      <c r="D146" s="6" t="s">
        <v>11</v>
      </c>
      <c r="E146" s="6" t="s">
        <v>12</v>
      </c>
      <c r="F146" s="6" t="s">
        <v>22</v>
      </c>
      <c r="G146" s="6" t="s">
        <v>14</v>
      </c>
      <c r="H146" s="6" t="s">
        <v>14</v>
      </c>
      <c r="I146" s="9">
        <v>51790</v>
      </c>
    </row>
    <row r="147" spans="1:9" hidden="1" x14ac:dyDescent="0.3">
      <c r="A147" s="8" t="s">
        <v>178</v>
      </c>
      <c r="B147" s="7">
        <v>46113</v>
      </c>
      <c r="C147" s="6" t="s">
        <v>19</v>
      </c>
      <c r="D147" s="6" t="s">
        <v>14</v>
      </c>
      <c r="E147" s="6" t="s">
        <v>47</v>
      </c>
      <c r="F147" s="6" t="s">
        <v>17</v>
      </c>
      <c r="G147" s="6" t="s">
        <v>14</v>
      </c>
      <c r="H147" s="6" t="s">
        <v>14</v>
      </c>
      <c r="I147" s="9">
        <v>54348</v>
      </c>
    </row>
    <row r="148" spans="1:9" hidden="1" x14ac:dyDescent="0.3">
      <c r="A148" s="8" t="s">
        <v>179</v>
      </c>
      <c r="B148" s="7">
        <v>46114</v>
      </c>
      <c r="C148" s="6" t="s">
        <v>10</v>
      </c>
      <c r="D148" s="6" t="s">
        <v>33</v>
      </c>
      <c r="E148" s="6" t="s">
        <v>44</v>
      </c>
      <c r="F148" s="6" t="s">
        <v>25</v>
      </c>
      <c r="G148" s="6" t="s">
        <v>14</v>
      </c>
      <c r="H148" s="6" t="s">
        <v>14</v>
      </c>
      <c r="I148" s="9">
        <v>34299</v>
      </c>
    </row>
    <row r="149" spans="1:9" hidden="1" x14ac:dyDescent="0.3">
      <c r="A149" s="8" t="s">
        <v>180</v>
      </c>
      <c r="B149" s="7">
        <v>46114</v>
      </c>
      <c r="C149" s="6" t="s">
        <v>10</v>
      </c>
      <c r="D149" s="6" t="s">
        <v>11</v>
      </c>
      <c r="E149" s="6" t="s">
        <v>12</v>
      </c>
      <c r="F149" s="6" t="s">
        <v>28</v>
      </c>
      <c r="G149" s="6" t="s">
        <v>14</v>
      </c>
      <c r="H149" s="6" t="s">
        <v>14</v>
      </c>
      <c r="I149" s="9">
        <v>17895</v>
      </c>
    </row>
    <row r="150" spans="1:9" hidden="1" x14ac:dyDescent="0.3">
      <c r="A150" s="8" t="s">
        <v>181</v>
      </c>
      <c r="B150" s="7">
        <v>46114</v>
      </c>
      <c r="C150" s="6" t="s">
        <v>10</v>
      </c>
      <c r="D150" s="6" t="s">
        <v>11</v>
      </c>
      <c r="E150" s="6" t="s">
        <v>16</v>
      </c>
      <c r="F150" s="6" t="s">
        <v>25</v>
      </c>
      <c r="G150" s="6" t="s">
        <v>14</v>
      </c>
      <c r="H150" s="6" t="s">
        <v>14</v>
      </c>
      <c r="I150" s="9">
        <v>22729</v>
      </c>
    </row>
    <row r="151" spans="1:9" hidden="1" x14ac:dyDescent="0.3">
      <c r="A151" s="8" t="s">
        <v>182</v>
      </c>
      <c r="B151" s="7">
        <v>46115</v>
      </c>
      <c r="C151" s="6" t="s">
        <v>19</v>
      </c>
      <c r="D151" s="6" t="s">
        <v>14</v>
      </c>
      <c r="E151" s="6" t="s">
        <v>24</v>
      </c>
      <c r="F151" s="6" t="s">
        <v>13</v>
      </c>
      <c r="G151" s="6" t="s">
        <v>14</v>
      </c>
      <c r="H151" s="6" t="s">
        <v>14</v>
      </c>
      <c r="I151" s="9">
        <v>59295</v>
      </c>
    </row>
    <row r="152" spans="1:9" hidden="1" x14ac:dyDescent="0.3">
      <c r="A152" s="8" t="s">
        <v>183</v>
      </c>
      <c r="B152" s="7">
        <v>46115</v>
      </c>
      <c r="C152" s="6" t="s">
        <v>19</v>
      </c>
      <c r="D152" s="6" t="s">
        <v>33</v>
      </c>
      <c r="E152" s="6" t="s">
        <v>36</v>
      </c>
      <c r="F152" s="6" t="s">
        <v>25</v>
      </c>
      <c r="G152" s="6" t="s">
        <v>14</v>
      </c>
      <c r="H152" s="6" t="s">
        <v>14</v>
      </c>
      <c r="I152" s="9">
        <v>46349</v>
      </c>
    </row>
    <row r="153" spans="1:9" hidden="1" x14ac:dyDescent="0.3">
      <c r="A153" s="8" t="s">
        <v>184</v>
      </c>
      <c r="B153" s="7">
        <v>46115</v>
      </c>
      <c r="C153" s="6" t="s">
        <v>19</v>
      </c>
      <c r="D153" s="6" t="s">
        <v>11</v>
      </c>
      <c r="E153" s="6" t="s">
        <v>12</v>
      </c>
      <c r="F153" s="6" t="s">
        <v>25</v>
      </c>
      <c r="G153" s="6" t="s">
        <v>14</v>
      </c>
      <c r="H153" s="6" t="s">
        <v>14</v>
      </c>
      <c r="I153" s="9">
        <v>53240</v>
      </c>
    </row>
    <row r="154" spans="1:9" hidden="1" x14ac:dyDescent="0.3">
      <c r="A154" s="8" t="s">
        <v>185</v>
      </c>
      <c r="B154" s="7">
        <v>46115</v>
      </c>
      <c r="C154" s="6" t="s">
        <v>19</v>
      </c>
      <c r="D154" s="6" t="s">
        <v>20</v>
      </c>
      <c r="E154" s="6" t="s">
        <v>21</v>
      </c>
      <c r="F154" s="6" t="s">
        <v>25</v>
      </c>
      <c r="G154" s="6" t="s">
        <v>14</v>
      </c>
      <c r="H154" s="6" t="s">
        <v>14</v>
      </c>
      <c r="I154" s="9">
        <v>38614</v>
      </c>
    </row>
    <row r="155" spans="1:9" hidden="1" x14ac:dyDescent="0.3">
      <c r="A155" s="8" t="s">
        <v>186</v>
      </c>
      <c r="B155" s="7">
        <v>46116</v>
      </c>
      <c r="C155" s="6" t="s">
        <v>10</v>
      </c>
      <c r="D155" s="6" t="s">
        <v>33</v>
      </c>
      <c r="E155" s="6" t="s">
        <v>34</v>
      </c>
      <c r="F155" s="6" t="s">
        <v>13</v>
      </c>
      <c r="G155" s="6" t="s">
        <v>14</v>
      </c>
      <c r="H155" s="6" t="s">
        <v>14</v>
      </c>
      <c r="I155" s="9">
        <v>61811</v>
      </c>
    </row>
    <row r="156" spans="1:9" hidden="1" x14ac:dyDescent="0.3">
      <c r="A156" s="8" t="s">
        <v>187</v>
      </c>
      <c r="B156" s="7">
        <v>46116</v>
      </c>
      <c r="C156" s="6" t="s">
        <v>10</v>
      </c>
      <c r="D156" s="6" t="s">
        <v>11</v>
      </c>
      <c r="E156" s="6" t="s">
        <v>27</v>
      </c>
      <c r="F156" s="6" t="s">
        <v>31</v>
      </c>
      <c r="G156" s="6" t="s">
        <v>14</v>
      </c>
      <c r="H156" s="6" t="s">
        <v>14</v>
      </c>
      <c r="I156" s="9">
        <v>44711</v>
      </c>
    </row>
    <row r="157" spans="1:9" hidden="1" x14ac:dyDescent="0.3">
      <c r="A157" s="8" t="s">
        <v>188</v>
      </c>
      <c r="B157" s="7">
        <v>46116</v>
      </c>
      <c r="C157" s="6" t="s">
        <v>19</v>
      </c>
      <c r="D157" s="6" t="s">
        <v>11</v>
      </c>
      <c r="E157" s="6" t="s">
        <v>12</v>
      </c>
      <c r="F157" s="6" t="s">
        <v>25</v>
      </c>
      <c r="G157" s="6" t="s">
        <v>14</v>
      </c>
      <c r="H157" s="6" t="s">
        <v>14</v>
      </c>
      <c r="I157" s="9">
        <v>36071</v>
      </c>
    </row>
    <row r="158" spans="1:9" hidden="1" x14ac:dyDescent="0.3">
      <c r="A158" s="8" t="s">
        <v>189</v>
      </c>
      <c r="B158" s="7">
        <v>46117</v>
      </c>
      <c r="C158" s="6" t="s">
        <v>19</v>
      </c>
      <c r="D158" s="6" t="s">
        <v>14</v>
      </c>
      <c r="E158" s="6" t="s">
        <v>24</v>
      </c>
      <c r="F158" s="6" t="s">
        <v>22</v>
      </c>
      <c r="G158" s="6" t="s">
        <v>14</v>
      </c>
      <c r="H158" s="6" t="s">
        <v>14</v>
      </c>
      <c r="I158" s="9">
        <v>56425</v>
      </c>
    </row>
    <row r="159" spans="1:9" hidden="1" x14ac:dyDescent="0.3">
      <c r="A159" s="8" t="s">
        <v>190</v>
      </c>
      <c r="B159" s="7">
        <v>46117</v>
      </c>
      <c r="C159" s="6" t="s">
        <v>19</v>
      </c>
      <c r="D159" s="6" t="s">
        <v>33</v>
      </c>
      <c r="E159" s="6" t="s">
        <v>34</v>
      </c>
      <c r="F159" s="6" t="s">
        <v>28</v>
      </c>
      <c r="G159" s="6" t="s">
        <v>14</v>
      </c>
      <c r="H159" s="6" t="s">
        <v>14</v>
      </c>
      <c r="I159" s="9">
        <v>35574</v>
      </c>
    </row>
    <row r="160" spans="1:9" hidden="1" x14ac:dyDescent="0.3">
      <c r="A160" s="8" t="s">
        <v>191</v>
      </c>
      <c r="B160" s="7">
        <v>46118</v>
      </c>
      <c r="C160" s="6" t="s">
        <v>19</v>
      </c>
      <c r="D160" s="6" t="s">
        <v>20</v>
      </c>
      <c r="E160" s="6" t="s">
        <v>52</v>
      </c>
      <c r="F160" s="6" t="s">
        <v>22</v>
      </c>
      <c r="G160" s="6" t="s">
        <v>14</v>
      </c>
      <c r="H160" s="6" t="s">
        <v>14</v>
      </c>
      <c r="I160" s="9">
        <v>72004</v>
      </c>
    </row>
    <row r="161" spans="1:9" hidden="1" x14ac:dyDescent="0.3">
      <c r="A161" s="8" t="s">
        <v>192</v>
      </c>
      <c r="B161" s="7">
        <v>46119</v>
      </c>
      <c r="C161" s="6" t="s">
        <v>10</v>
      </c>
      <c r="D161" s="6" t="s">
        <v>14</v>
      </c>
      <c r="E161" s="6" t="s">
        <v>47</v>
      </c>
      <c r="F161" s="6" t="s">
        <v>22</v>
      </c>
      <c r="G161" s="6" t="s">
        <v>14</v>
      </c>
      <c r="H161" s="6" t="s">
        <v>14</v>
      </c>
      <c r="I161" s="9">
        <v>64251</v>
      </c>
    </row>
    <row r="162" spans="1:9" hidden="1" x14ac:dyDescent="0.3">
      <c r="A162" s="8" t="s">
        <v>193</v>
      </c>
      <c r="B162" s="7">
        <v>46119</v>
      </c>
      <c r="C162" s="6" t="s">
        <v>10</v>
      </c>
      <c r="D162" s="6" t="s">
        <v>33</v>
      </c>
      <c r="E162" s="6" t="s">
        <v>36</v>
      </c>
      <c r="F162" s="6" t="s">
        <v>25</v>
      </c>
      <c r="G162" s="6" t="s">
        <v>14</v>
      </c>
      <c r="H162" s="6" t="s">
        <v>14</v>
      </c>
      <c r="I162" s="9">
        <v>64733</v>
      </c>
    </row>
    <row r="163" spans="1:9" hidden="1" x14ac:dyDescent="0.3">
      <c r="A163" s="8" t="s">
        <v>194</v>
      </c>
      <c r="B163" s="7">
        <v>46119</v>
      </c>
      <c r="C163" s="6" t="s">
        <v>19</v>
      </c>
      <c r="D163" s="6" t="s">
        <v>14</v>
      </c>
      <c r="E163" s="6" t="s">
        <v>47</v>
      </c>
      <c r="F163" s="6" t="s">
        <v>31</v>
      </c>
      <c r="G163" s="6" t="s">
        <v>14</v>
      </c>
      <c r="H163" s="6" t="s">
        <v>14</v>
      </c>
      <c r="I163" s="9">
        <v>69854</v>
      </c>
    </row>
    <row r="164" spans="1:9" hidden="1" x14ac:dyDescent="0.3">
      <c r="A164" s="8" t="s">
        <v>195</v>
      </c>
      <c r="B164" s="7">
        <v>46120</v>
      </c>
      <c r="C164" s="6" t="s">
        <v>19</v>
      </c>
      <c r="D164" s="6" t="s">
        <v>20</v>
      </c>
      <c r="E164" s="6" t="s">
        <v>30</v>
      </c>
      <c r="F164" s="6" t="s">
        <v>13</v>
      </c>
      <c r="G164" s="6" t="s">
        <v>14</v>
      </c>
      <c r="H164" s="6" t="s">
        <v>14</v>
      </c>
      <c r="I164" s="9">
        <v>22954</v>
      </c>
    </row>
    <row r="165" spans="1:9" hidden="1" x14ac:dyDescent="0.3">
      <c r="A165" s="8" t="s">
        <v>196</v>
      </c>
      <c r="B165" s="7">
        <v>46121</v>
      </c>
      <c r="C165" s="6" t="s">
        <v>19</v>
      </c>
      <c r="D165" s="6" t="s">
        <v>33</v>
      </c>
      <c r="E165" s="6" t="s">
        <v>44</v>
      </c>
      <c r="F165" s="6" t="s">
        <v>25</v>
      </c>
      <c r="G165" s="6" t="s">
        <v>14</v>
      </c>
      <c r="H165" s="6" t="s">
        <v>14</v>
      </c>
      <c r="I165" s="9">
        <v>83726</v>
      </c>
    </row>
    <row r="166" spans="1:9" hidden="1" x14ac:dyDescent="0.3">
      <c r="A166" s="8" t="s">
        <v>197</v>
      </c>
      <c r="B166" s="7">
        <v>46122</v>
      </c>
      <c r="C166" s="6" t="s">
        <v>10</v>
      </c>
      <c r="D166" s="6" t="s">
        <v>14</v>
      </c>
      <c r="E166" s="6" t="s">
        <v>24</v>
      </c>
      <c r="F166" s="6" t="s">
        <v>17</v>
      </c>
      <c r="G166" s="6" t="s">
        <v>14</v>
      </c>
      <c r="H166" s="6" t="s">
        <v>14</v>
      </c>
      <c r="I166" s="9">
        <v>37658</v>
      </c>
    </row>
    <row r="167" spans="1:9" hidden="1" x14ac:dyDescent="0.3">
      <c r="A167" s="8" t="s">
        <v>198</v>
      </c>
      <c r="B167" s="7">
        <v>46122</v>
      </c>
      <c r="C167" s="6" t="s">
        <v>10</v>
      </c>
      <c r="D167" s="6" t="s">
        <v>14</v>
      </c>
      <c r="E167" s="6" t="s">
        <v>47</v>
      </c>
      <c r="F167" s="6" t="s">
        <v>13</v>
      </c>
      <c r="G167" s="6" t="s">
        <v>14</v>
      </c>
      <c r="H167" s="6" t="s">
        <v>14</v>
      </c>
      <c r="I167" s="9">
        <v>50660</v>
      </c>
    </row>
    <row r="168" spans="1:9" hidden="1" x14ac:dyDescent="0.3">
      <c r="A168" s="8" t="s">
        <v>199</v>
      </c>
      <c r="B168" s="7">
        <v>46122</v>
      </c>
      <c r="C168" s="6" t="s">
        <v>19</v>
      </c>
      <c r="D168" s="6" t="s">
        <v>33</v>
      </c>
      <c r="E168" s="6" t="s">
        <v>34</v>
      </c>
      <c r="F168" s="6" t="s">
        <v>13</v>
      </c>
      <c r="G168" s="6" t="s">
        <v>14</v>
      </c>
      <c r="H168" s="6" t="s">
        <v>14</v>
      </c>
      <c r="I168" s="9">
        <v>16809</v>
      </c>
    </row>
    <row r="169" spans="1:9" hidden="1" x14ac:dyDescent="0.3">
      <c r="A169" s="8" t="s">
        <v>200</v>
      </c>
      <c r="B169" s="7">
        <v>46124</v>
      </c>
      <c r="C169" s="6" t="s">
        <v>10</v>
      </c>
      <c r="D169" s="6" t="s">
        <v>14</v>
      </c>
      <c r="E169" s="6" t="s">
        <v>40</v>
      </c>
      <c r="F169" s="6" t="s">
        <v>25</v>
      </c>
      <c r="G169" s="6" t="s">
        <v>14</v>
      </c>
      <c r="H169" s="6" t="s">
        <v>14</v>
      </c>
      <c r="I169" s="9">
        <v>84409</v>
      </c>
    </row>
    <row r="170" spans="1:9" hidden="1" x14ac:dyDescent="0.3">
      <c r="A170" s="8" t="s">
        <v>201</v>
      </c>
      <c r="B170" s="7">
        <v>46124</v>
      </c>
      <c r="C170" s="6" t="s">
        <v>10</v>
      </c>
      <c r="D170" s="6" t="s">
        <v>20</v>
      </c>
      <c r="E170" s="6" t="s">
        <v>52</v>
      </c>
      <c r="F170" s="6" t="s">
        <v>17</v>
      </c>
      <c r="G170" s="6" t="s">
        <v>14</v>
      </c>
      <c r="H170" s="6" t="s">
        <v>14</v>
      </c>
      <c r="I170" s="9">
        <v>31508</v>
      </c>
    </row>
    <row r="171" spans="1:9" hidden="1" x14ac:dyDescent="0.3">
      <c r="A171" s="8" t="s">
        <v>202</v>
      </c>
      <c r="B171" s="7">
        <v>46124</v>
      </c>
      <c r="C171" s="6" t="s">
        <v>19</v>
      </c>
      <c r="D171" s="6" t="s">
        <v>20</v>
      </c>
      <c r="E171" s="6" t="s">
        <v>21</v>
      </c>
      <c r="F171" s="6" t="s">
        <v>22</v>
      </c>
      <c r="G171" s="6" t="s">
        <v>14</v>
      </c>
      <c r="H171" s="6" t="s">
        <v>14</v>
      </c>
      <c r="I171" s="9">
        <v>24219</v>
      </c>
    </row>
    <row r="172" spans="1:9" hidden="1" x14ac:dyDescent="0.3">
      <c r="A172" s="8" t="s">
        <v>203</v>
      </c>
      <c r="B172" s="7">
        <v>46125</v>
      </c>
      <c r="C172" s="6" t="s">
        <v>10</v>
      </c>
      <c r="D172" s="6" t="s">
        <v>33</v>
      </c>
      <c r="E172" s="6" t="s">
        <v>44</v>
      </c>
      <c r="F172" s="6" t="s">
        <v>17</v>
      </c>
      <c r="G172" s="6" t="s">
        <v>14</v>
      </c>
      <c r="H172" s="6" t="s">
        <v>14</v>
      </c>
      <c r="I172" s="9">
        <v>45827</v>
      </c>
    </row>
    <row r="173" spans="1:9" hidden="1" x14ac:dyDescent="0.3">
      <c r="A173" s="8" t="s">
        <v>204</v>
      </c>
      <c r="B173" s="7">
        <v>46125</v>
      </c>
      <c r="C173" s="6" t="s">
        <v>10</v>
      </c>
      <c r="D173" s="6" t="s">
        <v>20</v>
      </c>
      <c r="E173" s="6" t="s">
        <v>52</v>
      </c>
      <c r="F173" s="6" t="s">
        <v>28</v>
      </c>
      <c r="G173" s="6" t="s">
        <v>14</v>
      </c>
      <c r="H173" s="6" t="s">
        <v>14</v>
      </c>
      <c r="I173" s="9">
        <v>66021</v>
      </c>
    </row>
    <row r="174" spans="1:9" hidden="1" x14ac:dyDescent="0.3">
      <c r="A174" s="8" t="s">
        <v>205</v>
      </c>
      <c r="B174" s="7">
        <v>46127</v>
      </c>
      <c r="C174" s="6" t="s">
        <v>19</v>
      </c>
      <c r="D174" s="6" t="s">
        <v>11</v>
      </c>
      <c r="E174" s="6" t="s">
        <v>27</v>
      </c>
      <c r="F174" s="6" t="s">
        <v>17</v>
      </c>
      <c r="G174" s="6" t="s">
        <v>14</v>
      </c>
      <c r="H174" s="6" t="s">
        <v>14</v>
      </c>
      <c r="I174" s="9">
        <v>18941</v>
      </c>
    </row>
    <row r="175" spans="1:9" hidden="1" x14ac:dyDescent="0.3">
      <c r="A175" s="8" t="s">
        <v>206</v>
      </c>
      <c r="B175" s="7">
        <v>46129</v>
      </c>
      <c r="C175" s="6" t="s">
        <v>10</v>
      </c>
      <c r="D175" s="6" t="s">
        <v>33</v>
      </c>
      <c r="E175" s="6" t="s">
        <v>36</v>
      </c>
      <c r="F175" s="6" t="s">
        <v>13</v>
      </c>
      <c r="G175" s="6" t="s">
        <v>14</v>
      </c>
      <c r="H175" s="6" t="s">
        <v>14</v>
      </c>
      <c r="I175" s="9">
        <v>66384</v>
      </c>
    </row>
    <row r="176" spans="1:9" hidden="1" x14ac:dyDescent="0.3">
      <c r="A176" s="8" t="s">
        <v>207</v>
      </c>
      <c r="B176" s="7">
        <v>46129</v>
      </c>
      <c r="C176" s="6" t="s">
        <v>10</v>
      </c>
      <c r="D176" s="6" t="s">
        <v>20</v>
      </c>
      <c r="E176" s="6" t="s">
        <v>21</v>
      </c>
      <c r="F176" s="6" t="s">
        <v>25</v>
      </c>
      <c r="G176" s="6" t="s">
        <v>14</v>
      </c>
      <c r="H176" s="6" t="s">
        <v>14</v>
      </c>
      <c r="I176" s="9">
        <v>42977</v>
      </c>
    </row>
    <row r="177" spans="1:9" hidden="1" x14ac:dyDescent="0.3">
      <c r="A177" s="8" t="s">
        <v>208</v>
      </c>
      <c r="B177" s="7">
        <v>46130</v>
      </c>
      <c r="C177" s="6" t="s">
        <v>19</v>
      </c>
      <c r="D177" s="6" t="s">
        <v>11</v>
      </c>
      <c r="E177" s="6" t="s">
        <v>27</v>
      </c>
      <c r="F177" s="6" t="s">
        <v>25</v>
      </c>
      <c r="G177" s="6" t="s">
        <v>14</v>
      </c>
      <c r="H177" s="6" t="s">
        <v>14</v>
      </c>
      <c r="I177" s="9">
        <v>18949</v>
      </c>
    </row>
    <row r="178" spans="1:9" hidden="1" x14ac:dyDescent="0.3">
      <c r="A178" s="8" t="s">
        <v>209</v>
      </c>
      <c r="B178" s="7">
        <v>46131</v>
      </c>
      <c r="C178" s="6" t="s">
        <v>10</v>
      </c>
      <c r="D178" s="6" t="s">
        <v>33</v>
      </c>
      <c r="E178" s="6" t="s">
        <v>34</v>
      </c>
      <c r="F178" s="6" t="s">
        <v>25</v>
      </c>
      <c r="G178" s="6" t="s">
        <v>14</v>
      </c>
      <c r="H178" s="6" t="s">
        <v>14</v>
      </c>
      <c r="I178" s="9">
        <v>46754</v>
      </c>
    </row>
    <row r="179" spans="1:9" hidden="1" x14ac:dyDescent="0.3">
      <c r="A179" s="8" t="s">
        <v>210</v>
      </c>
      <c r="B179" s="7">
        <v>46131</v>
      </c>
      <c r="C179" s="6" t="s">
        <v>10</v>
      </c>
      <c r="D179" s="6" t="s">
        <v>20</v>
      </c>
      <c r="E179" s="6" t="s">
        <v>30</v>
      </c>
      <c r="F179" s="6" t="s">
        <v>13</v>
      </c>
      <c r="G179" s="6" t="s">
        <v>14</v>
      </c>
      <c r="H179" s="6" t="s">
        <v>14</v>
      </c>
      <c r="I179" s="9">
        <v>79215</v>
      </c>
    </row>
    <row r="180" spans="1:9" hidden="1" x14ac:dyDescent="0.3">
      <c r="A180" s="8" t="s">
        <v>211</v>
      </c>
      <c r="B180" s="7">
        <v>46131</v>
      </c>
      <c r="C180" s="6" t="s">
        <v>19</v>
      </c>
      <c r="D180" s="6" t="s">
        <v>14</v>
      </c>
      <c r="E180" s="6" t="s">
        <v>40</v>
      </c>
      <c r="F180" s="6" t="s">
        <v>13</v>
      </c>
      <c r="G180" s="6" t="s">
        <v>14</v>
      </c>
      <c r="H180" s="6" t="s">
        <v>14</v>
      </c>
      <c r="I180" s="9">
        <v>44307</v>
      </c>
    </row>
    <row r="181" spans="1:9" hidden="1" x14ac:dyDescent="0.3">
      <c r="A181" s="8" t="s">
        <v>212</v>
      </c>
      <c r="B181" s="7">
        <v>46131</v>
      </c>
      <c r="C181" s="6" t="s">
        <v>19</v>
      </c>
      <c r="D181" s="6" t="s">
        <v>33</v>
      </c>
      <c r="E181" s="6" t="s">
        <v>36</v>
      </c>
      <c r="F181" s="6" t="s">
        <v>31</v>
      </c>
      <c r="G181" s="6" t="s">
        <v>14</v>
      </c>
      <c r="H181" s="6" t="s">
        <v>14</v>
      </c>
      <c r="I181" s="9">
        <v>17713</v>
      </c>
    </row>
    <row r="182" spans="1:9" hidden="1" x14ac:dyDescent="0.3">
      <c r="A182" s="8" t="s">
        <v>213</v>
      </c>
      <c r="B182" s="7">
        <v>46131</v>
      </c>
      <c r="C182" s="6" t="s">
        <v>19</v>
      </c>
      <c r="D182" s="6" t="s">
        <v>20</v>
      </c>
      <c r="E182" s="6" t="s">
        <v>52</v>
      </c>
      <c r="F182" s="6" t="s">
        <v>17</v>
      </c>
      <c r="G182" s="6" t="s">
        <v>14</v>
      </c>
      <c r="H182" s="6" t="s">
        <v>14</v>
      </c>
      <c r="I182" s="9">
        <v>35275</v>
      </c>
    </row>
    <row r="183" spans="1:9" hidden="1" x14ac:dyDescent="0.3">
      <c r="A183" s="8" t="s">
        <v>214</v>
      </c>
      <c r="B183" s="7">
        <v>46132</v>
      </c>
      <c r="C183" s="6" t="s">
        <v>10</v>
      </c>
      <c r="D183" s="6" t="s">
        <v>20</v>
      </c>
      <c r="E183" s="6" t="s">
        <v>21</v>
      </c>
      <c r="F183" s="6" t="s">
        <v>31</v>
      </c>
      <c r="G183" s="6" t="s">
        <v>14</v>
      </c>
      <c r="H183" s="6" t="s">
        <v>14</v>
      </c>
      <c r="I183" s="9">
        <v>72890</v>
      </c>
    </row>
    <row r="184" spans="1:9" hidden="1" x14ac:dyDescent="0.3">
      <c r="A184" s="8" t="s">
        <v>215</v>
      </c>
      <c r="B184" s="7">
        <v>46132</v>
      </c>
      <c r="C184" s="6" t="s">
        <v>19</v>
      </c>
      <c r="D184" s="6" t="s">
        <v>33</v>
      </c>
      <c r="E184" s="6" t="s">
        <v>44</v>
      </c>
      <c r="F184" s="6" t="s">
        <v>25</v>
      </c>
      <c r="G184" s="6" t="s">
        <v>14</v>
      </c>
      <c r="H184" s="6" t="s">
        <v>14</v>
      </c>
      <c r="I184" s="9">
        <v>42354</v>
      </c>
    </row>
    <row r="185" spans="1:9" hidden="1" x14ac:dyDescent="0.3">
      <c r="A185" s="8" t="s">
        <v>216</v>
      </c>
      <c r="B185" s="7">
        <v>46133</v>
      </c>
      <c r="C185" s="6" t="s">
        <v>19</v>
      </c>
      <c r="D185" s="6" t="s">
        <v>14</v>
      </c>
      <c r="E185" s="6" t="s">
        <v>40</v>
      </c>
      <c r="F185" s="6" t="s">
        <v>17</v>
      </c>
      <c r="G185" s="6" t="s">
        <v>14</v>
      </c>
      <c r="H185" s="6" t="s">
        <v>14</v>
      </c>
      <c r="I185" s="9">
        <v>20335</v>
      </c>
    </row>
    <row r="186" spans="1:9" hidden="1" x14ac:dyDescent="0.3">
      <c r="A186" s="8" t="s">
        <v>217</v>
      </c>
      <c r="B186" s="7">
        <v>46134</v>
      </c>
      <c r="C186" s="6" t="s">
        <v>10</v>
      </c>
      <c r="D186" s="6" t="s">
        <v>14</v>
      </c>
      <c r="E186" s="6" t="s">
        <v>40</v>
      </c>
      <c r="F186" s="6" t="s">
        <v>25</v>
      </c>
      <c r="G186" s="6" t="s">
        <v>14</v>
      </c>
      <c r="H186" s="6" t="s">
        <v>14</v>
      </c>
      <c r="I186" s="9">
        <v>64995</v>
      </c>
    </row>
    <row r="187" spans="1:9" hidden="1" x14ac:dyDescent="0.3">
      <c r="A187" s="8" t="s">
        <v>218</v>
      </c>
      <c r="B187" s="7">
        <v>46134</v>
      </c>
      <c r="C187" s="6" t="s">
        <v>10</v>
      </c>
      <c r="D187" s="6" t="s">
        <v>20</v>
      </c>
      <c r="E187" s="6" t="s">
        <v>30</v>
      </c>
      <c r="F187" s="6" t="s">
        <v>13</v>
      </c>
      <c r="G187" s="6" t="s">
        <v>14</v>
      </c>
      <c r="H187" s="6" t="s">
        <v>14</v>
      </c>
      <c r="I187" s="9">
        <v>28964</v>
      </c>
    </row>
    <row r="188" spans="1:9" hidden="1" x14ac:dyDescent="0.3">
      <c r="A188" s="8" t="s">
        <v>219</v>
      </c>
      <c r="B188" s="7">
        <v>46135</v>
      </c>
      <c r="C188" s="6" t="s">
        <v>10</v>
      </c>
      <c r="D188" s="6" t="s">
        <v>11</v>
      </c>
      <c r="E188" s="6" t="s">
        <v>16</v>
      </c>
      <c r="F188" s="6" t="s">
        <v>17</v>
      </c>
      <c r="G188" s="6" t="s">
        <v>14</v>
      </c>
      <c r="H188" s="6" t="s">
        <v>14</v>
      </c>
      <c r="I188" s="9">
        <v>23093</v>
      </c>
    </row>
    <row r="189" spans="1:9" hidden="1" x14ac:dyDescent="0.3">
      <c r="A189" s="8" t="s">
        <v>220</v>
      </c>
      <c r="B189" s="7">
        <v>46135</v>
      </c>
      <c r="C189" s="6" t="s">
        <v>19</v>
      </c>
      <c r="D189" s="6" t="s">
        <v>11</v>
      </c>
      <c r="E189" s="6" t="s">
        <v>16</v>
      </c>
      <c r="F189" s="6" t="s">
        <v>17</v>
      </c>
      <c r="G189" s="6" t="s">
        <v>14</v>
      </c>
      <c r="H189" s="6" t="s">
        <v>14</v>
      </c>
      <c r="I189" s="9">
        <v>40699</v>
      </c>
    </row>
    <row r="190" spans="1:9" hidden="1" x14ac:dyDescent="0.3">
      <c r="A190" s="8" t="s">
        <v>221</v>
      </c>
      <c r="B190" s="7">
        <v>46136</v>
      </c>
      <c r="C190" s="6" t="s">
        <v>10</v>
      </c>
      <c r="D190" s="6" t="s">
        <v>11</v>
      </c>
      <c r="E190" s="6" t="s">
        <v>27</v>
      </c>
      <c r="F190" s="6" t="s">
        <v>22</v>
      </c>
      <c r="G190" s="6" t="s">
        <v>14</v>
      </c>
      <c r="H190" s="6" t="s">
        <v>14</v>
      </c>
      <c r="I190" s="9">
        <v>71040</v>
      </c>
    </row>
    <row r="191" spans="1:9" hidden="1" x14ac:dyDescent="0.3">
      <c r="A191" s="8" t="s">
        <v>222</v>
      </c>
      <c r="B191" s="7">
        <v>46137</v>
      </c>
      <c r="C191" s="6" t="s">
        <v>19</v>
      </c>
      <c r="D191" s="6" t="s">
        <v>20</v>
      </c>
      <c r="E191" s="6" t="s">
        <v>30</v>
      </c>
      <c r="F191" s="6" t="s">
        <v>17</v>
      </c>
      <c r="G191" s="6" t="s">
        <v>14</v>
      </c>
      <c r="H191" s="6" t="s">
        <v>14</v>
      </c>
      <c r="I191" s="9">
        <v>25234</v>
      </c>
    </row>
    <row r="192" spans="1:9" hidden="1" x14ac:dyDescent="0.3">
      <c r="A192" s="8" t="s">
        <v>223</v>
      </c>
      <c r="B192" s="7">
        <v>46138</v>
      </c>
      <c r="C192" s="6" t="s">
        <v>10</v>
      </c>
      <c r="D192" s="6" t="s">
        <v>14</v>
      </c>
      <c r="E192" s="6" t="s">
        <v>24</v>
      </c>
      <c r="F192" s="6" t="s">
        <v>25</v>
      </c>
      <c r="G192" s="6" t="s">
        <v>14</v>
      </c>
      <c r="H192" s="6" t="s">
        <v>14</v>
      </c>
      <c r="I192" s="9">
        <v>65707</v>
      </c>
    </row>
    <row r="193" spans="1:9" hidden="1" x14ac:dyDescent="0.3">
      <c r="A193" s="8" t="s">
        <v>224</v>
      </c>
      <c r="B193" s="7">
        <v>46138</v>
      </c>
      <c r="C193" s="6" t="s">
        <v>19</v>
      </c>
      <c r="D193" s="6" t="s">
        <v>11</v>
      </c>
      <c r="E193" s="6" t="s">
        <v>16</v>
      </c>
      <c r="F193" s="6" t="s">
        <v>17</v>
      </c>
      <c r="G193" s="6" t="s">
        <v>14</v>
      </c>
      <c r="H193" s="6" t="s">
        <v>14</v>
      </c>
      <c r="I193" s="9">
        <v>28748</v>
      </c>
    </row>
    <row r="194" spans="1:9" hidden="1" x14ac:dyDescent="0.3">
      <c r="A194" s="8" t="s">
        <v>225</v>
      </c>
      <c r="B194" s="7">
        <v>46143</v>
      </c>
      <c r="C194" s="6" t="s">
        <v>10</v>
      </c>
      <c r="D194" s="6" t="s">
        <v>11</v>
      </c>
      <c r="E194" s="6" t="s">
        <v>16</v>
      </c>
      <c r="F194" s="6" t="s">
        <v>22</v>
      </c>
      <c r="G194" s="6" t="s">
        <v>14</v>
      </c>
      <c r="H194" s="6" t="s">
        <v>14</v>
      </c>
      <c r="I194" s="9">
        <v>39751</v>
      </c>
    </row>
    <row r="195" spans="1:9" hidden="1" x14ac:dyDescent="0.3">
      <c r="A195" s="8" t="s">
        <v>226</v>
      </c>
      <c r="B195" s="7">
        <v>46143</v>
      </c>
      <c r="C195" s="6" t="s">
        <v>19</v>
      </c>
      <c r="D195" s="6" t="s">
        <v>33</v>
      </c>
      <c r="E195" s="6" t="s">
        <v>44</v>
      </c>
      <c r="F195" s="6" t="s">
        <v>25</v>
      </c>
      <c r="G195" s="6" t="s">
        <v>14</v>
      </c>
      <c r="H195" s="6" t="s">
        <v>14</v>
      </c>
      <c r="I195" s="9">
        <v>64638</v>
      </c>
    </row>
    <row r="196" spans="1:9" hidden="1" x14ac:dyDescent="0.3">
      <c r="A196" s="8" t="s">
        <v>227</v>
      </c>
      <c r="B196" s="7">
        <v>46143</v>
      </c>
      <c r="C196" s="6" t="s">
        <v>19</v>
      </c>
      <c r="D196" s="6" t="s">
        <v>11</v>
      </c>
      <c r="E196" s="6" t="s">
        <v>27</v>
      </c>
      <c r="F196" s="6" t="s">
        <v>22</v>
      </c>
      <c r="G196" s="6" t="s">
        <v>14</v>
      </c>
      <c r="H196" s="6" t="s">
        <v>14</v>
      </c>
      <c r="I196" s="9">
        <v>65413</v>
      </c>
    </row>
    <row r="197" spans="1:9" hidden="1" x14ac:dyDescent="0.3">
      <c r="A197" s="8" t="s">
        <v>228</v>
      </c>
      <c r="B197" s="7">
        <v>46143</v>
      </c>
      <c r="C197" s="6" t="s">
        <v>19</v>
      </c>
      <c r="D197" s="6" t="s">
        <v>20</v>
      </c>
      <c r="E197" s="6" t="s">
        <v>30</v>
      </c>
      <c r="F197" s="6" t="s">
        <v>22</v>
      </c>
      <c r="G197" s="6" t="s">
        <v>14</v>
      </c>
      <c r="H197" s="6" t="s">
        <v>14</v>
      </c>
      <c r="I197" s="9">
        <v>70067</v>
      </c>
    </row>
    <row r="198" spans="1:9" hidden="1" x14ac:dyDescent="0.3">
      <c r="A198" s="8" t="s">
        <v>229</v>
      </c>
      <c r="B198" s="7">
        <v>46144</v>
      </c>
      <c r="C198" s="6" t="s">
        <v>10</v>
      </c>
      <c r="D198" s="6" t="s">
        <v>33</v>
      </c>
      <c r="E198" s="6" t="s">
        <v>36</v>
      </c>
      <c r="F198" s="6" t="s">
        <v>22</v>
      </c>
      <c r="G198" s="6" t="s">
        <v>14</v>
      </c>
      <c r="H198" s="6" t="s">
        <v>14</v>
      </c>
      <c r="I198" s="9">
        <v>38736</v>
      </c>
    </row>
    <row r="199" spans="1:9" hidden="1" x14ac:dyDescent="0.3">
      <c r="A199" s="8" t="s">
        <v>230</v>
      </c>
      <c r="B199" s="7">
        <v>46144</v>
      </c>
      <c r="C199" s="6" t="s">
        <v>19</v>
      </c>
      <c r="D199" s="6" t="s">
        <v>11</v>
      </c>
      <c r="E199" s="6" t="s">
        <v>27</v>
      </c>
      <c r="F199" s="6" t="s">
        <v>22</v>
      </c>
      <c r="G199" s="6" t="s">
        <v>14</v>
      </c>
      <c r="H199" s="6" t="s">
        <v>14</v>
      </c>
      <c r="I199" s="9">
        <v>73886</v>
      </c>
    </row>
    <row r="200" spans="1:9" hidden="1" x14ac:dyDescent="0.3">
      <c r="A200" s="8" t="s">
        <v>231</v>
      </c>
      <c r="B200" s="7">
        <v>46144</v>
      </c>
      <c r="C200" s="6" t="s">
        <v>19</v>
      </c>
      <c r="D200" s="6" t="s">
        <v>20</v>
      </c>
      <c r="E200" s="6" t="s">
        <v>52</v>
      </c>
      <c r="F200" s="6" t="s">
        <v>31</v>
      </c>
      <c r="G200" s="6" t="s">
        <v>14</v>
      </c>
      <c r="H200" s="6" t="s">
        <v>14</v>
      </c>
      <c r="I200" s="9">
        <v>60447</v>
      </c>
    </row>
    <row r="201" spans="1:9" hidden="1" x14ac:dyDescent="0.3">
      <c r="A201" s="8" t="s">
        <v>232</v>
      </c>
      <c r="B201" s="7">
        <v>46145</v>
      </c>
      <c r="C201" s="6" t="s">
        <v>10</v>
      </c>
      <c r="D201" s="6" t="s">
        <v>11</v>
      </c>
      <c r="E201" s="6" t="s">
        <v>27</v>
      </c>
      <c r="F201" s="6" t="s">
        <v>31</v>
      </c>
      <c r="G201" s="6" t="s">
        <v>14</v>
      </c>
      <c r="H201" s="6" t="s">
        <v>14</v>
      </c>
      <c r="I201" s="9">
        <v>73267</v>
      </c>
    </row>
    <row r="202" spans="1:9" hidden="1" x14ac:dyDescent="0.3">
      <c r="A202" s="8" t="s">
        <v>233</v>
      </c>
      <c r="B202" s="7">
        <v>46145</v>
      </c>
      <c r="C202" s="6" t="s">
        <v>10</v>
      </c>
      <c r="D202" s="6" t="s">
        <v>11</v>
      </c>
      <c r="E202" s="6" t="s">
        <v>27</v>
      </c>
      <c r="F202" s="6" t="s">
        <v>22</v>
      </c>
      <c r="G202" s="6" t="s">
        <v>14</v>
      </c>
      <c r="H202" s="6" t="s">
        <v>14</v>
      </c>
      <c r="I202" s="9">
        <v>50360</v>
      </c>
    </row>
    <row r="203" spans="1:9" hidden="1" x14ac:dyDescent="0.3">
      <c r="A203" s="8" t="s">
        <v>234</v>
      </c>
      <c r="B203" s="7">
        <v>46145</v>
      </c>
      <c r="C203" s="6" t="s">
        <v>10</v>
      </c>
      <c r="D203" s="6" t="s">
        <v>20</v>
      </c>
      <c r="E203" s="6" t="s">
        <v>21</v>
      </c>
      <c r="F203" s="6" t="s">
        <v>17</v>
      </c>
      <c r="G203" s="6" t="s">
        <v>14</v>
      </c>
      <c r="H203" s="6" t="s">
        <v>14</v>
      </c>
      <c r="I203" s="9">
        <v>84369</v>
      </c>
    </row>
    <row r="204" spans="1:9" hidden="1" x14ac:dyDescent="0.3">
      <c r="A204" s="8" t="s">
        <v>235</v>
      </c>
      <c r="B204" s="7">
        <v>46145</v>
      </c>
      <c r="C204" s="6" t="s">
        <v>19</v>
      </c>
      <c r="D204" s="6" t="s">
        <v>11</v>
      </c>
      <c r="E204" s="6" t="s">
        <v>16</v>
      </c>
      <c r="F204" s="6" t="s">
        <v>25</v>
      </c>
      <c r="G204" s="6" t="s">
        <v>14</v>
      </c>
      <c r="H204" s="6" t="s">
        <v>14</v>
      </c>
      <c r="I204" s="9">
        <v>17126</v>
      </c>
    </row>
    <row r="205" spans="1:9" hidden="1" x14ac:dyDescent="0.3">
      <c r="A205" s="8" t="s">
        <v>236</v>
      </c>
      <c r="B205" s="7">
        <v>46147</v>
      </c>
      <c r="C205" s="6" t="s">
        <v>10</v>
      </c>
      <c r="D205" s="6" t="s">
        <v>33</v>
      </c>
      <c r="E205" s="6" t="s">
        <v>36</v>
      </c>
      <c r="F205" s="6" t="s">
        <v>17</v>
      </c>
      <c r="G205" s="6" t="s">
        <v>14</v>
      </c>
      <c r="H205" s="6" t="s">
        <v>14</v>
      </c>
      <c r="I205" s="9">
        <v>35664</v>
      </c>
    </row>
    <row r="206" spans="1:9" hidden="1" x14ac:dyDescent="0.3">
      <c r="A206" s="8" t="s">
        <v>237</v>
      </c>
      <c r="B206" s="7">
        <v>46147</v>
      </c>
      <c r="C206" s="6" t="s">
        <v>10</v>
      </c>
      <c r="D206" s="6" t="s">
        <v>20</v>
      </c>
      <c r="E206" s="6" t="s">
        <v>30</v>
      </c>
      <c r="F206" s="6" t="s">
        <v>13</v>
      </c>
      <c r="G206" s="6" t="s">
        <v>14</v>
      </c>
      <c r="H206" s="6" t="s">
        <v>14</v>
      </c>
      <c r="I206" s="9">
        <v>73389</v>
      </c>
    </row>
    <row r="207" spans="1:9" hidden="1" x14ac:dyDescent="0.3">
      <c r="A207" s="8" t="s">
        <v>238</v>
      </c>
      <c r="B207" s="7">
        <v>46148</v>
      </c>
      <c r="C207" s="6" t="s">
        <v>19</v>
      </c>
      <c r="D207" s="6" t="s">
        <v>20</v>
      </c>
      <c r="E207" s="6" t="s">
        <v>52</v>
      </c>
      <c r="F207" s="6" t="s">
        <v>25</v>
      </c>
      <c r="G207" s="6" t="s">
        <v>14</v>
      </c>
      <c r="H207" s="6" t="s">
        <v>14</v>
      </c>
      <c r="I207" s="9">
        <v>29260</v>
      </c>
    </row>
    <row r="208" spans="1:9" hidden="1" x14ac:dyDescent="0.3">
      <c r="A208" s="8" t="s">
        <v>239</v>
      </c>
      <c r="B208" s="7">
        <v>46149</v>
      </c>
      <c r="C208" s="6" t="s">
        <v>10</v>
      </c>
      <c r="D208" s="6" t="s">
        <v>33</v>
      </c>
      <c r="E208" s="6" t="s">
        <v>34</v>
      </c>
      <c r="F208" s="6" t="s">
        <v>28</v>
      </c>
      <c r="G208" s="6" t="s">
        <v>14</v>
      </c>
      <c r="H208" s="6" t="s">
        <v>14</v>
      </c>
      <c r="I208" s="9">
        <v>83295</v>
      </c>
    </row>
    <row r="209" spans="1:9" hidden="1" x14ac:dyDescent="0.3">
      <c r="A209" s="8" t="s">
        <v>240</v>
      </c>
      <c r="B209" s="7">
        <v>46151</v>
      </c>
      <c r="C209" s="6" t="s">
        <v>19</v>
      </c>
      <c r="D209" s="6" t="s">
        <v>33</v>
      </c>
      <c r="E209" s="6" t="s">
        <v>34</v>
      </c>
      <c r="F209" s="6" t="s">
        <v>22</v>
      </c>
      <c r="G209" s="6" t="s">
        <v>14</v>
      </c>
      <c r="H209" s="6" t="s">
        <v>14</v>
      </c>
      <c r="I209" s="9">
        <v>68397</v>
      </c>
    </row>
    <row r="210" spans="1:9" hidden="1" x14ac:dyDescent="0.3">
      <c r="A210" s="8" t="s">
        <v>241</v>
      </c>
      <c r="B210" s="7">
        <v>46152</v>
      </c>
      <c r="C210" s="6" t="s">
        <v>10</v>
      </c>
      <c r="D210" s="6" t="s">
        <v>11</v>
      </c>
      <c r="E210" s="6" t="s">
        <v>16</v>
      </c>
      <c r="F210" s="6" t="s">
        <v>25</v>
      </c>
      <c r="G210" s="6" t="s">
        <v>14</v>
      </c>
      <c r="H210" s="6" t="s">
        <v>14</v>
      </c>
      <c r="I210" s="9">
        <v>66748</v>
      </c>
    </row>
    <row r="211" spans="1:9" hidden="1" x14ac:dyDescent="0.3">
      <c r="A211" s="8" t="s">
        <v>242</v>
      </c>
      <c r="B211" s="7">
        <v>46152</v>
      </c>
      <c r="C211" s="6" t="s">
        <v>19</v>
      </c>
      <c r="D211" s="6" t="s">
        <v>14</v>
      </c>
      <c r="E211" s="6" t="s">
        <v>47</v>
      </c>
      <c r="F211" s="6" t="s">
        <v>13</v>
      </c>
      <c r="G211" s="6" t="s">
        <v>14</v>
      </c>
      <c r="H211" s="6" t="s">
        <v>14</v>
      </c>
      <c r="I211" s="9">
        <v>38790</v>
      </c>
    </row>
    <row r="212" spans="1:9" hidden="1" x14ac:dyDescent="0.3">
      <c r="A212" s="8" t="s">
        <v>243</v>
      </c>
      <c r="B212" s="7">
        <v>46154</v>
      </c>
      <c r="C212" s="6" t="s">
        <v>19</v>
      </c>
      <c r="D212" s="6" t="s">
        <v>20</v>
      </c>
      <c r="E212" s="6" t="s">
        <v>21</v>
      </c>
      <c r="F212" s="6" t="s">
        <v>28</v>
      </c>
      <c r="G212" s="6" t="s">
        <v>14</v>
      </c>
      <c r="H212" s="6" t="s">
        <v>14</v>
      </c>
      <c r="I212" s="9">
        <v>77441</v>
      </c>
    </row>
    <row r="213" spans="1:9" hidden="1" x14ac:dyDescent="0.3">
      <c r="A213" s="8" t="s">
        <v>244</v>
      </c>
      <c r="B213" s="7">
        <v>46155</v>
      </c>
      <c r="C213" s="6" t="s">
        <v>19</v>
      </c>
      <c r="D213" s="6" t="s">
        <v>33</v>
      </c>
      <c r="E213" s="6" t="s">
        <v>34</v>
      </c>
      <c r="F213" s="6" t="s">
        <v>25</v>
      </c>
      <c r="G213" s="6" t="s">
        <v>14</v>
      </c>
      <c r="H213" s="6" t="s">
        <v>14</v>
      </c>
      <c r="I213" s="9">
        <v>57106</v>
      </c>
    </row>
    <row r="214" spans="1:9" hidden="1" x14ac:dyDescent="0.3">
      <c r="A214" s="8" t="s">
        <v>245</v>
      </c>
      <c r="B214" s="7">
        <v>46156</v>
      </c>
      <c r="C214" s="6" t="s">
        <v>10</v>
      </c>
      <c r="D214" s="6" t="s">
        <v>11</v>
      </c>
      <c r="E214" s="6" t="s">
        <v>12</v>
      </c>
      <c r="F214" s="6" t="s">
        <v>22</v>
      </c>
      <c r="G214" s="6" t="s">
        <v>14</v>
      </c>
      <c r="H214" s="6" t="s">
        <v>14</v>
      </c>
      <c r="I214" s="9">
        <v>68491</v>
      </c>
    </row>
    <row r="215" spans="1:9" hidden="1" x14ac:dyDescent="0.3">
      <c r="A215" s="8" t="s">
        <v>246</v>
      </c>
      <c r="B215" s="7">
        <v>46156</v>
      </c>
      <c r="C215" s="6" t="s">
        <v>10</v>
      </c>
      <c r="D215" s="6" t="s">
        <v>20</v>
      </c>
      <c r="E215" s="6" t="s">
        <v>30</v>
      </c>
      <c r="F215" s="6" t="s">
        <v>25</v>
      </c>
      <c r="G215" s="6" t="s">
        <v>14</v>
      </c>
      <c r="H215" s="6" t="s">
        <v>14</v>
      </c>
      <c r="I215" s="9">
        <v>63293</v>
      </c>
    </row>
    <row r="216" spans="1:9" hidden="1" x14ac:dyDescent="0.3">
      <c r="A216" s="8" t="s">
        <v>247</v>
      </c>
      <c r="B216" s="7">
        <v>46157</v>
      </c>
      <c r="C216" s="6" t="s">
        <v>10</v>
      </c>
      <c r="D216" s="6" t="s">
        <v>20</v>
      </c>
      <c r="E216" s="6" t="s">
        <v>52</v>
      </c>
      <c r="F216" s="6" t="s">
        <v>25</v>
      </c>
      <c r="G216" s="6" t="s">
        <v>14</v>
      </c>
      <c r="H216" s="6" t="s">
        <v>14</v>
      </c>
      <c r="I216" s="9">
        <v>44093</v>
      </c>
    </row>
    <row r="217" spans="1:9" hidden="1" x14ac:dyDescent="0.3">
      <c r="A217" s="8" t="s">
        <v>248</v>
      </c>
      <c r="B217" s="7">
        <v>46157</v>
      </c>
      <c r="C217" s="6" t="s">
        <v>19</v>
      </c>
      <c r="D217" s="6" t="s">
        <v>11</v>
      </c>
      <c r="E217" s="6" t="s">
        <v>16</v>
      </c>
      <c r="F217" s="6" t="s">
        <v>31</v>
      </c>
      <c r="G217" s="6" t="s">
        <v>14</v>
      </c>
      <c r="H217" s="6" t="s">
        <v>14</v>
      </c>
      <c r="I217" s="9">
        <v>67658</v>
      </c>
    </row>
    <row r="218" spans="1:9" hidden="1" x14ac:dyDescent="0.3">
      <c r="A218" s="8" t="s">
        <v>249</v>
      </c>
      <c r="B218" s="7">
        <v>46158</v>
      </c>
      <c r="C218" s="6" t="s">
        <v>10</v>
      </c>
      <c r="D218" s="6" t="s">
        <v>14</v>
      </c>
      <c r="E218" s="6" t="s">
        <v>24</v>
      </c>
      <c r="F218" s="6" t="s">
        <v>25</v>
      </c>
      <c r="G218" s="6" t="s">
        <v>14</v>
      </c>
      <c r="H218" s="6" t="s">
        <v>14</v>
      </c>
      <c r="I218" s="9">
        <v>14747</v>
      </c>
    </row>
    <row r="219" spans="1:9" hidden="1" x14ac:dyDescent="0.3">
      <c r="A219" s="8" t="s">
        <v>250</v>
      </c>
      <c r="B219" s="7">
        <v>46158</v>
      </c>
      <c r="C219" s="6" t="s">
        <v>10</v>
      </c>
      <c r="D219" s="6" t="s">
        <v>14</v>
      </c>
      <c r="E219" s="6" t="s">
        <v>40</v>
      </c>
      <c r="F219" s="6" t="s">
        <v>28</v>
      </c>
      <c r="G219" s="6" t="s">
        <v>14</v>
      </c>
      <c r="H219" s="6" t="s">
        <v>14</v>
      </c>
      <c r="I219" s="9">
        <v>44606</v>
      </c>
    </row>
    <row r="220" spans="1:9" hidden="1" x14ac:dyDescent="0.3">
      <c r="A220" s="8" t="s">
        <v>251</v>
      </c>
      <c r="B220" s="7">
        <v>46158</v>
      </c>
      <c r="C220" s="6" t="s">
        <v>10</v>
      </c>
      <c r="D220" s="6" t="s">
        <v>14</v>
      </c>
      <c r="E220" s="6" t="s">
        <v>47</v>
      </c>
      <c r="F220" s="6" t="s">
        <v>31</v>
      </c>
      <c r="G220" s="6" t="s">
        <v>14</v>
      </c>
      <c r="H220" s="6" t="s">
        <v>14</v>
      </c>
      <c r="I220" s="9">
        <v>64256</v>
      </c>
    </row>
    <row r="221" spans="1:9" hidden="1" x14ac:dyDescent="0.3">
      <c r="A221" s="8" t="s">
        <v>252</v>
      </c>
      <c r="B221" s="7">
        <v>46158</v>
      </c>
      <c r="C221" s="6" t="s">
        <v>10</v>
      </c>
      <c r="D221" s="6" t="s">
        <v>11</v>
      </c>
      <c r="E221" s="6" t="s">
        <v>12</v>
      </c>
      <c r="F221" s="6" t="s">
        <v>25</v>
      </c>
      <c r="G221" s="6" t="s">
        <v>14</v>
      </c>
      <c r="H221" s="6" t="s">
        <v>14</v>
      </c>
      <c r="I221" s="9">
        <v>52764</v>
      </c>
    </row>
    <row r="222" spans="1:9" hidden="1" x14ac:dyDescent="0.3">
      <c r="A222" s="8" t="s">
        <v>253</v>
      </c>
      <c r="B222" s="7">
        <v>46158</v>
      </c>
      <c r="C222" s="6" t="s">
        <v>19</v>
      </c>
      <c r="D222" s="6" t="s">
        <v>14</v>
      </c>
      <c r="E222" s="6" t="s">
        <v>40</v>
      </c>
      <c r="F222" s="6" t="s">
        <v>13</v>
      </c>
      <c r="G222" s="6" t="s">
        <v>14</v>
      </c>
      <c r="H222" s="6" t="s">
        <v>14</v>
      </c>
      <c r="I222" s="9">
        <v>72566</v>
      </c>
    </row>
    <row r="223" spans="1:9" hidden="1" x14ac:dyDescent="0.3">
      <c r="A223" s="8" t="s">
        <v>254</v>
      </c>
      <c r="B223" s="7">
        <v>46158</v>
      </c>
      <c r="C223" s="6" t="s">
        <v>19</v>
      </c>
      <c r="D223" s="6" t="s">
        <v>33</v>
      </c>
      <c r="E223" s="6" t="s">
        <v>44</v>
      </c>
      <c r="F223" s="6" t="s">
        <v>17</v>
      </c>
      <c r="G223" s="6" t="s">
        <v>14</v>
      </c>
      <c r="H223" s="6" t="s">
        <v>14</v>
      </c>
      <c r="I223" s="9">
        <v>80866</v>
      </c>
    </row>
    <row r="224" spans="1:9" hidden="1" x14ac:dyDescent="0.3">
      <c r="A224" s="8" t="s">
        <v>255</v>
      </c>
      <c r="B224" s="7">
        <v>46160</v>
      </c>
      <c r="C224" s="6" t="s">
        <v>19</v>
      </c>
      <c r="D224" s="6" t="s">
        <v>14</v>
      </c>
      <c r="E224" s="6" t="s">
        <v>24</v>
      </c>
      <c r="F224" s="6" t="s">
        <v>28</v>
      </c>
      <c r="G224" s="6" t="s">
        <v>14</v>
      </c>
      <c r="H224" s="6" t="s">
        <v>14</v>
      </c>
      <c r="I224" s="9">
        <v>29955</v>
      </c>
    </row>
    <row r="225" spans="1:9" hidden="1" x14ac:dyDescent="0.3">
      <c r="A225" s="8" t="s">
        <v>256</v>
      </c>
      <c r="B225" s="7">
        <v>46160</v>
      </c>
      <c r="C225" s="6" t="s">
        <v>19</v>
      </c>
      <c r="D225" s="6" t="s">
        <v>33</v>
      </c>
      <c r="E225" s="6" t="s">
        <v>36</v>
      </c>
      <c r="F225" s="6" t="s">
        <v>22</v>
      </c>
      <c r="G225" s="6" t="s">
        <v>14</v>
      </c>
      <c r="H225" s="6" t="s">
        <v>14</v>
      </c>
      <c r="I225" s="9">
        <v>70141</v>
      </c>
    </row>
    <row r="226" spans="1:9" hidden="1" x14ac:dyDescent="0.3">
      <c r="A226" s="8" t="s">
        <v>257</v>
      </c>
      <c r="B226" s="7">
        <v>46160</v>
      </c>
      <c r="C226" s="6" t="s">
        <v>19</v>
      </c>
      <c r="D226" s="6" t="s">
        <v>11</v>
      </c>
      <c r="E226" s="6" t="s">
        <v>12</v>
      </c>
      <c r="F226" s="6" t="s">
        <v>31</v>
      </c>
      <c r="G226" s="6" t="s">
        <v>14</v>
      </c>
      <c r="H226" s="6" t="s">
        <v>14</v>
      </c>
      <c r="I226" s="9">
        <v>45434</v>
      </c>
    </row>
    <row r="227" spans="1:9" hidden="1" x14ac:dyDescent="0.3">
      <c r="A227" s="8" t="s">
        <v>258</v>
      </c>
      <c r="B227" s="7">
        <v>46161</v>
      </c>
      <c r="C227" s="6" t="s">
        <v>10</v>
      </c>
      <c r="D227" s="6" t="s">
        <v>14</v>
      </c>
      <c r="E227" s="6" t="s">
        <v>24</v>
      </c>
      <c r="F227" s="6" t="s">
        <v>25</v>
      </c>
      <c r="G227" s="6" t="s">
        <v>14</v>
      </c>
      <c r="H227" s="6" t="s">
        <v>14</v>
      </c>
      <c r="I227" s="9">
        <v>47773</v>
      </c>
    </row>
    <row r="228" spans="1:9" hidden="1" x14ac:dyDescent="0.3">
      <c r="A228" s="8" t="s">
        <v>259</v>
      </c>
      <c r="B228" s="7">
        <v>46161</v>
      </c>
      <c r="C228" s="6" t="s">
        <v>10</v>
      </c>
      <c r="D228" s="6" t="s">
        <v>20</v>
      </c>
      <c r="E228" s="6" t="s">
        <v>21</v>
      </c>
      <c r="F228" s="6" t="s">
        <v>17</v>
      </c>
      <c r="G228" s="6" t="s">
        <v>14</v>
      </c>
      <c r="H228" s="6" t="s">
        <v>14</v>
      </c>
      <c r="I228" s="9">
        <v>16000</v>
      </c>
    </row>
    <row r="229" spans="1:9" hidden="1" x14ac:dyDescent="0.3">
      <c r="A229" s="8" t="s">
        <v>260</v>
      </c>
      <c r="B229" s="7">
        <v>46161</v>
      </c>
      <c r="C229" s="6" t="s">
        <v>19</v>
      </c>
      <c r="D229" s="6" t="s">
        <v>14</v>
      </c>
      <c r="E229" s="6" t="s">
        <v>47</v>
      </c>
      <c r="F229" s="6" t="s">
        <v>28</v>
      </c>
      <c r="G229" s="6" t="s">
        <v>14</v>
      </c>
      <c r="H229" s="6" t="s">
        <v>14</v>
      </c>
      <c r="I229" s="9">
        <v>47909</v>
      </c>
    </row>
    <row r="230" spans="1:9" hidden="1" x14ac:dyDescent="0.3">
      <c r="A230" s="8" t="s">
        <v>261</v>
      </c>
      <c r="B230" s="7">
        <v>46161</v>
      </c>
      <c r="C230" s="6" t="s">
        <v>19</v>
      </c>
      <c r="D230" s="6" t="s">
        <v>11</v>
      </c>
      <c r="E230" s="6" t="s">
        <v>12</v>
      </c>
      <c r="F230" s="6" t="s">
        <v>17</v>
      </c>
      <c r="G230" s="6" t="s">
        <v>14</v>
      </c>
      <c r="H230" s="6" t="s">
        <v>14</v>
      </c>
      <c r="I230" s="9">
        <v>23314</v>
      </c>
    </row>
    <row r="231" spans="1:9" hidden="1" x14ac:dyDescent="0.3">
      <c r="A231" s="8" t="s">
        <v>262</v>
      </c>
      <c r="B231" s="7">
        <v>46162</v>
      </c>
      <c r="C231" s="6" t="s">
        <v>10</v>
      </c>
      <c r="D231" s="6" t="s">
        <v>33</v>
      </c>
      <c r="E231" s="6" t="s">
        <v>44</v>
      </c>
      <c r="F231" s="6" t="s">
        <v>25</v>
      </c>
      <c r="G231" s="6" t="s">
        <v>14</v>
      </c>
      <c r="H231" s="6" t="s">
        <v>14</v>
      </c>
      <c r="I231" s="9">
        <v>81163</v>
      </c>
    </row>
    <row r="232" spans="1:9" hidden="1" x14ac:dyDescent="0.3">
      <c r="A232" s="8" t="s">
        <v>263</v>
      </c>
      <c r="B232" s="7">
        <v>46162</v>
      </c>
      <c r="C232" s="6" t="s">
        <v>10</v>
      </c>
      <c r="D232" s="6" t="s">
        <v>33</v>
      </c>
      <c r="E232" s="6" t="s">
        <v>34</v>
      </c>
      <c r="F232" s="6" t="s">
        <v>22</v>
      </c>
      <c r="G232" s="6" t="s">
        <v>14</v>
      </c>
      <c r="H232" s="6" t="s">
        <v>14</v>
      </c>
      <c r="I232" s="9">
        <v>79270</v>
      </c>
    </row>
    <row r="233" spans="1:9" hidden="1" x14ac:dyDescent="0.3">
      <c r="A233" s="8" t="s">
        <v>264</v>
      </c>
      <c r="B233" s="7">
        <v>46162</v>
      </c>
      <c r="C233" s="6" t="s">
        <v>10</v>
      </c>
      <c r="D233" s="6" t="s">
        <v>20</v>
      </c>
      <c r="E233" s="6" t="s">
        <v>52</v>
      </c>
      <c r="F233" s="6" t="s">
        <v>13</v>
      </c>
      <c r="G233" s="6" t="s">
        <v>14</v>
      </c>
      <c r="H233" s="6" t="s">
        <v>14</v>
      </c>
      <c r="I233" s="9">
        <v>84615</v>
      </c>
    </row>
    <row r="234" spans="1:9" hidden="1" x14ac:dyDescent="0.3">
      <c r="A234" s="8" t="s">
        <v>265</v>
      </c>
      <c r="B234" s="7">
        <v>46163</v>
      </c>
      <c r="C234" s="6" t="s">
        <v>19</v>
      </c>
      <c r="D234" s="6" t="s">
        <v>14</v>
      </c>
      <c r="E234" s="6" t="s">
        <v>40</v>
      </c>
      <c r="F234" s="6" t="s">
        <v>25</v>
      </c>
      <c r="G234" s="6" t="s">
        <v>14</v>
      </c>
      <c r="H234" s="6" t="s">
        <v>14</v>
      </c>
      <c r="I234" s="9">
        <v>23130</v>
      </c>
    </row>
    <row r="235" spans="1:9" hidden="1" x14ac:dyDescent="0.3">
      <c r="A235" s="8" t="s">
        <v>266</v>
      </c>
      <c r="B235" s="7">
        <v>46164</v>
      </c>
      <c r="C235" s="6" t="s">
        <v>10</v>
      </c>
      <c r="D235" s="6" t="s">
        <v>14</v>
      </c>
      <c r="E235" s="6" t="s">
        <v>47</v>
      </c>
      <c r="F235" s="6" t="s">
        <v>22</v>
      </c>
      <c r="G235" s="6" t="s">
        <v>14</v>
      </c>
      <c r="H235" s="6" t="s">
        <v>14</v>
      </c>
      <c r="I235" s="9">
        <v>75335</v>
      </c>
    </row>
    <row r="236" spans="1:9" hidden="1" x14ac:dyDescent="0.3">
      <c r="A236" s="8" t="s">
        <v>267</v>
      </c>
      <c r="B236" s="7">
        <v>46165</v>
      </c>
      <c r="C236" s="6" t="s">
        <v>10</v>
      </c>
      <c r="D236" s="6" t="s">
        <v>14</v>
      </c>
      <c r="E236" s="6" t="s">
        <v>40</v>
      </c>
      <c r="F236" s="6" t="s">
        <v>22</v>
      </c>
      <c r="G236" s="6" t="s">
        <v>14</v>
      </c>
      <c r="H236" s="6" t="s">
        <v>14</v>
      </c>
      <c r="I236" s="9">
        <v>52397</v>
      </c>
    </row>
    <row r="237" spans="1:9" hidden="1" x14ac:dyDescent="0.3">
      <c r="A237" s="8" t="s">
        <v>268</v>
      </c>
      <c r="B237" s="7">
        <v>46166</v>
      </c>
      <c r="C237" s="6" t="s">
        <v>19</v>
      </c>
      <c r="D237" s="6" t="s">
        <v>14</v>
      </c>
      <c r="E237" s="6" t="s">
        <v>24</v>
      </c>
      <c r="F237" s="6" t="s">
        <v>25</v>
      </c>
      <c r="G237" s="6" t="s">
        <v>14</v>
      </c>
      <c r="H237" s="6" t="s">
        <v>14</v>
      </c>
      <c r="I237" s="9">
        <v>46911</v>
      </c>
    </row>
    <row r="238" spans="1:9" hidden="1" x14ac:dyDescent="0.3">
      <c r="A238" s="8" t="s">
        <v>269</v>
      </c>
      <c r="B238" s="7">
        <v>46166</v>
      </c>
      <c r="C238" s="6" t="s">
        <v>19</v>
      </c>
      <c r="D238" s="6" t="s">
        <v>20</v>
      </c>
      <c r="E238" s="6" t="s">
        <v>21</v>
      </c>
      <c r="F238" s="6" t="s">
        <v>22</v>
      </c>
      <c r="G238" s="6" t="s">
        <v>14</v>
      </c>
      <c r="H238" s="6" t="s">
        <v>14</v>
      </c>
      <c r="I238" s="9">
        <v>79444</v>
      </c>
    </row>
    <row r="239" spans="1:9" hidden="1" x14ac:dyDescent="0.3">
      <c r="A239" s="8" t="s">
        <v>270</v>
      </c>
      <c r="B239" s="7">
        <v>46167</v>
      </c>
      <c r="C239" s="6" t="s">
        <v>10</v>
      </c>
      <c r="D239" s="6" t="s">
        <v>33</v>
      </c>
      <c r="E239" s="6" t="s">
        <v>44</v>
      </c>
      <c r="F239" s="6" t="s">
        <v>17</v>
      </c>
      <c r="G239" s="6" t="s">
        <v>14</v>
      </c>
      <c r="H239" s="6" t="s">
        <v>14</v>
      </c>
      <c r="I239" s="9">
        <v>54557</v>
      </c>
    </row>
    <row r="240" spans="1:9" hidden="1" x14ac:dyDescent="0.3">
      <c r="A240" s="8" t="s">
        <v>271</v>
      </c>
      <c r="B240" s="7">
        <v>46167</v>
      </c>
      <c r="C240" s="6" t="s">
        <v>19</v>
      </c>
      <c r="D240" s="6" t="s">
        <v>33</v>
      </c>
      <c r="E240" s="6" t="s">
        <v>36</v>
      </c>
      <c r="F240" s="6" t="s">
        <v>13</v>
      </c>
      <c r="G240" s="6" t="s">
        <v>14</v>
      </c>
      <c r="H240" s="6" t="s">
        <v>14</v>
      </c>
      <c r="I240" s="9">
        <v>62990</v>
      </c>
    </row>
    <row r="241" spans="1:9" hidden="1" x14ac:dyDescent="0.3">
      <c r="A241" s="8" t="s">
        <v>272</v>
      </c>
      <c r="B241" s="7">
        <v>46168</v>
      </c>
      <c r="C241" s="6" t="s">
        <v>19</v>
      </c>
      <c r="D241" s="6" t="s">
        <v>20</v>
      </c>
      <c r="E241" s="6" t="s">
        <v>30</v>
      </c>
      <c r="F241" s="6" t="s">
        <v>22</v>
      </c>
      <c r="G241" s="6" t="s">
        <v>14</v>
      </c>
      <c r="H241" s="6" t="s">
        <v>14</v>
      </c>
      <c r="I241" s="9">
        <v>18469</v>
      </c>
    </row>
    <row r="242" spans="1:9" hidden="1" x14ac:dyDescent="0.3">
      <c r="A242" s="8" t="s">
        <v>273</v>
      </c>
      <c r="B242" s="7">
        <v>46174</v>
      </c>
      <c r="C242" s="6" t="s">
        <v>10</v>
      </c>
      <c r="D242" s="6" t="s">
        <v>14</v>
      </c>
      <c r="E242" s="6" t="s">
        <v>47</v>
      </c>
      <c r="F242" s="6" t="s">
        <v>25</v>
      </c>
      <c r="G242" s="6" t="s">
        <v>14</v>
      </c>
      <c r="H242" s="6" t="s">
        <v>14</v>
      </c>
      <c r="I242" s="9">
        <v>39266</v>
      </c>
    </row>
    <row r="243" spans="1:9" hidden="1" x14ac:dyDescent="0.3">
      <c r="A243" s="8" t="s">
        <v>274</v>
      </c>
      <c r="B243" s="7">
        <v>46174</v>
      </c>
      <c r="C243" s="6" t="s">
        <v>19</v>
      </c>
      <c r="D243" s="6" t="s">
        <v>33</v>
      </c>
      <c r="E243" s="6" t="s">
        <v>36</v>
      </c>
      <c r="F243" s="6" t="s">
        <v>22</v>
      </c>
      <c r="G243" s="6" t="s">
        <v>14</v>
      </c>
      <c r="H243" s="6" t="s">
        <v>14</v>
      </c>
      <c r="I243" s="9">
        <v>73813</v>
      </c>
    </row>
    <row r="244" spans="1:9" hidden="1" x14ac:dyDescent="0.3">
      <c r="A244" s="8" t="s">
        <v>275</v>
      </c>
      <c r="B244" s="7">
        <v>46174</v>
      </c>
      <c r="C244" s="6" t="s">
        <v>19</v>
      </c>
      <c r="D244" s="6" t="s">
        <v>33</v>
      </c>
      <c r="E244" s="6" t="s">
        <v>34</v>
      </c>
      <c r="F244" s="6" t="s">
        <v>17</v>
      </c>
      <c r="G244" s="6" t="s">
        <v>14</v>
      </c>
      <c r="H244" s="6" t="s">
        <v>14</v>
      </c>
      <c r="I244" s="9">
        <v>33949</v>
      </c>
    </row>
    <row r="245" spans="1:9" hidden="1" x14ac:dyDescent="0.3">
      <c r="A245" s="8" t="s">
        <v>276</v>
      </c>
      <c r="B245" s="7">
        <v>46176</v>
      </c>
      <c r="C245" s="6" t="s">
        <v>10</v>
      </c>
      <c r="D245" s="6" t="s">
        <v>14</v>
      </c>
      <c r="E245" s="6" t="s">
        <v>47</v>
      </c>
      <c r="F245" s="6" t="s">
        <v>31</v>
      </c>
      <c r="G245" s="6" t="s">
        <v>14</v>
      </c>
      <c r="H245" s="6" t="s">
        <v>14</v>
      </c>
      <c r="I245" s="9">
        <v>82592</v>
      </c>
    </row>
    <row r="246" spans="1:9" hidden="1" x14ac:dyDescent="0.3">
      <c r="A246" s="8" t="s">
        <v>277</v>
      </c>
      <c r="B246" s="7">
        <v>46176</v>
      </c>
      <c r="C246" s="6" t="s">
        <v>10</v>
      </c>
      <c r="D246" s="6" t="s">
        <v>11</v>
      </c>
      <c r="E246" s="6" t="s">
        <v>27</v>
      </c>
      <c r="F246" s="6" t="s">
        <v>17</v>
      </c>
      <c r="G246" s="6" t="s">
        <v>14</v>
      </c>
      <c r="H246" s="6" t="s">
        <v>14</v>
      </c>
      <c r="I246" s="9">
        <v>14869</v>
      </c>
    </row>
    <row r="247" spans="1:9" hidden="1" x14ac:dyDescent="0.3">
      <c r="A247" s="8" t="s">
        <v>278</v>
      </c>
      <c r="B247" s="7">
        <v>46176</v>
      </c>
      <c r="C247" s="6" t="s">
        <v>19</v>
      </c>
      <c r="D247" s="6" t="s">
        <v>14</v>
      </c>
      <c r="E247" s="6" t="s">
        <v>40</v>
      </c>
      <c r="F247" s="6" t="s">
        <v>25</v>
      </c>
      <c r="G247" s="6" t="s">
        <v>14</v>
      </c>
      <c r="H247" s="6" t="s">
        <v>14</v>
      </c>
      <c r="I247" s="9">
        <v>21348</v>
      </c>
    </row>
    <row r="248" spans="1:9" hidden="1" x14ac:dyDescent="0.3">
      <c r="A248" s="8" t="s">
        <v>279</v>
      </c>
      <c r="B248" s="7">
        <v>46176</v>
      </c>
      <c r="C248" s="6" t="s">
        <v>19</v>
      </c>
      <c r="D248" s="6" t="s">
        <v>14</v>
      </c>
      <c r="E248" s="6" t="s">
        <v>47</v>
      </c>
      <c r="F248" s="6" t="s">
        <v>28</v>
      </c>
      <c r="G248" s="6" t="s">
        <v>14</v>
      </c>
      <c r="H248" s="6" t="s">
        <v>14</v>
      </c>
      <c r="I248" s="9">
        <v>27485</v>
      </c>
    </row>
    <row r="249" spans="1:9" hidden="1" x14ac:dyDescent="0.3">
      <c r="A249" s="8" t="s">
        <v>280</v>
      </c>
      <c r="B249" s="7">
        <v>46178</v>
      </c>
      <c r="C249" s="6" t="s">
        <v>10</v>
      </c>
      <c r="D249" s="6" t="s">
        <v>33</v>
      </c>
      <c r="E249" s="6" t="s">
        <v>36</v>
      </c>
      <c r="F249" s="6" t="s">
        <v>17</v>
      </c>
      <c r="G249" s="6" t="s">
        <v>14</v>
      </c>
      <c r="H249" s="6" t="s">
        <v>14</v>
      </c>
      <c r="I249" s="9">
        <v>12854</v>
      </c>
    </row>
    <row r="250" spans="1:9" hidden="1" x14ac:dyDescent="0.3">
      <c r="A250" s="8" t="s">
        <v>281</v>
      </c>
      <c r="B250" s="7">
        <v>46178</v>
      </c>
      <c r="C250" s="6" t="s">
        <v>19</v>
      </c>
      <c r="D250" s="6" t="s">
        <v>14</v>
      </c>
      <c r="E250" s="6" t="s">
        <v>24</v>
      </c>
      <c r="F250" s="6" t="s">
        <v>31</v>
      </c>
      <c r="G250" s="6" t="s">
        <v>14</v>
      </c>
      <c r="H250" s="6" t="s">
        <v>14</v>
      </c>
      <c r="I250" s="9">
        <v>44479</v>
      </c>
    </row>
    <row r="251" spans="1:9" hidden="1" x14ac:dyDescent="0.3">
      <c r="A251" s="8" t="s">
        <v>282</v>
      </c>
      <c r="B251" s="7">
        <v>46178</v>
      </c>
      <c r="C251" s="6" t="s">
        <v>19</v>
      </c>
      <c r="D251" s="6" t="s">
        <v>11</v>
      </c>
      <c r="E251" s="6" t="s">
        <v>27</v>
      </c>
      <c r="F251" s="6" t="s">
        <v>17</v>
      </c>
      <c r="G251" s="6" t="s">
        <v>14</v>
      </c>
      <c r="H251" s="6" t="s">
        <v>14</v>
      </c>
      <c r="I251" s="9">
        <v>55088</v>
      </c>
    </row>
    <row r="252" spans="1:9" hidden="1" x14ac:dyDescent="0.3">
      <c r="A252" s="8" t="s">
        <v>283</v>
      </c>
      <c r="B252" s="7">
        <v>46178</v>
      </c>
      <c r="C252" s="6" t="s">
        <v>19</v>
      </c>
      <c r="D252" s="6" t="s">
        <v>11</v>
      </c>
      <c r="E252" s="6" t="s">
        <v>16</v>
      </c>
      <c r="F252" s="6" t="s">
        <v>25</v>
      </c>
      <c r="G252" s="6" t="s">
        <v>14</v>
      </c>
      <c r="H252" s="6" t="s">
        <v>14</v>
      </c>
      <c r="I252" s="9">
        <v>50518</v>
      </c>
    </row>
    <row r="253" spans="1:9" hidden="1" x14ac:dyDescent="0.3">
      <c r="A253" s="8" t="s">
        <v>284</v>
      </c>
      <c r="B253" s="7">
        <v>46178</v>
      </c>
      <c r="C253" s="6" t="s">
        <v>19</v>
      </c>
      <c r="D253" s="6" t="s">
        <v>20</v>
      </c>
      <c r="E253" s="6" t="s">
        <v>30</v>
      </c>
      <c r="F253" s="6" t="s">
        <v>13</v>
      </c>
      <c r="G253" s="6" t="s">
        <v>14</v>
      </c>
      <c r="H253" s="6" t="s">
        <v>14</v>
      </c>
      <c r="I253" s="9">
        <v>54533</v>
      </c>
    </row>
    <row r="254" spans="1:9" hidden="1" x14ac:dyDescent="0.3">
      <c r="A254" s="8" t="s">
        <v>285</v>
      </c>
      <c r="B254" s="7">
        <v>46180</v>
      </c>
      <c r="C254" s="6" t="s">
        <v>10</v>
      </c>
      <c r="D254" s="6" t="s">
        <v>14</v>
      </c>
      <c r="E254" s="6" t="s">
        <v>24</v>
      </c>
      <c r="F254" s="6" t="s">
        <v>25</v>
      </c>
      <c r="G254" s="6" t="s">
        <v>14</v>
      </c>
      <c r="H254" s="6" t="s">
        <v>14</v>
      </c>
      <c r="I254" s="9">
        <v>15890</v>
      </c>
    </row>
    <row r="255" spans="1:9" hidden="1" x14ac:dyDescent="0.3">
      <c r="A255" s="8" t="s">
        <v>286</v>
      </c>
      <c r="B255" s="7">
        <v>46180</v>
      </c>
      <c r="C255" s="6" t="s">
        <v>10</v>
      </c>
      <c r="D255" s="6" t="s">
        <v>33</v>
      </c>
      <c r="E255" s="6" t="s">
        <v>44</v>
      </c>
      <c r="F255" s="6" t="s">
        <v>25</v>
      </c>
      <c r="G255" s="6" t="s">
        <v>14</v>
      </c>
      <c r="H255" s="6" t="s">
        <v>14</v>
      </c>
      <c r="I255" s="9">
        <v>33976</v>
      </c>
    </row>
    <row r="256" spans="1:9" hidden="1" x14ac:dyDescent="0.3">
      <c r="A256" s="8" t="s">
        <v>287</v>
      </c>
      <c r="B256" s="7">
        <v>46181</v>
      </c>
      <c r="C256" s="6" t="s">
        <v>10</v>
      </c>
      <c r="D256" s="6" t="s">
        <v>20</v>
      </c>
      <c r="E256" s="6" t="s">
        <v>21</v>
      </c>
      <c r="F256" s="6" t="s">
        <v>31</v>
      </c>
      <c r="G256" s="6" t="s">
        <v>14</v>
      </c>
      <c r="H256" s="6" t="s">
        <v>14</v>
      </c>
      <c r="I256" s="9">
        <v>50304</v>
      </c>
    </row>
    <row r="257" spans="1:9" hidden="1" x14ac:dyDescent="0.3">
      <c r="A257" s="8" t="s">
        <v>288</v>
      </c>
      <c r="B257" s="7">
        <v>46181</v>
      </c>
      <c r="C257" s="6" t="s">
        <v>19</v>
      </c>
      <c r="D257" s="6" t="s">
        <v>33</v>
      </c>
      <c r="E257" s="6" t="s">
        <v>44</v>
      </c>
      <c r="F257" s="6" t="s">
        <v>28</v>
      </c>
      <c r="G257" s="6" t="s">
        <v>14</v>
      </c>
      <c r="H257" s="6" t="s">
        <v>14</v>
      </c>
      <c r="I257" s="9">
        <v>23023</v>
      </c>
    </row>
    <row r="258" spans="1:9" hidden="1" x14ac:dyDescent="0.3">
      <c r="A258" s="8" t="s">
        <v>289</v>
      </c>
      <c r="B258" s="7">
        <v>46181</v>
      </c>
      <c r="C258" s="6" t="s">
        <v>19</v>
      </c>
      <c r="D258" s="6" t="s">
        <v>33</v>
      </c>
      <c r="E258" s="6" t="s">
        <v>34</v>
      </c>
      <c r="F258" s="6" t="s">
        <v>13</v>
      </c>
      <c r="G258" s="6" t="s">
        <v>14</v>
      </c>
      <c r="H258" s="6" t="s">
        <v>14</v>
      </c>
      <c r="I258" s="9">
        <v>48187</v>
      </c>
    </row>
    <row r="259" spans="1:9" hidden="1" x14ac:dyDescent="0.3">
      <c r="A259" s="8" t="s">
        <v>290</v>
      </c>
      <c r="B259" s="7">
        <v>46182</v>
      </c>
      <c r="C259" s="6" t="s">
        <v>10</v>
      </c>
      <c r="D259" s="6" t="s">
        <v>11</v>
      </c>
      <c r="E259" s="6" t="s">
        <v>12</v>
      </c>
      <c r="F259" s="6" t="s">
        <v>28</v>
      </c>
      <c r="G259" s="6" t="s">
        <v>14</v>
      </c>
      <c r="H259" s="6" t="s">
        <v>14</v>
      </c>
      <c r="I259" s="9">
        <v>59202</v>
      </c>
    </row>
    <row r="260" spans="1:9" hidden="1" x14ac:dyDescent="0.3">
      <c r="A260" s="8" t="s">
        <v>291</v>
      </c>
      <c r="B260" s="7">
        <v>46183</v>
      </c>
      <c r="C260" s="6" t="s">
        <v>10</v>
      </c>
      <c r="D260" s="6" t="s">
        <v>20</v>
      </c>
      <c r="E260" s="6" t="s">
        <v>52</v>
      </c>
      <c r="F260" s="6" t="s">
        <v>25</v>
      </c>
      <c r="G260" s="6" t="s">
        <v>14</v>
      </c>
      <c r="H260" s="6" t="s">
        <v>14</v>
      </c>
      <c r="I260" s="9">
        <v>29019</v>
      </c>
    </row>
    <row r="261" spans="1:9" hidden="1" x14ac:dyDescent="0.3">
      <c r="A261" s="8" t="s">
        <v>292</v>
      </c>
      <c r="B261" s="7">
        <v>46184</v>
      </c>
      <c r="C261" s="6" t="s">
        <v>10</v>
      </c>
      <c r="D261" s="6" t="s">
        <v>33</v>
      </c>
      <c r="E261" s="6" t="s">
        <v>34</v>
      </c>
      <c r="F261" s="6" t="s">
        <v>28</v>
      </c>
      <c r="G261" s="6" t="s">
        <v>14</v>
      </c>
      <c r="H261" s="6" t="s">
        <v>14</v>
      </c>
      <c r="I261" s="9">
        <v>49504</v>
      </c>
    </row>
    <row r="262" spans="1:9" hidden="1" x14ac:dyDescent="0.3">
      <c r="A262" s="8" t="s">
        <v>293</v>
      </c>
      <c r="B262" s="7">
        <v>46184</v>
      </c>
      <c r="C262" s="6" t="s">
        <v>19</v>
      </c>
      <c r="D262" s="6" t="s">
        <v>20</v>
      </c>
      <c r="E262" s="6" t="s">
        <v>21</v>
      </c>
      <c r="F262" s="6" t="s">
        <v>25</v>
      </c>
      <c r="G262" s="6" t="s">
        <v>14</v>
      </c>
      <c r="H262" s="6" t="s">
        <v>14</v>
      </c>
      <c r="I262" s="9">
        <v>20007</v>
      </c>
    </row>
    <row r="263" spans="1:9" hidden="1" x14ac:dyDescent="0.3">
      <c r="A263" s="8" t="s">
        <v>294</v>
      </c>
      <c r="B263" s="7">
        <v>46185</v>
      </c>
      <c r="C263" s="6" t="s">
        <v>10</v>
      </c>
      <c r="D263" s="6" t="s">
        <v>20</v>
      </c>
      <c r="E263" s="6" t="s">
        <v>30</v>
      </c>
      <c r="F263" s="6" t="s">
        <v>28</v>
      </c>
      <c r="G263" s="6" t="s">
        <v>14</v>
      </c>
      <c r="H263" s="6" t="s">
        <v>14</v>
      </c>
      <c r="I263" s="9">
        <v>41124</v>
      </c>
    </row>
    <row r="264" spans="1:9" hidden="1" x14ac:dyDescent="0.3">
      <c r="A264" s="8" t="s">
        <v>295</v>
      </c>
      <c r="B264" s="7">
        <v>46185</v>
      </c>
      <c r="C264" s="6" t="s">
        <v>19</v>
      </c>
      <c r="D264" s="6" t="s">
        <v>33</v>
      </c>
      <c r="E264" s="6" t="s">
        <v>44</v>
      </c>
      <c r="F264" s="6" t="s">
        <v>13</v>
      </c>
      <c r="G264" s="6" t="s">
        <v>14</v>
      </c>
      <c r="H264" s="6" t="s">
        <v>14</v>
      </c>
      <c r="I264" s="9">
        <v>19114</v>
      </c>
    </row>
    <row r="265" spans="1:9" hidden="1" x14ac:dyDescent="0.3">
      <c r="A265" s="8" t="s">
        <v>296</v>
      </c>
      <c r="B265" s="7">
        <v>46186</v>
      </c>
      <c r="C265" s="6" t="s">
        <v>10</v>
      </c>
      <c r="D265" s="6" t="s">
        <v>20</v>
      </c>
      <c r="E265" s="6" t="s">
        <v>21</v>
      </c>
      <c r="F265" s="6" t="s">
        <v>28</v>
      </c>
      <c r="G265" s="6" t="s">
        <v>14</v>
      </c>
      <c r="H265" s="6" t="s">
        <v>14</v>
      </c>
      <c r="I265" s="9">
        <v>32764</v>
      </c>
    </row>
    <row r="266" spans="1:9" hidden="1" x14ac:dyDescent="0.3">
      <c r="A266" s="8" t="s">
        <v>297</v>
      </c>
      <c r="B266" s="7">
        <v>46186</v>
      </c>
      <c r="C266" s="6" t="s">
        <v>19</v>
      </c>
      <c r="D266" s="6" t="s">
        <v>14</v>
      </c>
      <c r="E266" s="6" t="s">
        <v>24</v>
      </c>
      <c r="F266" s="6" t="s">
        <v>25</v>
      </c>
      <c r="G266" s="6" t="s">
        <v>14</v>
      </c>
      <c r="H266" s="6" t="s">
        <v>14</v>
      </c>
      <c r="I266" s="9">
        <v>32150</v>
      </c>
    </row>
    <row r="267" spans="1:9" hidden="1" x14ac:dyDescent="0.3">
      <c r="A267" s="8" t="s">
        <v>298</v>
      </c>
      <c r="B267" s="7">
        <v>46187</v>
      </c>
      <c r="C267" s="6" t="s">
        <v>10</v>
      </c>
      <c r="D267" s="6" t="s">
        <v>11</v>
      </c>
      <c r="E267" s="6" t="s">
        <v>27</v>
      </c>
      <c r="F267" s="6" t="s">
        <v>28</v>
      </c>
      <c r="G267" s="6" t="s">
        <v>14</v>
      </c>
      <c r="H267" s="6" t="s">
        <v>14</v>
      </c>
      <c r="I267" s="9">
        <v>80497</v>
      </c>
    </row>
    <row r="268" spans="1:9" hidden="1" x14ac:dyDescent="0.3">
      <c r="A268" s="8" t="s">
        <v>299</v>
      </c>
      <c r="B268" s="7">
        <v>46188</v>
      </c>
      <c r="C268" s="6" t="s">
        <v>19</v>
      </c>
      <c r="D268" s="6" t="s">
        <v>11</v>
      </c>
      <c r="E268" s="6" t="s">
        <v>16</v>
      </c>
      <c r="F268" s="6" t="s">
        <v>25</v>
      </c>
      <c r="G268" s="6" t="s">
        <v>14</v>
      </c>
      <c r="H268" s="6" t="s">
        <v>14</v>
      </c>
      <c r="I268" s="9">
        <v>46674</v>
      </c>
    </row>
    <row r="269" spans="1:9" hidden="1" x14ac:dyDescent="0.3">
      <c r="A269" s="8" t="s">
        <v>300</v>
      </c>
      <c r="B269" s="7">
        <v>46190</v>
      </c>
      <c r="C269" s="6" t="s">
        <v>10</v>
      </c>
      <c r="D269" s="6" t="s">
        <v>11</v>
      </c>
      <c r="E269" s="6" t="s">
        <v>12</v>
      </c>
      <c r="F269" s="6" t="s">
        <v>28</v>
      </c>
      <c r="G269" s="6" t="s">
        <v>14</v>
      </c>
      <c r="H269" s="6" t="s">
        <v>14</v>
      </c>
      <c r="I269" s="9">
        <v>15420</v>
      </c>
    </row>
    <row r="270" spans="1:9" hidden="1" x14ac:dyDescent="0.3">
      <c r="A270" s="8" t="s">
        <v>301</v>
      </c>
      <c r="B270" s="7">
        <v>46191</v>
      </c>
      <c r="C270" s="6" t="s">
        <v>10</v>
      </c>
      <c r="D270" s="6" t="s">
        <v>33</v>
      </c>
      <c r="E270" s="6" t="s">
        <v>34</v>
      </c>
      <c r="F270" s="6" t="s">
        <v>22</v>
      </c>
      <c r="G270" s="6" t="s">
        <v>14</v>
      </c>
      <c r="H270" s="6" t="s">
        <v>14</v>
      </c>
      <c r="I270" s="9">
        <v>51384</v>
      </c>
    </row>
    <row r="271" spans="1:9" hidden="1" x14ac:dyDescent="0.3">
      <c r="A271" s="8" t="s">
        <v>302</v>
      </c>
      <c r="B271" s="7">
        <v>46192</v>
      </c>
      <c r="C271" s="6" t="s">
        <v>10</v>
      </c>
      <c r="D271" s="6" t="s">
        <v>33</v>
      </c>
      <c r="E271" s="6" t="s">
        <v>36</v>
      </c>
      <c r="F271" s="6" t="s">
        <v>22</v>
      </c>
      <c r="G271" s="6" t="s">
        <v>14</v>
      </c>
      <c r="H271" s="6" t="s">
        <v>14</v>
      </c>
      <c r="I271" s="9">
        <v>67680</v>
      </c>
    </row>
    <row r="272" spans="1:9" hidden="1" x14ac:dyDescent="0.3">
      <c r="A272" s="8" t="s">
        <v>303</v>
      </c>
      <c r="B272" s="7">
        <v>46193</v>
      </c>
      <c r="C272" s="6" t="s">
        <v>10</v>
      </c>
      <c r="D272" s="6" t="s">
        <v>11</v>
      </c>
      <c r="E272" s="6" t="s">
        <v>16</v>
      </c>
      <c r="F272" s="6" t="s">
        <v>17</v>
      </c>
      <c r="G272" s="6" t="s">
        <v>14</v>
      </c>
      <c r="H272" s="6" t="s">
        <v>14</v>
      </c>
      <c r="I272" s="9">
        <v>82316</v>
      </c>
    </row>
    <row r="273" spans="1:9" hidden="1" x14ac:dyDescent="0.3">
      <c r="A273" s="8" t="s">
        <v>304</v>
      </c>
      <c r="B273" s="7">
        <v>46194</v>
      </c>
      <c r="C273" s="6" t="s">
        <v>10</v>
      </c>
      <c r="D273" s="6" t="s">
        <v>14</v>
      </c>
      <c r="E273" s="6" t="s">
        <v>40</v>
      </c>
      <c r="F273" s="6" t="s">
        <v>17</v>
      </c>
      <c r="G273" s="6" t="s">
        <v>14</v>
      </c>
      <c r="H273" s="6" t="s">
        <v>14</v>
      </c>
      <c r="I273" s="9">
        <v>67591</v>
      </c>
    </row>
    <row r="274" spans="1:9" hidden="1" x14ac:dyDescent="0.3">
      <c r="A274" s="8" t="s">
        <v>305</v>
      </c>
      <c r="B274" s="7">
        <v>46194</v>
      </c>
      <c r="C274" s="6" t="s">
        <v>10</v>
      </c>
      <c r="D274" s="6" t="s">
        <v>20</v>
      </c>
      <c r="E274" s="6" t="s">
        <v>30</v>
      </c>
      <c r="F274" s="6" t="s">
        <v>25</v>
      </c>
      <c r="G274" s="6" t="s">
        <v>14</v>
      </c>
      <c r="H274" s="6" t="s">
        <v>14</v>
      </c>
      <c r="I274" s="9">
        <v>47247</v>
      </c>
    </row>
    <row r="275" spans="1:9" hidden="1" x14ac:dyDescent="0.3">
      <c r="A275" s="8" t="s">
        <v>306</v>
      </c>
      <c r="B275" s="7">
        <v>46194</v>
      </c>
      <c r="C275" s="6" t="s">
        <v>19</v>
      </c>
      <c r="D275" s="6" t="s">
        <v>20</v>
      </c>
      <c r="E275" s="6" t="s">
        <v>52</v>
      </c>
      <c r="F275" s="6" t="s">
        <v>17</v>
      </c>
      <c r="G275" s="6" t="s">
        <v>14</v>
      </c>
      <c r="H275" s="6" t="s">
        <v>14</v>
      </c>
      <c r="I275" s="9">
        <v>70656</v>
      </c>
    </row>
    <row r="276" spans="1:9" hidden="1" x14ac:dyDescent="0.3">
      <c r="A276" s="8" t="s">
        <v>307</v>
      </c>
      <c r="B276" s="7">
        <v>46195</v>
      </c>
      <c r="C276" s="6" t="s">
        <v>19</v>
      </c>
      <c r="D276" s="6" t="s">
        <v>11</v>
      </c>
      <c r="E276" s="6" t="s">
        <v>12</v>
      </c>
      <c r="F276" s="6" t="s">
        <v>31</v>
      </c>
      <c r="G276" s="6" t="s">
        <v>14</v>
      </c>
      <c r="H276" s="6" t="s">
        <v>14</v>
      </c>
      <c r="I276" s="9">
        <v>48668</v>
      </c>
    </row>
    <row r="277" spans="1:9" hidden="1" x14ac:dyDescent="0.3">
      <c r="A277" s="8" t="s">
        <v>308</v>
      </c>
      <c r="B277" s="7">
        <v>46195</v>
      </c>
      <c r="C277" s="6" t="s">
        <v>19</v>
      </c>
      <c r="D277" s="6" t="s">
        <v>20</v>
      </c>
      <c r="E277" s="6" t="s">
        <v>21</v>
      </c>
      <c r="F277" s="6" t="s">
        <v>22</v>
      </c>
      <c r="G277" s="6" t="s">
        <v>14</v>
      </c>
      <c r="H277" s="6" t="s">
        <v>14</v>
      </c>
      <c r="I277" s="9">
        <v>17415</v>
      </c>
    </row>
    <row r="278" spans="1:9" hidden="1" x14ac:dyDescent="0.3">
      <c r="A278" s="8" t="s">
        <v>309</v>
      </c>
      <c r="B278" s="7">
        <v>46196</v>
      </c>
      <c r="C278" s="6" t="s">
        <v>19</v>
      </c>
      <c r="D278" s="6" t="s">
        <v>33</v>
      </c>
      <c r="E278" s="6" t="s">
        <v>36</v>
      </c>
      <c r="F278" s="6" t="s">
        <v>17</v>
      </c>
      <c r="G278" s="6" t="s">
        <v>14</v>
      </c>
      <c r="H278" s="6" t="s">
        <v>14</v>
      </c>
      <c r="I278" s="9">
        <v>49892</v>
      </c>
    </row>
    <row r="279" spans="1:9" hidden="1" x14ac:dyDescent="0.3">
      <c r="A279" s="8" t="s">
        <v>310</v>
      </c>
      <c r="B279" s="7">
        <v>46196</v>
      </c>
      <c r="C279" s="6" t="s">
        <v>19</v>
      </c>
      <c r="D279" s="6" t="s">
        <v>11</v>
      </c>
      <c r="E279" s="6" t="s">
        <v>27</v>
      </c>
      <c r="F279" s="6" t="s">
        <v>13</v>
      </c>
      <c r="G279" s="6" t="s">
        <v>14</v>
      </c>
      <c r="H279" s="6" t="s">
        <v>14</v>
      </c>
      <c r="I279" s="9">
        <v>82173</v>
      </c>
    </row>
    <row r="280" spans="1:9" hidden="1" x14ac:dyDescent="0.3">
      <c r="A280" s="8" t="s">
        <v>311</v>
      </c>
      <c r="B280" s="7">
        <v>46196</v>
      </c>
      <c r="C280" s="6" t="s">
        <v>19</v>
      </c>
      <c r="D280" s="6" t="s">
        <v>20</v>
      </c>
      <c r="E280" s="6" t="s">
        <v>52</v>
      </c>
      <c r="F280" s="6" t="s">
        <v>25</v>
      </c>
      <c r="G280" s="6" t="s">
        <v>14</v>
      </c>
      <c r="H280" s="6" t="s">
        <v>14</v>
      </c>
      <c r="I280" s="9">
        <v>13605</v>
      </c>
    </row>
    <row r="281" spans="1:9" hidden="1" x14ac:dyDescent="0.3">
      <c r="A281" s="8" t="s">
        <v>312</v>
      </c>
      <c r="B281" s="7">
        <v>46197</v>
      </c>
      <c r="C281" s="6" t="s">
        <v>10</v>
      </c>
      <c r="D281" s="6" t="s">
        <v>14</v>
      </c>
      <c r="E281" s="6" t="s">
        <v>40</v>
      </c>
      <c r="F281" s="6" t="s">
        <v>22</v>
      </c>
      <c r="G281" s="6" t="s">
        <v>14</v>
      </c>
      <c r="H281" s="6" t="s">
        <v>14</v>
      </c>
      <c r="I281" s="9">
        <v>21268</v>
      </c>
    </row>
    <row r="282" spans="1:9" hidden="1" x14ac:dyDescent="0.3">
      <c r="A282" s="8" t="s">
        <v>313</v>
      </c>
      <c r="B282" s="7">
        <v>46198</v>
      </c>
      <c r="C282" s="6" t="s">
        <v>10</v>
      </c>
      <c r="D282" s="6" t="s">
        <v>14</v>
      </c>
      <c r="E282" s="6" t="s">
        <v>24</v>
      </c>
      <c r="F282" s="6" t="s">
        <v>22</v>
      </c>
      <c r="G282" s="6" t="s">
        <v>14</v>
      </c>
      <c r="H282" s="6" t="s">
        <v>14</v>
      </c>
      <c r="I282" s="9">
        <v>78803</v>
      </c>
    </row>
    <row r="283" spans="1:9" hidden="1" x14ac:dyDescent="0.3">
      <c r="A283" s="8" t="s">
        <v>314</v>
      </c>
      <c r="B283" s="7">
        <v>46198</v>
      </c>
      <c r="C283" s="6" t="s">
        <v>10</v>
      </c>
      <c r="D283" s="6" t="s">
        <v>11</v>
      </c>
      <c r="E283" s="6" t="s">
        <v>16</v>
      </c>
      <c r="F283" s="6" t="s">
        <v>31</v>
      </c>
      <c r="G283" s="6" t="s">
        <v>14</v>
      </c>
      <c r="H283" s="6" t="s">
        <v>14</v>
      </c>
      <c r="I283" s="9">
        <v>62993</v>
      </c>
    </row>
    <row r="284" spans="1:9" hidden="1" x14ac:dyDescent="0.3">
      <c r="A284" s="8" t="s">
        <v>315</v>
      </c>
      <c r="B284" s="7">
        <v>46199</v>
      </c>
      <c r="C284" s="6" t="s">
        <v>10</v>
      </c>
      <c r="D284" s="6" t="s">
        <v>33</v>
      </c>
      <c r="E284" s="6" t="s">
        <v>44</v>
      </c>
      <c r="F284" s="6" t="s">
        <v>31</v>
      </c>
      <c r="G284" s="6" t="s">
        <v>14</v>
      </c>
      <c r="H284" s="6" t="s">
        <v>14</v>
      </c>
      <c r="I284" s="9">
        <v>33834</v>
      </c>
    </row>
    <row r="285" spans="1:9" hidden="1" x14ac:dyDescent="0.3">
      <c r="A285" s="8" t="s">
        <v>316</v>
      </c>
      <c r="B285" s="7">
        <v>46199</v>
      </c>
      <c r="C285" s="6" t="s">
        <v>10</v>
      </c>
      <c r="D285" s="6" t="s">
        <v>20</v>
      </c>
      <c r="E285" s="6" t="s">
        <v>52</v>
      </c>
      <c r="F285" s="6" t="s">
        <v>22</v>
      </c>
      <c r="G285" s="6" t="s">
        <v>14</v>
      </c>
      <c r="H285" s="6" t="s">
        <v>14</v>
      </c>
      <c r="I285" s="9">
        <v>40251</v>
      </c>
    </row>
    <row r="286" spans="1:9" hidden="1" x14ac:dyDescent="0.3">
      <c r="A286" s="8" t="s">
        <v>317</v>
      </c>
      <c r="B286" s="7">
        <v>46199</v>
      </c>
      <c r="C286" s="6" t="s">
        <v>19</v>
      </c>
      <c r="D286" s="6" t="s">
        <v>14</v>
      </c>
      <c r="E286" s="6" t="s">
        <v>40</v>
      </c>
      <c r="F286" s="6" t="s">
        <v>13</v>
      </c>
      <c r="G286" s="6" t="s">
        <v>14</v>
      </c>
      <c r="H286" s="6" t="s">
        <v>14</v>
      </c>
      <c r="I286" s="9">
        <v>33545</v>
      </c>
    </row>
    <row r="287" spans="1:9" hidden="1" x14ac:dyDescent="0.3">
      <c r="A287" s="8" t="s">
        <v>318</v>
      </c>
      <c r="B287" s="7">
        <v>46199</v>
      </c>
      <c r="C287" s="6" t="s">
        <v>19</v>
      </c>
      <c r="D287" s="6" t="s">
        <v>14</v>
      </c>
      <c r="E287" s="6" t="s">
        <v>47</v>
      </c>
      <c r="F287" s="6" t="s">
        <v>25</v>
      </c>
      <c r="G287" s="6" t="s">
        <v>14</v>
      </c>
      <c r="H287" s="6" t="s">
        <v>14</v>
      </c>
      <c r="I287" s="9">
        <v>21435</v>
      </c>
    </row>
    <row r="288" spans="1:9" hidden="1" x14ac:dyDescent="0.3">
      <c r="A288" s="8" t="s">
        <v>319</v>
      </c>
      <c r="B288" s="7">
        <v>46199</v>
      </c>
      <c r="C288" s="6" t="s">
        <v>19</v>
      </c>
      <c r="D288" s="6" t="s">
        <v>11</v>
      </c>
      <c r="E288" s="6" t="s">
        <v>12</v>
      </c>
      <c r="F288" s="6" t="s">
        <v>25</v>
      </c>
      <c r="G288" s="6" t="s">
        <v>14</v>
      </c>
      <c r="H288" s="6" t="s">
        <v>14</v>
      </c>
      <c r="I288" s="9">
        <v>28907</v>
      </c>
    </row>
    <row r="289" spans="1:9" hidden="1" x14ac:dyDescent="0.3">
      <c r="A289" s="8" t="s">
        <v>320</v>
      </c>
      <c r="B289" s="7">
        <v>46199</v>
      </c>
      <c r="C289" s="6" t="s">
        <v>19</v>
      </c>
      <c r="D289" s="6" t="s">
        <v>20</v>
      </c>
      <c r="E289" s="6" t="s">
        <v>30</v>
      </c>
      <c r="F289" s="6" t="s">
        <v>13</v>
      </c>
      <c r="G289" s="6" t="s">
        <v>14</v>
      </c>
      <c r="H289" s="6" t="s">
        <v>14</v>
      </c>
      <c r="I289" s="9">
        <v>79584</v>
      </c>
    </row>
    <row r="290" spans="1:9" x14ac:dyDescent="0.3">
      <c r="A290" s="8" t="s">
        <v>321</v>
      </c>
      <c r="B290" s="7">
        <v>46203</v>
      </c>
      <c r="C290" s="6" t="s">
        <v>10</v>
      </c>
      <c r="D290" s="6" t="s">
        <v>14</v>
      </c>
      <c r="E290" s="6" t="s">
        <v>24</v>
      </c>
      <c r="F290" s="6" t="s">
        <v>25</v>
      </c>
      <c r="G290" s="6" t="s">
        <v>322</v>
      </c>
      <c r="H290" s="6" t="s">
        <v>323</v>
      </c>
      <c r="I290" s="9">
        <v>150000</v>
      </c>
    </row>
    <row r="291" spans="1:9" x14ac:dyDescent="0.3">
      <c r="A291" s="8" t="s">
        <v>324</v>
      </c>
      <c r="B291" s="7">
        <v>46203</v>
      </c>
      <c r="C291" s="6" t="s">
        <v>10</v>
      </c>
      <c r="D291" s="6" t="s">
        <v>14</v>
      </c>
      <c r="E291" s="6" t="s">
        <v>40</v>
      </c>
      <c r="F291" s="6" t="s">
        <v>22</v>
      </c>
      <c r="G291" s="6" t="s">
        <v>322</v>
      </c>
      <c r="H291" s="6" t="s">
        <v>14</v>
      </c>
      <c r="I291" s="9">
        <v>65000</v>
      </c>
    </row>
    <row r="292" spans="1:9" x14ac:dyDescent="0.3">
      <c r="A292" s="8" t="s">
        <v>325</v>
      </c>
      <c r="B292" s="7">
        <v>46203</v>
      </c>
      <c r="C292" s="6" t="s">
        <v>10</v>
      </c>
      <c r="D292" s="6" t="s">
        <v>33</v>
      </c>
      <c r="E292" s="6" t="s">
        <v>44</v>
      </c>
      <c r="F292" s="6" t="s">
        <v>17</v>
      </c>
      <c r="G292" s="6" t="s">
        <v>322</v>
      </c>
      <c r="H292" s="6" t="s">
        <v>326</v>
      </c>
      <c r="I292" s="9">
        <v>25000</v>
      </c>
    </row>
    <row r="293" spans="1:9" x14ac:dyDescent="0.3">
      <c r="A293" s="8" t="s">
        <v>327</v>
      </c>
      <c r="B293" s="7">
        <v>46203</v>
      </c>
      <c r="C293" s="6" t="s">
        <v>10</v>
      </c>
      <c r="D293" s="6" t="s">
        <v>11</v>
      </c>
      <c r="E293" s="6" t="s">
        <v>12</v>
      </c>
      <c r="F293" s="6" t="s">
        <v>13</v>
      </c>
      <c r="G293" s="6" t="s">
        <v>322</v>
      </c>
      <c r="H293" s="6" t="s">
        <v>328</v>
      </c>
      <c r="I293" s="9">
        <v>-45000</v>
      </c>
    </row>
    <row r="294" spans="1:9" x14ac:dyDescent="0.3">
      <c r="A294" s="8" t="s">
        <v>329</v>
      </c>
      <c r="B294" s="7">
        <v>46203</v>
      </c>
      <c r="C294" s="6" t="s">
        <v>19</v>
      </c>
      <c r="D294" s="6" t="s">
        <v>11</v>
      </c>
      <c r="E294" s="6" t="s">
        <v>27</v>
      </c>
      <c r="F294" s="6" t="s">
        <v>31</v>
      </c>
      <c r="G294" s="6" t="s">
        <v>322</v>
      </c>
      <c r="H294" s="6" t="s">
        <v>330</v>
      </c>
      <c r="I294" s="9">
        <v>-30000</v>
      </c>
    </row>
    <row r="295" spans="1:9" x14ac:dyDescent="0.3">
      <c r="A295" s="8" t="s">
        <v>331</v>
      </c>
      <c r="B295" s="7">
        <v>46203</v>
      </c>
      <c r="C295" s="6" t="s">
        <v>19</v>
      </c>
      <c r="D295" s="6" t="s">
        <v>20</v>
      </c>
      <c r="E295" s="6" t="s">
        <v>21</v>
      </c>
      <c r="F295" s="6" t="s">
        <v>28</v>
      </c>
      <c r="G295" s="6" t="s">
        <v>322</v>
      </c>
      <c r="H295" s="6" t="s">
        <v>332</v>
      </c>
      <c r="I295" s="9">
        <v>-20000</v>
      </c>
    </row>
    <row r="296" spans="1:9" x14ac:dyDescent="0.3">
      <c r="A296" s="13" t="s">
        <v>333</v>
      </c>
      <c r="B296" s="14">
        <v>46203</v>
      </c>
      <c r="C296" s="15" t="s">
        <v>19</v>
      </c>
      <c r="D296" s="15" t="s">
        <v>14</v>
      </c>
      <c r="E296" s="15" t="s">
        <v>47</v>
      </c>
      <c r="F296" s="15" t="s">
        <v>25</v>
      </c>
      <c r="G296" s="15" t="s">
        <v>322</v>
      </c>
      <c r="H296" s="15" t="s">
        <v>334</v>
      </c>
      <c r="I296" s="16">
        <v>145000</v>
      </c>
    </row>
    <row r="326" spans="1:13" ht="15.6" x14ac:dyDescent="0.3">
      <c r="A326" s="30" t="s">
        <v>378</v>
      </c>
      <c r="B326" s="30"/>
      <c r="C326" s="30"/>
      <c r="D326" s="30"/>
      <c r="E326" s="30"/>
      <c r="F326" s="30"/>
      <c r="G326" s="30"/>
      <c r="H326" s="30"/>
      <c r="I326" s="30"/>
    </row>
    <row r="327" spans="1:13" x14ac:dyDescent="0.3">
      <c r="A327" s="20" t="s">
        <v>379</v>
      </c>
      <c r="B327" s="20"/>
      <c r="C327" s="20"/>
      <c r="D327" s="20"/>
      <c r="E327" s="20"/>
      <c r="F327" s="20"/>
      <c r="G327" s="20"/>
      <c r="H327" s="20"/>
      <c r="I327" s="20"/>
    </row>
    <row r="328" spans="1:13" x14ac:dyDescent="0.3">
      <c r="A328" s="20"/>
      <c r="B328" s="20"/>
      <c r="C328" s="20"/>
      <c r="D328" s="20"/>
      <c r="E328" s="20"/>
      <c r="F328" s="20"/>
      <c r="G328" s="20"/>
      <c r="H328" s="20"/>
      <c r="I328" s="20"/>
    </row>
    <row r="329" spans="1:13" x14ac:dyDescent="0.3">
      <c r="A329" s="20"/>
      <c r="B329" s="20"/>
      <c r="C329" s="20"/>
      <c r="D329" s="20"/>
      <c r="E329" s="20"/>
      <c r="F329" s="20"/>
      <c r="G329" s="20"/>
      <c r="H329" s="20"/>
      <c r="I329" s="20"/>
    </row>
    <row r="330" spans="1:13" x14ac:dyDescent="0.3">
      <c r="A330" s="20"/>
      <c r="B330" s="20"/>
      <c r="C330" s="20"/>
      <c r="D330" s="20"/>
      <c r="E330" s="20"/>
      <c r="F330" s="20"/>
      <c r="G330" s="20"/>
      <c r="H330" s="20"/>
      <c r="I330" s="20"/>
    </row>
    <row r="331" spans="1:13" x14ac:dyDescent="0.3">
      <c r="A331" s="20"/>
      <c r="B331" s="20"/>
      <c r="C331" s="20"/>
      <c r="D331" s="20"/>
      <c r="E331" s="20"/>
      <c r="F331" s="20"/>
      <c r="G331" s="20"/>
      <c r="H331" s="20"/>
      <c r="I331" s="20"/>
    </row>
    <row r="332" spans="1:13" x14ac:dyDescent="0.3">
      <c r="A332" s="20"/>
      <c r="B332" s="20"/>
      <c r="C332" s="20"/>
      <c r="D332" s="20"/>
      <c r="E332" s="20"/>
      <c r="F332" s="20"/>
      <c r="G332" s="20"/>
      <c r="H332" s="20"/>
      <c r="I332" s="20"/>
    </row>
    <row r="334" spans="1:13" ht="14.4" customHeight="1" x14ac:dyDescent="0.3">
      <c r="A334" s="31" t="s">
        <v>380</v>
      </c>
      <c r="B334" s="31"/>
      <c r="C334" s="31"/>
      <c r="D334" s="31"/>
      <c r="E334" s="31"/>
      <c r="F334" s="31"/>
      <c r="G334" s="31"/>
      <c r="H334" s="31"/>
      <c r="I334" s="31"/>
    </row>
    <row r="335" spans="1:13" ht="14.4" customHeight="1" x14ac:dyDescent="0.3">
      <c r="A335" s="31"/>
      <c r="B335" s="31"/>
      <c r="C335" s="31"/>
      <c r="D335" s="31"/>
      <c r="E335" s="31"/>
      <c r="F335" s="31"/>
      <c r="G335" s="31"/>
      <c r="H335" s="31"/>
      <c r="I335" s="31"/>
    </row>
    <row r="336" spans="1:13" ht="14.4" customHeight="1" x14ac:dyDescent="0.3">
      <c r="A336" s="31"/>
      <c r="B336" s="31"/>
      <c r="C336" s="31"/>
      <c r="D336" s="31"/>
      <c r="E336" s="31"/>
      <c r="F336" s="31"/>
      <c r="G336" s="31"/>
      <c r="H336" s="31"/>
      <c r="I336" s="31"/>
      <c r="M336" t="s">
        <v>382</v>
      </c>
    </row>
    <row r="337" spans="1:9" x14ac:dyDescent="0.3">
      <c r="A337" s="31"/>
      <c r="B337" s="31"/>
      <c r="C337" s="31"/>
      <c r="D337" s="31"/>
      <c r="E337" s="31"/>
      <c r="F337" s="31"/>
      <c r="G337" s="31"/>
      <c r="H337" s="31"/>
      <c r="I337" s="31"/>
    </row>
    <row r="339" spans="1:9" x14ac:dyDescent="0.3">
      <c r="A339" s="31" t="s">
        <v>381</v>
      </c>
      <c r="B339" s="31"/>
      <c r="C339" s="31"/>
      <c r="D339" s="31"/>
      <c r="E339" s="31"/>
      <c r="F339" s="31"/>
      <c r="G339" s="31"/>
      <c r="H339" s="31"/>
      <c r="I339" s="31"/>
    </row>
    <row r="340" spans="1:9" x14ac:dyDescent="0.3">
      <c r="A340" s="31"/>
      <c r="B340" s="31"/>
      <c r="C340" s="31"/>
      <c r="D340" s="31"/>
      <c r="E340" s="31"/>
      <c r="F340" s="31"/>
      <c r="G340" s="31"/>
      <c r="H340" s="31"/>
      <c r="I340" s="31"/>
    </row>
    <row r="341" spans="1:9" x14ac:dyDescent="0.3">
      <c r="A341" s="31"/>
      <c r="B341" s="31"/>
      <c r="C341" s="31"/>
      <c r="D341" s="31"/>
      <c r="E341" s="31"/>
      <c r="F341" s="31"/>
      <c r="G341" s="31"/>
      <c r="H341" s="31"/>
      <c r="I341" s="31"/>
    </row>
    <row r="342" spans="1:9" x14ac:dyDescent="0.3">
      <c r="A342" s="31"/>
      <c r="B342" s="31"/>
      <c r="C342" s="31"/>
      <c r="D342" s="31"/>
      <c r="E342" s="31"/>
      <c r="F342" s="31"/>
      <c r="G342" s="31"/>
      <c r="H342" s="31"/>
      <c r="I342" s="31"/>
    </row>
    <row r="344" spans="1:9" x14ac:dyDescent="0.3">
      <c r="A344" s="21" t="s">
        <v>385</v>
      </c>
      <c r="B344" s="22"/>
      <c r="C344" s="22"/>
      <c r="D344" s="22"/>
      <c r="E344" s="22"/>
      <c r="F344" s="22"/>
      <c r="G344" s="22"/>
      <c r="H344" s="22"/>
      <c r="I344" s="23"/>
    </row>
    <row r="345" spans="1:9" x14ac:dyDescent="0.3">
      <c r="A345" s="24"/>
      <c r="B345" s="25"/>
      <c r="C345" s="25"/>
      <c r="D345" s="25"/>
      <c r="E345" s="25"/>
      <c r="F345" s="25"/>
      <c r="G345" s="25"/>
      <c r="H345" s="25"/>
      <c r="I345" s="26"/>
    </row>
    <row r="346" spans="1:9" x14ac:dyDescent="0.3">
      <c r="A346" s="24"/>
      <c r="B346" s="25"/>
      <c r="C346" s="25"/>
      <c r="D346" s="25"/>
      <c r="E346" s="25"/>
      <c r="F346" s="25"/>
      <c r="G346" s="25"/>
      <c r="H346" s="25"/>
      <c r="I346" s="26"/>
    </row>
    <row r="347" spans="1:9" x14ac:dyDescent="0.3">
      <c r="A347" s="27"/>
      <c r="B347" s="28"/>
      <c r="C347" s="28"/>
      <c r="D347" s="28"/>
      <c r="E347" s="28"/>
      <c r="F347" s="28"/>
      <c r="G347" s="28"/>
      <c r="H347" s="28"/>
      <c r="I347" s="29"/>
    </row>
    <row r="349" spans="1:9" ht="15.6" x14ac:dyDescent="0.3">
      <c r="A349" s="32" t="s">
        <v>383</v>
      </c>
      <c r="B349" s="32"/>
      <c r="C349" s="32"/>
      <c r="D349" s="32"/>
      <c r="E349" s="32"/>
      <c r="F349" s="32"/>
      <c r="G349" s="32"/>
      <c r="H349" s="32"/>
      <c r="I349" s="32"/>
    </row>
    <row r="350" spans="1:9" x14ac:dyDescent="0.3">
      <c r="A350" s="20" t="s">
        <v>384</v>
      </c>
      <c r="B350" s="20"/>
      <c r="C350" s="20"/>
      <c r="D350" s="20"/>
      <c r="E350" s="20"/>
      <c r="F350" s="20"/>
      <c r="G350" s="20"/>
      <c r="H350" s="20"/>
      <c r="I350" s="20"/>
    </row>
    <row r="351" spans="1:9" x14ac:dyDescent="0.3">
      <c r="A351" s="20"/>
      <c r="B351" s="20"/>
      <c r="C351" s="20"/>
      <c r="D351" s="20"/>
      <c r="E351" s="20"/>
      <c r="F351" s="20"/>
      <c r="G351" s="20"/>
      <c r="H351" s="20"/>
      <c r="I351" s="20"/>
    </row>
    <row r="352" spans="1:9" x14ac:dyDescent="0.3">
      <c r="A352" s="20"/>
      <c r="B352" s="20"/>
      <c r="C352" s="20"/>
      <c r="D352" s="20"/>
      <c r="E352" s="20"/>
      <c r="F352" s="20"/>
      <c r="G352" s="20"/>
      <c r="H352" s="20"/>
      <c r="I352" s="20"/>
    </row>
    <row r="353" spans="1:9" x14ac:dyDescent="0.3">
      <c r="A353" s="20"/>
      <c r="B353" s="20"/>
      <c r="C353" s="20"/>
      <c r="D353" s="20"/>
      <c r="E353" s="20"/>
      <c r="F353" s="20"/>
      <c r="G353" s="20"/>
      <c r="H353" s="20"/>
      <c r="I353" s="20"/>
    </row>
  </sheetData>
  <mergeCells count="7">
    <mergeCell ref="A350:I353"/>
    <mergeCell ref="A344:I347"/>
    <mergeCell ref="A326:I326"/>
    <mergeCell ref="A327:I332"/>
    <mergeCell ref="A334:I337"/>
    <mergeCell ref="A339:I342"/>
    <mergeCell ref="A349:I349"/>
  </mergeCells>
  <pageMargins left="0.25" right="0.25" top="0.75" bottom="0.75" header="0.3" footer="0.3"/>
  <pageSetup paperSize="9" scale="77" fitToWidth="0"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A1A8-4A74-402B-81D0-7E1C8434D0D2}">
  <sheetPr>
    <pageSetUpPr fitToPage="1"/>
  </sheetPr>
  <dimension ref="A1:F85"/>
  <sheetViews>
    <sheetView tabSelected="1" zoomScaleNormal="100" workbookViewId="0">
      <selection activeCell="S7" sqref="S7"/>
    </sheetView>
  </sheetViews>
  <sheetFormatPr defaultRowHeight="14.4" x14ac:dyDescent="0.3"/>
  <cols>
    <col min="1" max="1" width="10.44140625" bestFit="1" customWidth="1"/>
    <col min="2" max="4" width="14.44140625" bestFit="1" customWidth="1"/>
  </cols>
  <sheetData>
    <row r="1" spans="1:4" x14ac:dyDescent="0.3">
      <c r="A1" s="6" t="s">
        <v>2</v>
      </c>
      <c r="B1" s="6" t="s">
        <v>3</v>
      </c>
      <c r="C1" s="6" t="s">
        <v>4</v>
      </c>
      <c r="D1" s="6" t="s">
        <v>386</v>
      </c>
    </row>
    <row r="2" spans="1:4" x14ac:dyDescent="0.3">
      <c r="A2" s="6" t="s">
        <v>10</v>
      </c>
      <c r="B2" s="6" t="s">
        <v>20</v>
      </c>
      <c r="C2" s="6" t="s">
        <v>21</v>
      </c>
      <c r="D2" s="6">
        <v>613550</v>
      </c>
    </row>
    <row r="3" spans="1:4" x14ac:dyDescent="0.3">
      <c r="A3" s="6" t="s">
        <v>10</v>
      </c>
      <c r="B3" s="6" t="s">
        <v>20</v>
      </c>
      <c r="C3" s="6" t="s">
        <v>52</v>
      </c>
      <c r="D3" s="6">
        <v>603482</v>
      </c>
    </row>
    <row r="4" spans="1:4" x14ac:dyDescent="0.3">
      <c r="A4" s="6" t="s">
        <v>10</v>
      </c>
      <c r="B4" s="6" t="s">
        <v>20</v>
      </c>
      <c r="C4" s="6" t="s">
        <v>30</v>
      </c>
      <c r="D4" s="6">
        <v>600277</v>
      </c>
    </row>
    <row r="5" spans="1:4" x14ac:dyDescent="0.3">
      <c r="A5" s="6" t="s">
        <v>10</v>
      </c>
      <c r="B5" s="6" t="s">
        <v>33</v>
      </c>
      <c r="C5" s="6" t="s">
        <v>36</v>
      </c>
      <c r="D5" s="6">
        <v>484543</v>
      </c>
    </row>
    <row r="6" spans="1:4" x14ac:dyDescent="0.3">
      <c r="A6" s="6" t="s">
        <v>10</v>
      </c>
      <c r="B6" s="6" t="s">
        <v>33</v>
      </c>
      <c r="C6" s="6" t="s">
        <v>44</v>
      </c>
      <c r="D6" s="6">
        <v>587384</v>
      </c>
    </row>
    <row r="7" spans="1:4" x14ac:dyDescent="0.3">
      <c r="A7" s="6" t="s">
        <v>10</v>
      </c>
      <c r="B7" s="6" t="s">
        <v>33</v>
      </c>
      <c r="C7" s="6" t="s">
        <v>34</v>
      </c>
      <c r="D7" s="6">
        <v>700187</v>
      </c>
    </row>
    <row r="8" spans="1:4" x14ac:dyDescent="0.3">
      <c r="A8" s="6" t="s">
        <v>10</v>
      </c>
      <c r="B8" s="6" t="s">
        <v>11</v>
      </c>
      <c r="C8" s="6" t="s">
        <v>27</v>
      </c>
      <c r="D8" s="6">
        <v>624595</v>
      </c>
    </row>
    <row r="9" spans="1:4" x14ac:dyDescent="0.3">
      <c r="A9" s="6" t="s">
        <v>10</v>
      </c>
      <c r="B9" s="6" t="s">
        <v>11</v>
      </c>
      <c r="C9" s="6" t="s">
        <v>12</v>
      </c>
      <c r="D9" s="6">
        <v>473005</v>
      </c>
    </row>
    <row r="10" spans="1:4" x14ac:dyDescent="0.3">
      <c r="A10" s="6" t="s">
        <v>10</v>
      </c>
      <c r="B10" s="6" t="s">
        <v>11</v>
      </c>
      <c r="C10" s="6" t="s">
        <v>16</v>
      </c>
      <c r="D10" s="6">
        <v>634013</v>
      </c>
    </row>
    <row r="11" spans="1:4" x14ac:dyDescent="0.3">
      <c r="A11" s="6" t="s">
        <v>10</v>
      </c>
      <c r="B11" s="6" t="s">
        <v>14</v>
      </c>
      <c r="C11" s="6" t="s">
        <v>24</v>
      </c>
      <c r="D11" s="6">
        <v>749825</v>
      </c>
    </row>
    <row r="12" spans="1:4" x14ac:dyDescent="0.3">
      <c r="A12" s="6" t="s">
        <v>10</v>
      </c>
      <c r="B12" s="6" t="s">
        <v>14</v>
      </c>
      <c r="C12" s="6" t="s">
        <v>40</v>
      </c>
      <c r="D12" s="6">
        <v>621913</v>
      </c>
    </row>
    <row r="13" spans="1:4" x14ac:dyDescent="0.3">
      <c r="A13" s="6" t="s">
        <v>10</v>
      </c>
      <c r="B13" s="6" t="s">
        <v>14</v>
      </c>
      <c r="C13" s="6" t="s">
        <v>47</v>
      </c>
      <c r="D13" s="6">
        <v>666254</v>
      </c>
    </row>
    <row r="14" spans="1:4" x14ac:dyDescent="0.3">
      <c r="A14" s="6" t="s">
        <v>19</v>
      </c>
      <c r="B14" s="6" t="s">
        <v>20</v>
      </c>
      <c r="C14" s="6" t="s">
        <v>21</v>
      </c>
      <c r="D14" s="6">
        <v>464633</v>
      </c>
    </row>
    <row r="15" spans="1:4" x14ac:dyDescent="0.3">
      <c r="A15" s="6" t="s">
        <v>19</v>
      </c>
      <c r="B15" s="6" t="s">
        <v>20</v>
      </c>
      <c r="C15" s="6" t="s">
        <v>52</v>
      </c>
      <c r="D15" s="6">
        <v>410982</v>
      </c>
    </row>
    <row r="16" spans="1:4" x14ac:dyDescent="0.3">
      <c r="A16" s="6" t="s">
        <v>19</v>
      </c>
      <c r="B16" s="6" t="s">
        <v>20</v>
      </c>
      <c r="C16" s="6" t="s">
        <v>30</v>
      </c>
      <c r="D16" s="6">
        <v>461601</v>
      </c>
    </row>
    <row r="17" spans="1:4" x14ac:dyDescent="0.3">
      <c r="A17" s="6" t="s">
        <v>19</v>
      </c>
      <c r="B17" s="6" t="s">
        <v>33</v>
      </c>
      <c r="C17" s="6" t="s">
        <v>36</v>
      </c>
      <c r="D17" s="6">
        <v>588999</v>
      </c>
    </row>
    <row r="18" spans="1:4" x14ac:dyDescent="0.3">
      <c r="A18" s="6" t="s">
        <v>19</v>
      </c>
      <c r="B18" s="6" t="s">
        <v>33</v>
      </c>
      <c r="C18" s="6" t="s">
        <v>44</v>
      </c>
      <c r="D18" s="6">
        <v>700841</v>
      </c>
    </row>
    <row r="19" spans="1:4" x14ac:dyDescent="0.3">
      <c r="A19" s="6" t="s">
        <v>19</v>
      </c>
      <c r="B19" s="6" t="s">
        <v>33</v>
      </c>
      <c r="C19" s="6" t="s">
        <v>34</v>
      </c>
      <c r="D19" s="6">
        <v>472073</v>
      </c>
    </row>
    <row r="20" spans="1:4" x14ac:dyDescent="0.3">
      <c r="A20" s="6" t="s">
        <v>19</v>
      </c>
      <c r="B20" s="6" t="s">
        <v>11</v>
      </c>
      <c r="C20" s="6" t="s">
        <v>27</v>
      </c>
      <c r="D20" s="6">
        <v>544933</v>
      </c>
    </row>
    <row r="21" spans="1:4" x14ac:dyDescent="0.3">
      <c r="A21" s="6" t="s">
        <v>19</v>
      </c>
      <c r="B21" s="6" t="s">
        <v>11</v>
      </c>
      <c r="C21" s="6" t="s">
        <v>12</v>
      </c>
      <c r="D21" s="6">
        <v>512078</v>
      </c>
    </row>
    <row r="22" spans="1:4" x14ac:dyDescent="0.3">
      <c r="A22" s="6" t="s">
        <v>19</v>
      </c>
      <c r="B22" s="6" t="s">
        <v>11</v>
      </c>
      <c r="C22" s="6" t="s">
        <v>16</v>
      </c>
      <c r="D22" s="6">
        <v>520429</v>
      </c>
    </row>
    <row r="23" spans="1:4" x14ac:dyDescent="0.3">
      <c r="A23" s="6" t="s">
        <v>19</v>
      </c>
      <c r="B23" s="6" t="s">
        <v>14</v>
      </c>
      <c r="C23" s="6" t="s">
        <v>24</v>
      </c>
      <c r="D23" s="6">
        <v>490757</v>
      </c>
    </row>
    <row r="24" spans="1:4" x14ac:dyDescent="0.3">
      <c r="A24" s="6" t="s">
        <v>19</v>
      </c>
      <c r="B24" s="6" t="s">
        <v>14</v>
      </c>
      <c r="C24" s="6" t="s">
        <v>40</v>
      </c>
      <c r="D24" s="6">
        <v>576081</v>
      </c>
    </row>
    <row r="25" spans="1:4" x14ac:dyDescent="0.3">
      <c r="A25" s="6" t="s">
        <v>19</v>
      </c>
      <c r="B25" s="6" t="s">
        <v>14</v>
      </c>
      <c r="C25" s="6" t="s">
        <v>47</v>
      </c>
      <c r="D25" s="6">
        <v>675609</v>
      </c>
    </row>
    <row r="26" spans="1:4" x14ac:dyDescent="0.3">
      <c r="A26" s="17"/>
      <c r="B26" s="17"/>
      <c r="C26" s="17"/>
      <c r="D26" s="17"/>
    </row>
    <row r="27" spans="1:4" x14ac:dyDescent="0.3">
      <c r="A27" s="17"/>
      <c r="B27" s="17"/>
      <c r="C27" s="17"/>
      <c r="D27" s="17"/>
    </row>
    <row r="28" spans="1:4" x14ac:dyDescent="0.3">
      <c r="A28" s="17"/>
      <c r="B28" s="17"/>
      <c r="C28" s="17"/>
      <c r="D28" s="17"/>
    </row>
    <row r="29" spans="1:4" x14ac:dyDescent="0.3">
      <c r="A29" s="17"/>
      <c r="B29" s="17"/>
      <c r="C29" s="17"/>
      <c r="D29" s="17"/>
    </row>
    <row r="30" spans="1:4" x14ac:dyDescent="0.3">
      <c r="A30" s="17"/>
      <c r="B30" s="17"/>
      <c r="C30" s="17"/>
      <c r="D30" s="17"/>
    </row>
    <row r="31" spans="1:4" x14ac:dyDescent="0.3">
      <c r="A31" s="17"/>
      <c r="B31" s="17"/>
      <c r="C31" s="17"/>
      <c r="D31" s="17"/>
    </row>
    <row r="32" spans="1:4" x14ac:dyDescent="0.3">
      <c r="A32" s="17"/>
      <c r="B32" s="17"/>
      <c r="C32" s="17"/>
      <c r="D32" s="17"/>
    </row>
    <row r="33" spans="1:6" x14ac:dyDescent="0.3">
      <c r="A33" s="17"/>
      <c r="B33" s="17"/>
      <c r="C33" s="17"/>
      <c r="D33" s="17"/>
    </row>
    <row r="34" spans="1:6" x14ac:dyDescent="0.3">
      <c r="A34" s="17"/>
      <c r="B34" s="17"/>
      <c r="C34" s="17"/>
      <c r="D34" s="17"/>
    </row>
    <row r="35" spans="1:6" x14ac:dyDescent="0.3">
      <c r="A35" s="42" t="s">
        <v>366</v>
      </c>
      <c r="B35" s="43"/>
      <c r="C35" s="43"/>
      <c r="D35" s="43"/>
      <c r="E35" s="43"/>
      <c r="F35" s="44"/>
    </row>
    <row r="36" spans="1:6" x14ac:dyDescent="0.3">
      <c r="A36" s="18" t="s">
        <v>2</v>
      </c>
      <c r="B36" s="18" t="s">
        <v>386</v>
      </c>
      <c r="C36" s="33" t="s">
        <v>387</v>
      </c>
      <c r="D36" s="34"/>
      <c r="E36" s="34"/>
      <c r="F36" s="34"/>
    </row>
    <row r="37" spans="1:6" x14ac:dyDescent="0.3">
      <c r="A37" s="18" t="s">
        <v>10</v>
      </c>
      <c r="B37" s="19">
        <v>7359028</v>
      </c>
      <c r="C37" s="34"/>
      <c r="D37" s="34"/>
      <c r="E37" s="34"/>
      <c r="F37" s="34"/>
    </row>
    <row r="38" spans="1:6" x14ac:dyDescent="0.3">
      <c r="A38" s="18" t="s">
        <v>19</v>
      </c>
      <c r="B38" s="18">
        <v>6419016</v>
      </c>
      <c r="C38" s="34"/>
      <c r="D38" s="34"/>
      <c r="E38" s="34"/>
      <c r="F38" s="34"/>
    </row>
    <row r="40" spans="1:6" x14ac:dyDescent="0.3">
      <c r="A40" s="35" t="s">
        <v>367</v>
      </c>
      <c r="B40" s="35"/>
      <c r="C40" s="35"/>
      <c r="D40" s="35"/>
      <c r="E40" s="35"/>
      <c r="F40" s="35"/>
    </row>
    <row r="41" spans="1:6" x14ac:dyDescent="0.3">
      <c r="A41" s="35"/>
      <c r="B41" s="35"/>
      <c r="C41" s="35"/>
      <c r="D41" s="35"/>
      <c r="E41" s="35"/>
      <c r="F41" s="35"/>
    </row>
    <row r="42" spans="1:6" x14ac:dyDescent="0.3">
      <c r="A42" s="18" t="s">
        <v>2</v>
      </c>
      <c r="B42" s="18" t="s">
        <v>3</v>
      </c>
      <c r="C42" s="18" t="s">
        <v>386</v>
      </c>
      <c r="D42" s="36" t="s">
        <v>388</v>
      </c>
      <c r="E42" s="36"/>
      <c r="F42" s="36"/>
    </row>
    <row r="43" spans="1:6" x14ac:dyDescent="0.3">
      <c r="A43" s="18" t="s">
        <v>10</v>
      </c>
      <c r="B43" s="18" t="s">
        <v>14</v>
      </c>
      <c r="C43" s="19">
        <v>2037992</v>
      </c>
      <c r="D43" s="36"/>
      <c r="E43" s="36"/>
      <c r="F43" s="36"/>
    </row>
    <row r="44" spans="1:6" x14ac:dyDescent="0.3">
      <c r="A44" s="18" t="s">
        <v>10</v>
      </c>
      <c r="B44" s="18" t="s">
        <v>20</v>
      </c>
      <c r="C44" s="18">
        <v>1817309</v>
      </c>
      <c r="D44" s="36"/>
      <c r="E44" s="36"/>
      <c r="F44" s="36"/>
    </row>
    <row r="45" spans="1:6" x14ac:dyDescent="0.3">
      <c r="A45" s="18" t="s">
        <v>10</v>
      </c>
      <c r="B45" s="18" t="s">
        <v>33</v>
      </c>
      <c r="C45" s="18">
        <v>1772114</v>
      </c>
      <c r="D45" s="36"/>
      <c r="E45" s="36"/>
      <c r="F45" s="36"/>
    </row>
    <row r="46" spans="1:6" x14ac:dyDescent="0.3">
      <c r="A46" s="18" t="s">
        <v>10</v>
      </c>
      <c r="B46" s="18" t="s">
        <v>11</v>
      </c>
      <c r="C46" s="18">
        <v>1731613</v>
      </c>
      <c r="D46" s="36"/>
      <c r="E46" s="36"/>
      <c r="F46" s="36"/>
    </row>
    <row r="48" spans="1:6" x14ac:dyDescent="0.3">
      <c r="A48" s="18" t="s">
        <v>2</v>
      </c>
      <c r="B48" s="18" t="s">
        <v>3</v>
      </c>
      <c r="C48" s="18" t="s">
        <v>386</v>
      </c>
      <c r="D48" s="36" t="s">
        <v>389</v>
      </c>
      <c r="E48" s="36"/>
      <c r="F48" s="36"/>
    </row>
    <row r="49" spans="1:6" x14ac:dyDescent="0.3">
      <c r="A49" s="18" t="s">
        <v>19</v>
      </c>
      <c r="B49" s="18" t="s">
        <v>33</v>
      </c>
      <c r="C49" s="19">
        <v>1761913</v>
      </c>
      <c r="D49" s="36"/>
      <c r="E49" s="36"/>
      <c r="F49" s="36"/>
    </row>
    <row r="50" spans="1:6" x14ac:dyDescent="0.3">
      <c r="A50" s="18" t="s">
        <v>19</v>
      </c>
      <c r="B50" s="18" t="s">
        <v>14</v>
      </c>
      <c r="C50" s="18">
        <v>1742447</v>
      </c>
      <c r="D50" s="36"/>
      <c r="E50" s="36"/>
      <c r="F50" s="36"/>
    </row>
    <row r="51" spans="1:6" x14ac:dyDescent="0.3">
      <c r="A51" s="18" t="s">
        <v>19</v>
      </c>
      <c r="B51" s="18" t="s">
        <v>11</v>
      </c>
      <c r="C51" s="18">
        <v>1577440</v>
      </c>
      <c r="D51" s="36"/>
      <c r="E51" s="36"/>
      <c r="F51" s="36"/>
    </row>
    <row r="52" spans="1:6" x14ac:dyDescent="0.3">
      <c r="A52" s="18" t="s">
        <v>19</v>
      </c>
      <c r="B52" s="18" t="s">
        <v>20</v>
      </c>
      <c r="C52" s="18">
        <v>1337216</v>
      </c>
      <c r="D52" s="36"/>
      <c r="E52" s="36"/>
      <c r="F52" s="36"/>
    </row>
    <row r="54" spans="1:6" x14ac:dyDescent="0.3">
      <c r="A54" s="35" t="s">
        <v>368</v>
      </c>
      <c r="B54" s="35"/>
      <c r="C54" s="35"/>
      <c r="D54" s="35"/>
      <c r="E54" s="35"/>
      <c r="F54" s="35"/>
    </row>
    <row r="55" spans="1:6" x14ac:dyDescent="0.3">
      <c r="A55" s="35"/>
      <c r="B55" s="35"/>
      <c r="C55" s="35"/>
      <c r="D55" s="35"/>
      <c r="E55" s="35"/>
      <c r="F55" s="35"/>
    </row>
    <row r="56" spans="1:6" x14ac:dyDescent="0.3">
      <c r="A56" s="45" t="s">
        <v>2</v>
      </c>
      <c r="B56" s="45" t="s">
        <v>3</v>
      </c>
      <c r="C56" s="45" t="s">
        <v>4</v>
      </c>
      <c r="D56" s="45" t="s">
        <v>386</v>
      </c>
    </row>
    <row r="57" spans="1:6" x14ac:dyDescent="0.3">
      <c r="A57" s="40" t="s">
        <v>10</v>
      </c>
      <c r="B57" s="40" t="s">
        <v>14</v>
      </c>
      <c r="C57" s="40" t="s">
        <v>24</v>
      </c>
      <c r="D57" s="19">
        <v>749825</v>
      </c>
    </row>
    <row r="58" spans="1:6" x14ac:dyDescent="0.3">
      <c r="A58" s="40" t="s">
        <v>19</v>
      </c>
      <c r="B58" s="40" t="s">
        <v>33</v>
      </c>
      <c r="C58" s="40" t="s">
        <v>44</v>
      </c>
      <c r="D58" s="40">
        <v>700841</v>
      </c>
    </row>
    <row r="59" spans="1:6" x14ac:dyDescent="0.3">
      <c r="A59" s="40" t="s">
        <v>10</v>
      </c>
      <c r="B59" s="40" t="s">
        <v>33</v>
      </c>
      <c r="C59" s="40" t="s">
        <v>34</v>
      </c>
      <c r="D59" s="40">
        <v>700187</v>
      </c>
    </row>
    <row r="60" spans="1:6" x14ac:dyDescent="0.3">
      <c r="A60" s="40" t="s">
        <v>19</v>
      </c>
      <c r="B60" s="40" t="s">
        <v>14</v>
      </c>
      <c r="C60" s="40" t="s">
        <v>47</v>
      </c>
      <c r="D60" s="40">
        <v>675609</v>
      </c>
    </row>
    <row r="61" spans="1:6" x14ac:dyDescent="0.3">
      <c r="A61" s="40" t="s">
        <v>10</v>
      </c>
      <c r="B61" s="40" t="s">
        <v>14</v>
      </c>
      <c r="C61" s="40" t="s">
        <v>47</v>
      </c>
      <c r="D61" s="40">
        <v>666254</v>
      </c>
    </row>
    <row r="62" spans="1:6" x14ac:dyDescent="0.3">
      <c r="A62" s="40" t="s">
        <v>10</v>
      </c>
      <c r="B62" s="40" t="s">
        <v>11</v>
      </c>
      <c r="C62" s="40" t="s">
        <v>16</v>
      </c>
      <c r="D62" s="40">
        <v>634013</v>
      </c>
    </row>
    <row r="63" spans="1:6" x14ac:dyDescent="0.3">
      <c r="A63" s="40" t="s">
        <v>10</v>
      </c>
      <c r="B63" s="40" t="s">
        <v>11</v>
      </c>
      <c r="C63" s="40" t="s">
        <v>27</v>
      </c>
      <c r="D63" s="40">
        <v>624595</v>
      </c>
    </row>
    <row r="64" spans="1:6" x14ac:dyDescent="0.3">
      <c r="A64" s="40" t="s">
        <v>10</v>
      </c>
      <c r="B64" s="40" t="s">
        <v>14</v>
      </c>
      <c r="C64" s="40" t="s">
        <v>40</v>
      </c>
      <c r="D64" s="40">
        <v>621913</v>
      </c>
    </row>
    <row r="65" spans="1:4" x14ac:dyDescent="0.3">
      <c r="A65" s="40" t="s">
        <v>10</v>
      </c>
      <c r="B65" s="40" t="s">
        <v>20</v>
      </c>
      <c r="C65" s="40" t="s">
        <v>21</v>
      </c>
      <c r="D65" s="40">
        <v>613550</v>
      </c>
    </row>
    <row r="66" spans="1:4" x14ac:dyDescent="0.3">
      <c r="A66" s="40" t="s">
        <v>10</v>
      </c>
      <c r="B66" s="40" t="s">
        <v>20</v>
      </c>
      <c r="C66" s="40" t="s">
        <v>52</v>
      </c>
      <c r="D66" s="40">
        <v>603482</v>
      </c>
    </row>
    <row r="67" spans="1:4" x14ac:dyDescent="0.3">
      <c r="A67" s="40" t="s">
        <v>10</v>
      </c>
      <c r="B67" s="40" t="s">
        <v>20</v>
      </c>
      <c r="C67" s="40" t="s">
        <v>30</v>
      </c>
      <c r="D67" s="40">
        <v>600277</v>
      </c>
    </row>
    <row r="68" spans="1:4" x14ac:dyDescent="0.3">
      <c r="A68" s="40" t="s">
        <v>19</v>
      </c>
      <c r="B68" s="40" t="s">
        <v>33</v>
      </c>
      <c r="C68" s="40" t="s">
        <v>36</v>
      </c>
      <c r="D68" s="40">
        <v>588999</v>
      </c>
    </row>
    <row r="69" spans="1:4" x14ac:dyDescent="0.3">
      <c r="A69" s="40" t="s">
        <v>10</v>
      </c>
      <c r="B69" s="40" t="s">
        <v>33</v>
      </c>
      <c r="C69" s="40" t="s">
        <v>44</v>
      </c>
      <c r="D69" s="40">
        <v>587384</v>
      </c>
    </row>
    <row r="70" spans="1:4" x14ac:dyDescent="0.3">
      <c r="A70" s="40" t="s">
        <v>19</v>
      </c>
      <c r="B70" s="40" t="s">
        <v>14</v>
      </c>
      <c r="C70" s="40" t="s">
        <v>40</v>
      </c>
      <c r="D70" s="40">
        <v>576081</v>
      </c>
    </row>
    <row r="71" spans="1:4" x14ac:dyDescent="0.3">
      <c r="A71" s="40" t="s">
        <v>19</v>
      </c>
      <c r="B71" s="40" t="s">
        <v>11</v>
      </c>
      <c r="C71" s="40" t="s">
        <v>27</v>
      </c>
      <c r="D71" s="40">
        <v>544933</v>
      </c>
    </row>
    <row r="72" spans="1:4" x14ac:dyDescent="0.3">
      <c r="A72" s="40" t="s">
        <v>19</v>
      </c>
      <c r="B72" s="40" t="s">
        <v>11</v>
      </c>
      <c r="C72" s="40" t="s">
        <v>16</v>
      </c>
      <c r="D72" s="40">
        <v>520429</v>
      </c>
    </row>
    <row r="73" spans="1:4" x14ac:dyDescent="0.3">
      <c r="A73" s="40" t="s">
        <v>19</v>
      </c>
      <c r="B73" s="40" t="s">
        <v>11</v>
      </c>
      <c r="C73" s="40" t="s">
        <v>12</v>
      </c>
      <c r="D73" s="40">
        <v>512078</v>
      </c>
    </row>
    <row r="74" spans="1:4" x14ac:dyDescent="0.3">
      <c r="A74" s="40" t="s">
        <v>19</v>
      </c>
      <c r="B74" s="40" t="s">
        <v>14</v>
      </c>
      <c r="C74" s="40" t="s">
        <v>24</v>
      </c>
      <c r="D74" s="40">
        <v>490757</v>
      </c>
    </row>
    <row r="75" spans="1:4" x14ac:dyDescent="0.3">
      <c r="A75" s="40" t="s">
        <v>10</v>
      </c>
      <c r="B75" s="40" t="s">
        <v>33</v>
      </c>
      <c r="C75" s="40" t="s">
        <v>36</v>
      </c>
      <c r="D75" s="40">
        <v>484543</v>
      </c>
    </row>
    <row r="76" spans="1:4" x14ac:dyDescent="0.3">
      <c r="A76" s="40" t="s">
        <v>10</v>
      </c>
      <c r="B76" s="40" t="s">
        <v>11</v>
      </c>
      <c r="C76" s="40" t="s">
        <v>12</v>
      </c>
      <c r="D76" s="40">
        <v>473005</v>
      </c>
    </row>
    <row r="77" spans="1:4" x14ac:dyDescent="0.3">
      <c r="A77" s="40" t="s">
        <v>19</v>
      </c>
      <c r="B77" s="40" t="s">
        <v>33</v>
      </c>
      <c r="C77" s="40" t="s">
        <v>34</v>
      </c>
      <c r="D77" s="40">
        <v>472073</v>
      </c>
    </row>
    <row r="78" spans="1:4" x14ac:dyDescent="0.3">
      <c r="A78" s="40" t="s">
        <v>19</v>
      </c>
      <c r="B78" s="40" t="s">
        <v>20</v>
      </c>
      <c r="C78" s="40" t="s">
        <v>21</v>
      </c>
      <c r="D78" s="40">
        <v>464633</v>
      </c>
    </row>
    <row r="79" spans="1:4" x14ac:dyDescent="0.3">
      <c r="A79" s="40" t="s">
        <v>19</v>
      </c>
      <c r="B79" s="40" t="s">
        <v>20</v>
      </c>
      <c r="C79" s="40" t="s">
        <v>30</v>
      </c>
      <c r="D79" s="40">
        <v>461601</v>
      </c>
    </row>
    <row r="80" spans="1:4" x14ac:dyDescent="0.3">
      <c r="A80" s="41" t="s">
        <v>19</v>
      </c>
      <c r="B80" s="41" t="s">
        <v>20</v>
      </c>
      <c r="C80" s="41" t="s">
        <v>52</v>
      </c>
      <c r="D80" s="41">
        <v>410982</v>
      </c>
    </row>
    <row r="81" spans="1:6" x14ac:dyDescent="0.3">
      <c r="A81" s="20" t="s">
        <v>390</v>
      </c>
      <c r="B81" s="20"/>
      <c r="C81" s="20"/>
      <c r="D81" s="20"/>
      <c r="E81" s="20"/>
      <c r="F81" s="20"/>
    </row>
    <row r="82" spans="1:6" x14ac:dyDescent="0.3">
      <c r="A82" s="20"/>
      <c r="B82" s="20"/>
      <c r="C82" s="20"/>
      <c r="D82" s="20"/>
      <c r="E82" s="20"/>
      <c r="F82" s="20"/>
    </row>
    <row r="83" spans="1:6" x14ac:dyDescent="0.3">
      <c r="A83" s="20"/>
      <c r="B83" s="20"/>
      <c r="C83" s="20"/>
      <c r="D83" s="20"/>
      <c r="E83" s="20"/>
      <c r="F83" s="20"/>
    </row>
    <row r="84" spans="1:6" x14ac:dyDescent="0.3">
      <c r="A84" s="20"/>
      <c r="B84" s="20"/>
      <c r="C84" s="20"/>
      <c r="D84" s="20"/>
      <c r="E84" s="20"/>
      <c r="F84" s="20"/>
    </row>
    <row r="85" spans="1:6" x14ac:dyDescent="0.3">
      <c r="A85" s="20"/>
      <c r="B85" s="20"/>
      <c r="C85" s="20"/>
      <c r="D85" s="20"/>
      <c r="E85" s="20"/>
      <c r="F85" s="20"/>
    </row>
  </sheetData>
  <sortState xmlns:xlrd2="http://schemas.microsoft.com/office/spreadsheetml/2017/richdata2" ref="A57:D80">
    <sortCondition descending="1" ref="D57:D80"/>
  </sortState>
  <mergeCells count="7">
    <mergeCell ref="A81:F85"/>
    <mergeCell ref="A54:F55"/>
    <mergeCell ref="A35:F35"/>
    <mergeCell ref="C36:F38"/>
    <mergeCell ref="A40:F41"/>
    <mergeCell ref="D42:F46"/>
    <mergeCell ref="D48:F52"/>
  </mergeCells>
  <pageMargins left="0.25" right="0.25" top="0.75" bottom="0.75" header="0.3" footer="0.3"/>
  <pageSetup paperSize="9" scale="5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A93A-204A-41EE-9DF6-2632ED66AE68}">
  <sheetPr>
    <pageSetUpPr fitToPage="1"/>
  </sheetPr>
  <dimension ref="A1:G47"/>
  <sheetViews>
    <sheetView zoomScale="145" zoomScaleNormal="145" workbookViewId="0">
      <selection activeCell="I11" sqref="I11"/>
    </sheetView>
  </sheetViews>
  <sheetFormatPr defaultRowHeight="14.4" x14ac:dyDescent="0.3"/>
  <cols>
    <col min="1" max="1" width="10.44140625" bestFit="1" customWidth="1"/>
    <col min="2" max="2" width="14.44140625" bestFit="1" customWidth="1"/>
  </cols>
  <sheetData>
    <row r="1" spans="1:7" x14ac:dyDescent="0.3">
      <c r="A1" s="18" t="s">
        <v>5</v>
      </c>
      <c r="B1" s="18" t="s">
        <v>386</v>
      </c>
      <c r="C1" s="47" t="s">
        <v>394</v>
      </c>
      <c r="D1" s="48"/>
      <c r="E1" s="48"/>
      <c r="F1" s="48"/>
      <c r="G1" s="48"/>
    </row>
    <row r="2" spans="1:7" x14ac:dyDescent="0.3">
      <c r="A2" s="39" t="s">
        <v>13</v>
      </c>
      <c r="B2" s="39">
        <v>1900513</v>
      </c>
      <c r="C2" s="48"/>
      <c r="D2" s="48"/>
      <c r="E2" s="48"/>
      <c r="F2" s="48"/>
      <c r="G2" s="48"/>
    </row>
    <row r="3" spans="1:7" x14ac:dyDescent="0.3">
      <c r="A3" s="39" t="s">
        <v>31</v>
      </c>
      <c r="B3" s="39">
        <v>1532457</v>
      </c>
      <c r="C3" s="48"/>
      <c r="D3" s="48"/>
      <c r="E3" s="48"/>
      <c r="F3" s="48"/>
      <c r="G3" s="48"/>
    </row>
    <row r="4" spans="1:7" x14ac:dyDescent="0.3">
      <c r="A4" s="39" t="s">
        <v>17</v>
      </c>
      <c r="B4" s="39">
        <v>2218903</v>
      </c>
      <c r="C4" s="48"/>
      <c r="D4" s="48"/>
      <c r="E4" s="48"/>
      <c r="F4" s="48"/>
      <c r="G4" s="48"/>
    </row>
    <row r="5" spans="1:7" x14ac:dyDescent="0.3">
      <c r="A5" s="39" t="s">
        <v>25</v>
      </c>
      <c r="B5" s="39">
        <v>3977080</v>
      </c>
      <c r="C5" s="48"/>
      <c r="D5" s="48"/>
      <c r="E5" s="48"/>
      <c r="F5" s="48"/>
      <c r="G5" s="48"/>
    </row>
    <row r="6" spans="1:7" x14ac:dyDescent="0.3">
      <c r="A6" s="39" t="s">
        <v>22</v>
      </c>
      <c r="B6" s="39">
        <v>2775291</v>
      </c>
      <c r="C6" s="48"/>
      <c r="D6" s="48"/>
      <c r="E6" s="48"/>
      <c r="F6" s="48"/>
      <c r="G6" s="48"/>
    </row>
    <row r="7" spans="1:7" x14ac:dyDescent="0.3">
      <c r="A7" s="39" t="s">
        <v>28</v>
      </c>
      <c r="B7" s="39">
        <v>1373800</v>
      </c>
      <c r="C7" s="48"/>
      <c r="D7" s="48"/>
      <c r="E7" s="48"/>
      <c r="F7" s="48"/>
      <c r="G7" s="48"/>
    </row>
    <row r="25" spans="1:7" x14ac:dyDescent="0.3">
      <c r="A25" s="35" t="s">
        <v>391</v>
      </c>
      <c r="B25" s="35"/>
      <c r="C25" s="35"/>
      <c r="D25" s="35"/>
      <c r="E25" s="35"/>
      <c r="F25" s="35"/>
      <c r="G25" s="35"/>
    </row>
    <row r="26" spans="1:7" x14ac:dyDescent="0.3">
      <c r="A26" s="35"/>
      <c r="B26" s="35"/>
      <c r="C26" s="35"/>
      <c r="D26" s="35"/>
      <c r="E26" s="35"/>
      <c r="F26" s="35"/>
      <c r="G26" s="35"/>
    </row>
    <row r="27" spans="1:7" x14ac:dyDescent="0.3">
      <c r="A27" s="46" t="s">
        <v>392</v>
      </c>
      <c r="B27" s="46"/>
      <c r="C27" s="46"/>
      <c r="D27" s="46"/>
      <c r="E27" s="46"/>
      <c r="F27" s="46"/>
      <c r="G27" s="46"/>
    </row>
    <row r="28" spans="1:7" x14ac:dyDescent="0.3">
      <c r="A28" s="46"/>
      <c r="B28" s="46"/>
      <c r="C28" s="46"/>
      <c r="D28" s="46"/>
      <c r="E28" s="46"/>
      <c r="F28" s="46"/>
      <c r="G28" s="46"/>
    </row>
    <row r="29" spans="1:7" x14ac:dyDescent="0.3">
      <c r="A29" s="46"/>
      <c r="B29" s="46"/>
      <c r="C29" s="46"/>
      <c r="D29" s="46"/>
      <c r="E29" s="46"/>
      <c r="F29" s="46"/>
      <c r="G29" s="46"/>
    </row>
    <row r="30" spans="1:7" x14ac:dyDescent="0.3">
      <c r="A30" s="46"/>
      <c r="B30" s="46"/>
      <c r="C30" s="46"/>
      <c r="D30" s="46"/>
      <c r="E30" s="46"/>
      <c r="F30" s="46"/>
      <c r="G30" s="46"/>
    </row>
    <row r="31" spans="1:7" x14ac:dyDescent="0.3">
      <c r="A31" s="46"/>
      <c r="B31" s="46"/>
      <c r="C31" s="46"/>
      <c r="D31" s="46"/>
      <c r="E31" s="46"/>
      <c r="F31" s="46"/>
      <c r="G31" s="46"/>
    </row>
    <row r="33" spans="1:7" x14ac:dyDescent="0.3">
      <c r="A33" s="35" t="s">
        <v>373</v>
      </c>
      <c r="B33" s="35"/>
      <c r="C33" s="35"/>
      <c r="D33" s="35"/>
      <c r="E33" s="35"/>
      <c r="F33" s="35"/>
      <c r="G33" s="35"/>
    </row>
    <row r="34" spans="1:7" x14ac:dyDescent="0.3">
      <c r="A34" s="35"/>
      <c r="B34" s="35"/>
      <c r="C34" s="35"/>
      <c r="D34" s="35"/>
      <c r="E34" s="35"/>
      <c r="F34" s="35"/>
      <c r="G34" s="35"/>
    </row>
    <row r="35" spans="1:7" ht="14.4" customHeight="1" x14ac:dyDescent="0.3">
      <c r="A35" s="46" t="s">
        <v>393</v>
      </c>
      <c r="B35" s="46"/>
      <c r="C35" s="46"/>
      <c r="D35" s="46"/>
      <c r="E35" s="46"/>
      <c r="F35" s="46"/>
      <c r="G35" s="46"/>
    </row>
    <row r="36" spans="1:7" x14ac:dyDescent="0.3">
      <c r="A36" s="46"/>
      <c r="B36" s="46"/>
      <c r="C36" s="46"/>
      <c r="D36" s="46"/>
      <c r="E36" s="46"/>
      <c r="F36" s="46"/>
      <c r="G36" s="46"/>
    </row>
    <row r="37" spans="1:7" x14ac:dyDescent="0.3">
      <c r="A37" s="46"/>
      <c r="B37" s="46"/>
      <c r="C37" s="46"/>
      <c r="D37" s="46"/>
      <c r="E37" s="46"/>
      <c r="F37" s="46"/>
      <c r="G37" s="46"/>
    </row>
    <row r="38" spans="1:7" x14ac:dyDescent="0.3">
      <c r="A38" s="46"/>
      <c r="B38" s="46"/>
      <c r="C38" s="46"/>
      <c r="D38" s="46"/>
      <c r="E38" s="46"/>
      <c r="F38" s="46"/>
      <c r="G38" s="46"/>
    </row>
    <row r="39" spans="1:7" x14ac:dyDescent="0.3">
      <c r="A39" s="46"/>
      <c r="B39" s="46"/>
      <c r="C39" s="46"/>
      <c r="D39" s="46"/>
      <c r="E39" s="46"/>
      <c r="F39" s="46"/>
      <c r="G39" s="46"/>
    </row>
    <row r="40" spans="1:7" x14ac:dyDescent="0.3">
      <c r="A40" s="46"/>
      <c r="B40" s="46"/>
      <c r="C40" s="46"/>
      <c r="D40" s="46"/>
      <c r="E40" s="46"/>
      <c r="F40" s="46"/>
      <c r="G40" s="46"/>
    </row>
    <row r="41" spans="1:7" x14ac:dyDescent="0.3">
      <c r="A41" s="46"/>
      <c r="B41" s="46"/>
      <c r="C41" s="46"/>
      <c r="D41" s="46"/>
      <c r="E41" s="46"/>
      <c r="F41" s="46"/>
      <c r="G41" s="46"/>
    </row>
    <row r="42" spans="1:7" x14ac:dyDescent="0.3">
      <c r="A42" s="46"/>
      <c r="B42" s="46"/>
      <c r="C42" s="46"/>
      <c r="D42" s="46"/>
      <c r="E42" s="46"/>
      <c r="F42" s="46"/>
      <c r="G42" s="46"/>
    </row>
    <row r="43" spans="1:7" x14ac:dyDescent="0.3">
      <c r="A43" s="46"/>
      <c r="B43" s="46"/>
      <c r="C43" s="46"/>
      <c r="D43" s="46"/>
      <c r="E43" s="46"/>
      <c r="F43" s="46"/>
      <c r="G43" s="46"/>
    </row>
    <row r="44" spans="1:7" x14ac:dyDescent="0.3">
      <c r="A44" s="46"/>
      <c r="B44" s="46"/>
      <c r="C44" s="46"/>
      <c r="D44" s="46"/>
      <c r="E44" s="46"/>
      <c r="F44" s="46"/>
      <c r="G44" s="46"/>
    </row>
    <row r="45" spans="1:7" x14ac:dyDescent="0.3">
      <c r="A45" s="46"/>
      <c r="B45" s="46"/>
      <c r="C45" s="46"/>
      <c r="D45" s="46"/>
      <c r="E45" s="46"/>
      <c r="F45" s="46"/>
      <c r="G45" s="46"/>
    </row>
    <row r="46" spans="1:7" x14ac:dyDescent="0.3">
      <c r="A46" s="46"/>
      <c r="B46" s="46"/>
      <c r="C46" s="46"/>
      <c r="D46" s="46"/>
      <c r="E46" s="46"/>
      <c r="F46" s="46"/>
      <c r="G46" s="46"/>
    </row>
    <row r="47" spans="1:7" x14ac:dyDescent="0.3">
      <c r="A47" s="46"/>
      <c r="B47" s="46"/>
      <c r="C47" s="46"/>
      <c r="D47" s="46"/>
      <c r="E47" s="46"/>
      <c r="F47" s="46"/>
      <c r="G47" s="46"/>
    </row>
  </sheetData>
  <mergeCells count="5">
    <mergeCell ref="C1:G7"/>
    <mergeCell ref="A25:G26"/>
    <mergeCell ref="A27:G31"/>
    <mergeCell ref="A33:G34"/>
    <mergeCell ref="A35:G47"/>
  </mergeCells>
  <pageMargins left="0.25" right="0.25"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zoomScale="130" zoomScaleNormal="130" workbookViewId="0">
      <selection activeCell="C27" sqref="C27"/>
    </sheetView>
  </sheetViews>
  <sheetFormatPr defaultRowHeight="14.4" x14ac:dyDescent="0.3"/>
  <cols>
    <col min="1" max="1" width="20" customWidth="1"/>
    <col min="2" max="2" width="65" customWidth="1"/>
    <col min="3" max="3" width="17.33203125" bestFit="1" customWidth="1"/>
    <col min="4" max="4" width="15.33203125" customWidth="1"/>
    <col min="6" max="6" width="10.109375" bestFit="1" customWidth="1"/>
    <col min="7" max="7" width="12.6640625" customWidth="1"/>
    <col min="8" max="8" width="11.77734375" bestFit="1" customWidth="1"/>
    <col min="9" max="9" width="15.33203125" customWidth="1"/>
  </cols>
  <sheetData>
    <row r="1" spans="1:9" x14ac:dyDescent="0.3">
      <c r="A1" s="1" t="s">
        <v>335</v>
      </c>
      <c r="B1" s="1" t="s">
        <v>336</v>
      </c>
    </row>
    <row r="2" spans="1:9" x14ac:dyDescent="0.3">
      <c r="A2" s="2" t="s">
        <v>0</v>
      </c>
      <c r="B2" s="49" t="s">
        <v>337</v>
      </c>
      <c r="C2" t="s">
        <v>7</v>
      </c>
      <c r="D2" t="s">
        <v>8</v>
      </c>
      <c r="F2" t="s">
        <v>2</v>
      </c>
      <c r="G2" t="s">
        <v>3</v>
      </c>
      <c r="H2" t="s">
        <v>4</v>
      </c>
      <c r="I2" t="s">
        <v>386</v>
      </c>
    </row>
    <row r="3" spans="1:9" x14ac:dyDescent="0.3">
      <c r="A3" s="2" t="s">
        <v>1</v>
      </c>
      <c r="B3" s="49" t="s">
        <v>338</v>
      </c>
      <c r="C3" t="s">
        <v>323</v>
      </c>
      <c r="D3">
        <v>150000</v>
      </c>
      <c r="F3" t="s">
        <v>10</v>
      </c>
      <c r="G3" t="s">
        <v>20</v>
      </c>
      <c r="H3" t="s">
        <v>21</v>
      </c>
      <c r="I3">
        <v>613550</v>
      </c>
    </row>
    <row r="4" spans="1:9" x14ac:dyDescent="0.3">
      <c r="A4" s="2" t="s">
        <v>2</v>
      </c>
      <c r="B4" s="49" t="s">
        <v>339</v>
      </c>
      <c r="C4" t="s">
        <v>14</v>
      </c>
      <c r="D4">
        <v>65000</v>
      </c>
      <c r="H4" t="s">
        <v>52</v>
      </c>
      <c r="I4">
        <v>603482</v>
      </c>
    </row>
    <row r="5" spans="1:9" x14ac:dyDescent="0.3">
      <c r="A5" s="2" t="s">
        <v>3</v>
      </c>
      <c r="B5" s="49" t="s">
        <v>340</v>
      </c>
      <c r="C5" t="s">
        <v>326</v>
      </c>
      <c r="D5">
        <v>25000</v>
      </c>
      <c r="H5" t="s">
        <v>30</v>
      </c>
      <c r="I5">
        <v>600277</v>
      </c>
    </row>
    <row r="6" spans="1:9" x14ac:dyDescent="0.3">
      <c r="A6" s="2" t="s">
        <v>4</v>
      </c>
      <c r="B6" s="49" t="s">
        <v>341</v>
      </c>
      <c r="C6" t="s">
        <v>328</v>
      </c>
      <c r="D6">
        <v>-45000</v>
      </c>
      <c r="G6" t="s">
        <v>33</v>
      </c>
      <c r="H6" t="s">
        <v>36</v>
      </c>
      <c r="I6">
        <v>484543</v>
      </c>
    </row>
    <row r="7" spans="1:9" x14ac:dyDescent="0.3">
      <c r="A7" s="2" t="s">
        <v>5</v>
      </c>
      <c r="B7" s="49" t="s">
        <v>342</v>
      </c>
      <c r="C7" t="s">
        <v>330</v>
      </c>
      <c r="D7">
        <v>-30000</v>
      </c>
      <c r="H7" t="s">
        <v>44</v>
      </c>
      <c r="I7">
        <v>587384</v>
      </c>
    </row>
    <row r="8" spans="1:9" x14ac:dyDescent="0.3">
      <c r="A8" s="2" t="s">
        <v>6</v>
      </c>
      <c r="B8" s="49" t="s">
        <v>343</v>
      </c>
      <c r="C8" t="s">
        <v>332</v>
      </c>
      <c r="D8">
        <v>-20000</v>
      </c>
      <c r="H8" t="s">
        <v>34</v>
      </c>
      <c r="I8">
        <v>700187</v>
      </c>
    </row>
    <row r="9" spans="1:9" x14ac:dyDescent="0.3">
      <c r="A9" s="2" t="s">
        <v>7</v>
      </c>
      <c r="B9" s="49" t="s">
        <v>344</v>
      </c>
      <c r="C9" t="s">
        <v>334</v>
      </c>
      <c r="D9">
        <v>145000</v>
      </c>
      <c r="G9" t="s">
        <v>11</v>
      </c>
      <c r="H9" t="s">
        <v>27</v>
      </c>
      <c r="I9">
        <v>624595</v>
      </c>
    </row>
    <row r="10" spans="1:9" x14ac:dyDescent="0.3">
      <c r="A10" s="2" t="s">
        <v>8</v>
      </c>
      <c r="B10" s="2" t="s">
        <v>345</v>
      </c>
      <c r="H10" t="s">
        <v>12</v>
      </c>
      <c r="I10">
        <v>473005</v>
      </c>
    </row>
    <row r="11" spans="1:9" x14ac:dyDescent="0.3">
      <c r="C11" t="s">
        <v>5</v>
      </c>
      <c r="D11" t="s">
        <v>386</v>
      </c>
      <c r="H11" t="s">
        <v>16</v>
      </c>
      <c r="I11">
        <v>634013</v>
      </c>
    </row>
    <row r="12" spans="1:9" x14ac:dyDescent="0.3">
      <c r="C12" t="s">
        <v>13</v>
      </c>
      <c r="D12">
        <v>1900513</v>
      </c>
      <c r="G12" t="s">
        <v>14</v>
      </c>
      <c r="H12" t="s">
        <v>24</v>
      </c>
      <c r="I12">
        <v>749825</v>
      </c>
    </row>
    <row r="13" spans="1:9" x14ac:dyDescent="0.3">
      <c r="C13" t="s">
        <v>31</v>
      </c>
      <c r="D13">
        <v>1532457</v>
      </c>
      <c r="H13" t="s">
        <v>40</v>
      </c>
      <c r="I13">
        <v>621913</v>
      </c>
    </row>
    <row r="14" spans="1:9" x14ac:dyDescent="0.3">
      <c r="C14" t="s">
        <v>17</v>
      </c>
      <c r="D14">
        <v>2218903</v>
      </c>
      <c r="H14" t="s">
        <v>47</v>
      </c>
      <c r="I14">
        <v>666254</v>
      </c>
    </row>
    <row r="15" spans="1:9" x14ac:dyDescent="0.3">
      <c r="C15" t="s">
        <v>25</v>
      </c>
      <c r="D15">
        <v>3977080</v>
      </c>
      <c r="F15" t="s">
        <v>19</v>
      </c>
      <c r="G15" t="s">
        <v>20</v>
      </c>
      <c r="H15" t="s">
        <v>21</v>
      </c>
      <c r="I15">
        <v>464633</v>
      </c>
    </row>
    <row r="16" spans="1:9" x14ac:dyDescent="0.3">
      <c r="C16" t="s">
        <v>22</v>
      </c>
      <c r="D16">
        <v>2775291</v>
      </c>
      <c r="H16" t="s">
        <v>52</v>
      </c>
      <c r="I16">
        <v>410982</v>
      </c>
    </row>
    <row r="17" spans="1:9" x14ac:dyDescent="0.3">
      <c r="C17" t="s">
        <v>28</v>
      </c>
      <c r="D17">
        <v>1373800</v>
      </c>
      <c r="H17" t="s">
        <v>30</v>
      </c>
      <c r="I17">
        <v>461601</v>
      </c>
    </row>
    <row r="18" spans="1:9" x14ac:dyDescent="0.3">
      <c r="G18" t="s">
        <v>33</v>
      </c>
      <c r="H18" t="s">
        <v>36</v>
      </c>
      <c r="I18">
        <v>588999</v>
      </c>
    </row>
    <row r="19" spans="1:9" x14ac:dyDescent="0.3">
      <c r="H19" t="s">
        <v>44</v>
      </c>
      <c r="I19">
        <v>700841</v>
      </c>
    </row>
    <row r="20" spans="1:9" x14ac:dyDescent="0.3">
      <c r="H20" t="s">
        <v>34</v>
      </c>
      <c r="I20">
        <v>472073</v>
      </c>
    </row>
    <row r="21" spans="1:9" x14ac:dyDescent="0.3">
      <c r="A21" t="s">
        <v>395</v>
      </c>
      <c r="B21" s="50">
        <v>13488044</v>
      </c>
      <c r="G21" t="s">
        <v>11</v>
      </c>
      <c r="H21" t="s">
        <v>27</v>
      </c>
      <c r="I21">
        <v>544933</v>
      </c>
    </row>
    <row r="22" spans="1:9" x14ac:dyDescent="0.3">
      <c r="A22" t="s">
        <v>396</v>
      </c>
      <c r="B22">
        <f>COUNTA(_xlfn.UNIQUE(Table6[Company]))-1</f>
        <v>2</v>
      </c>
      <c r="H22" t="s">
        <v>12</v>
      </c>
      <c r="I22">
        <v>512078</v>
      </c>
    </row>
    <row r="23" spans="1:9" x14ac:dyDescent="0.3">
      <c r="A23" t="s">
        <v>397</v>
      </c>
      <c r="B23">
        <f>COUNTA(_xlfn.UNIQUE(Table6[Department]))-1</f>
        <v>4</v>
      </c>
      <c r="H23" t="s">
        <v>16</v>
      </c>
      <c r="I23">
        <v>520429</v>
      </c>
    </row>
    <row r="24" spans="1:9" x14ac:dyDescent="0.3">
      <c r="A24" t="s">
        <v>398</v>
      </c>
      <c r="B24">
        <f>COUNTA(_xlfn.UNIQUE(Table5[Category]))</f>
        <v>6</v>
      </c>
      <c r="G24" t="s">
        <v>14</v>
      </c>
      <c r="H24" t="s">
        <v>24</v>
      </c>
      <c r="I24">
        <v>490757</v>
      </c>
    </row>
    <row r="25" spans="1:9" x14ac:dyDescent="0.3">
      <c r="H25" t="s">
        <v>40</v>
      </c>
      <c r="I25">
        <v>576081</v>
      </c>
    </row>
    <row r="26" spans="1:9" x14ac:dyDescent="0.3">
      <c r="H26" t="s">
        <v>47</v>
      </c>
      <c r="I26">
        <v>675609</v>
      </c>
    </row>
  </sheetData>
  <pageMargins left="0.75" right="0.75" top="1" bottom="1" header="0.5" footer="0.5"/>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19" zoomScale="115" zoomScaleNormal="115" workbookViewId="0">
      <selection activeCell="B28" sqref="B28"/>
    </sheetView>
  </sheetViews>
  <sheetFormatPr defaultRowHeight="14.4" x14ac:dyDescent="0.3"/>
  <cols>
    <col min="1" max="1" width="22" customWidth="1"/>
    <col min="2" max="2" width="115" customWidth="1"/>
  </cols>
  <sheetData>
    <row r="1" spans="1:2" ht="28.05" customHeight="1" x14ac:dyDescent="0.4">
      <c r="A1" s="37" t="s">
        <v>346</v>
      </c>
      <c r="B1" s="38"/>
    </row>
    <row r="2" spans="1:2" ht="34.049999999999997" customHeight="1" x14ac:dyDescent="0.3">
      <c r="A2" s="3" t="s">
        <v>347</v>
      </c>
      <c r="B2" s="4" t="s">
        <v>348</v>
      </c>
    </row>
    <row r="3" spans="1:2" ht="34.049999999999997" customHeight="1" x14ac:dyDescent="0.3">
      <c r="A3" s="3" t="s">
        <v>349</v>
      </c>
      <c r="B3" s="4" t="s">
        <v>350</v>
      </c>
    </row>
    <row r="4" spans="1:2" ht="34.049999999999997" customHeight="1" x14ac:dyDescent="0.3">
      <c r="A4" s="3" t="s">
        <v>351</v>
      </c>
      <c r="B4" s="4" t="s">
        <v>352</v>
      </c>
    </row>
    <row r="5" spans="1:2" ht="34.049999999999997" customHeight="1" x14ac:dyDescent="0.3">
      <c r="A5" s="3"/>
      <c r="B5" s="4"/>
    </row>
    <row r="6" spans="1:2" ht="34.049999999999997" customHeight="1" x14ac:dyDescent="0.3">
      <c r="A6" s="5" t="s">
        <v>353</v>
      </c>
      <c r="B6" s="5"/>
    </row>
    <row r="7" spans="1:2" ht="34.049999999999997" customHeight="1" x14ac:dyDescent="0.3">
      <c r="A7" s="3" t="s">
        <v>354</v>
      </c>
      <c r="B7" s="4" t="s">
        <v>355</v>
      </c>
    </row>
    <row r="8" spans="1:2" ht="34.049999999999997" customHeight="1" x14ac:dyDescent="0.3">
      <c r="A8" s="3" t="s">
        <v>356</v>
      </c>
      <c r="B8" s="4" t="s">
        <v>357</v>
      </c>
    </row>
    <row r="9" spans="1:2" ht="34.049999999999997" customHeight="1" x14ac:dyDescent="0.3">
      <c r="A9" s="3" t="s">
        <v>358</v>
      </c>
      <c r="B9" s="4" t="s">
        <v>359</v>
      </c>
    </row>
    <row r="10" spans="1:2" ht="34.049999999999997" customHeight="1" x14ac:dyDescent="0.3">
      <c r="A10" s="3" t="s">
        <v>360</v>
      </c>
      <c r="B10" s="4" t="s">
        <v>361</v>
      </c>
    </row>
    <row r="11" spans="1:2" ht="34.049999999999997" customHeight="1" x14ac:dyDescent="0.3">
      <c r="A11" s="3" t="s">
        <v>362</v>
      </c>
      <c r="B11" s="4" t="s">
        <v>363</v>
      </c>
    </row>
    <row r="12" spans="1:2" ht="34.049999999999997" customHeight="1" x14ac:dyDescent="0.3">
      <c r="A12" s="3"/>
      <c r="B12" s="4"/>
    </row>
    <row r="13" spans="1:2" ht="34.049999999999997" customHeight="1" x14ac:dyDescent="0.3">
      <c r="A13" s="5" t="s">
        <v>364</v>
      </c>
      <c r="B13" s="5"/>
    </row>
    <row r="14" spans="1:2" ht="34.049999999999997" customHeight="1" x14ac:dyDescent="0.3">
      <c r="A14" s="3" t="s">
        <v>354</v>
      </c>
      <c r="B14" s="4" t="s">
        <v>365</v>
      </c>
    </row>
    <row r="15" spans="1:2" ht="34.049999999999997" customHeight="1" x14ac:dyDescent="0.3">
      <c r="A15" s="3" t="s">
        <v>356</v>
      </c>
      <c r="B15" s="4" t="s">
        <v>366</v>
      </c>
    </row>
    <row r="16" spans="1:2" ht="34.049999999999997" customHeight="1" x14ac:dyDescent="0.3">
      <c r="A16" s="3" t="s">
        <v>358</v>
      </c>
      <c r="B16" s="4" t="s">
        <v>367</v>
      </c>
    </row>
    <row r="17" spans="1:2" ht="34.049999999999997" customHeight="1" x14ac:dyDescent="0.3">
      <c r="A17" s="3" t="s">
        <v>360</v>
      </c>
      <c r="B17" s="4" t="s">
        <v>368</v>
      </c>
    </row>
    <row r="18" spans="1:2" ht="34.049999999999997" customHeight="1" x14ac:dyDescent="0.3">
      <c r="A18" s="3" t="s">
        <v>362</v>
      </c>
      <c r="B18" s="4" t="s">
        <v>369</v>
      </c>
    </row>
    <row r="19" spans="1:2" ht="34.049999999999997" customHeight="1" x14ac:dyDescent="0.3">
      <c r="A19" s="3"/>
      <c r="B19" s="4"/>
    </row>
    <row r="20" spans="1:2" ht="34.049999999999997" customHeight="1" x14ac:dyDescent="0.3">
      <c r="A20" s="5" t="s">
        <v>370</v>
      </c>
      <c r="B20" s="5"/>
    </row>
    <row r="21" spans="1:2" ht="34.049999999999997" customHeight="1" x14ac:dyDescent="0.3">
      <c r="A21" s="3" t="s">
        <v>354</v>
      </c>
      <c r="B21" s="4" t="s">
        <v>371</v>
      </c>
    </row>
    <row r="22" spans="1:2" ht="34.049999999999997" customHeight="1" x14ac:dyDescent="0.3">
      <c r="A22" s="3" t="s">
        <v>356</v>
      </c>
      <c r="B22" s="4" t="s">
        <v>372</v>
      </c>
    </row>
    <row r="23" spans="1:2" ht="34.049999999999997" customHeight="1" x14ac:dyDescent="0.3">
      <c r="A23" s="3" t="s">
        <v>358</v>
      </c>
      <c r="B23" s="4" t="s">
        <v>373</v>
      </c>
    </row>
    <row r="24" spans="1:2" ht="34.049999999999997" customHeight="1" x14ac:dyDescent="0.3">
      <c r="A24" s="3" t="s">
        <v>360</v>
      </c>
      <c r="B24" s="4" t="s">
        <v>374</v>
      </c>
    </row>
    <row r="25" spans="1:2" ht="34.049999999999997" customHeight="1" x14ac:dyDescent="0.3">
      <c r="A25" s="3" t="s">
        <v>362</v>
      </c>
      <c r="B25" s="4" t="s">
        <v>375</v>
      </c>
    </row>
    <row r="26" spans="1:2" ht="34.049999999999997" customHeight="1" x14ac:dyDescent="0.3">
      <c r="A26" s="3"/>
      <c r="B26" s="4"/>
    </row>
    <row r="27" spans="1:2" ht="34.049999999999997" customHeight="1" x14ac:dyDescent="0.3">
      <c r="A27" s="3" t="s">
        <v>376</v>
      </c>
      <c r="B27" s="4"/>
    </row>
    <row r="28" spans="1:2" ht="34.049999999999997" customHeight="1" x14ac:dyDescent="0.3">
      <c r="A28" s="3"/>
      <c r="B28" s="4" t="s">
        <v>377</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2A1D-F3E1-4516-A36B-F4A2EDC6CD35}">
  <sheetPr>
    <pageSetUpPr fitToPage="1"/>
  </sheetPr>
  <dimension ref="A1"/>
  <sheetViews>
    <sheetView zoomScale="40" zoomScaleNormal="40" workbookViewId="0">
      <selection activeCell="V91" sqref="A1:V91"/>
    </sheetView>
  </sheetViews>
  <sheetFormatPr defaultRowHeight="14.4" x14ac:dyDescent="0.3"/>
  <cols>
    <col min="1" max="1" width="10.5546875" customWidth="1"/>
    <col min="2" max="2" width="7.88671875" bestFit="1" customWidth="1"/>
    <col min="4" max="4" width="10.44140625" bestFit="1" customWidth="1"/>
    <col min="5" max="5" width="11.33203125" bestFit="1" customWidth="1"/>
    <col min="6" max="6" width="8.77734375" customWidth="1"/>
    <col min="7" max="7" width="14.44140625" bestFit="1" customWidth="1"/>
  </cols>
  <sheetData/>
  <pageMargins left="0.25" right="0.25" top="0.75" bottom="0.75" header="0.3" footer="0.3"/>
  <pageSetup paperSize="9"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Raw-Data</vt:lpstr>
      <vt:lpstr>Waterfall-Chart</vt:lpstr>
      <vt:lpstr>SunBurst-Chart</vt:lpstr>
      <vt:lpstr>Treemap-Chart</vt:lpstr>
      <vt:lpstr>Data_Dictionary</vt:lpstr>
      <vt:lpstr>Practice_Questions</vt:lpstr>
      <vt:lpstr>Final-Mini-Challenge</vt:lpstr>
      <vt:lpstr>'Final-Mini-Challenge'!Print_Area</vt:lpstr>
      <vt:lpstr>'Waterfall-Chart'!Print_Area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Souptik Bej</cp:lastModifiedBy>
  <cp:lastPrinted>2026-08-13T18:47:47Z</cp:lastPrinted>
  <dcterms:created xsi:type="dcterms:W3CDTF">2026-08-11T08:34:40Z</dcterms:created>
  <dcterms:modified xsi:type="dcterms:W3CDTF">2026-08-13T18:48:04Z</dcterms:modified>
</cp:coreProperties>
</file>