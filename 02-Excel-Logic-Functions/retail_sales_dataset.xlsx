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BC9A2C5B-C1DC-4F20-A692-B92DBB7FC012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Raw_Data" sheetId="1" r:id="rId1"/>
    <sheet name="IF_Function" sheetId="2" r:id="rId2"/>
    <sheet name="AND_OR_NOT" sheetId="3" r:id="rId3"/>
    <sheet name="Nested_IF_IFS" sheetId="4" r:id="rId4"/>
    <sheet name="SWITCH" sheetId="5" r:id="rId5"/>
    <sheet name="Challenge Problems" sheetId="6" r:id="rId6"/>
  </sheets>
  <definedNames>
    <definedName name="_xlnm.Print_Area" localSheetId="1">Table1[#All]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3" i="6" l="1" a="1"/>
  <c r="Z3" i="6" s="1"/>
  <c r="Z4" i="6" a="1"/>
  <c r="Z4" i="6" s="1"/>
  <c r="Z5" i="6" a="1"/>
  <c r="Z5" i="6"/>
  <c r="Z6" i="6" a="1"/>
  <c r="Z6" i="6" s="1"/>
  <c r="Z7" i="6" a="1"/>
  <c r="Z7" i="6"/>
  <c r="Z8" i="6" a="1"/>
  <c r="Z8" i="6" s="1"/>
  <c r="Z9" i="6" a="1"/>
  <c r="Z9" i="6" s="1"/>
  <c r="Z10" i="6" a="1"/>
  <c r="Z10" i="6"/>
  <c r="Z11" i="6" a="1"/>
  <c r="Z11" i="6" s="1"/>
  <c r="Z12" i="6" a="1"/>
  <c r="Z12" i="6" s="1"/>
  <c r="Z13" i="6" a="1"/>
  <c r="Z13" i="6"/>
  <c r="Z14" i="6" a="1"/>
  <c r="Z14" i="6" s="1"/>
  <c r="Z15" i="6" a="1"/>
  <c r="Z15" i="6"/>
  <c r="Z16" i="6" a="1"/>
  <c r="Z16" i="6" s="1"/>
  <c r="Z17" i="6" a="1"/>
  <c r="Z17" i="6"/>
  <c r="Z18" i="6" a="1"/>
  <c r="Z18" i="6"/>
  <c r="Z19" i="6" a="1"/>
  <c r="Z19" i="6" s="1"/>
  <c r="Z20" i="6" a="1"/>
  <c r="Z20" i="6" s="1"/>
  <c r="Z21" i="6" a="1"/>
  <c r="Z21" i="6"/>
  <c r="Z22" i="6" a="1"/>
  <c r="Z22" i="6" s="1"/>
  <c r="Z23" i="6" a="1"/>
  <c r="Z23" i="6"/>
  <c r="Z24" i="6" a="1"/>
  <c r="Z24" i="6" s="1"/>
  <c r="Z25" i="6" a="1"/>
  <c r="Z25" i="6"/>
  <c r="Z26" i="6" a="1"/>
  <c r="Z26" i="6"/>
  <c r="Z27" i="6" a="1"/>
  <c r="Z27" i="6" s="1"/>
  <c r="Z28" i="6" a="1"/>
  <c r="Z28" i="6" s="1"/>
  <c r="Z29" i="6" a="1"/>
  <c r="Z29" i="6"/>
  <c r="Z30" i="6" a="1"/>
  <c r="Z30" i="6" s="1"/>
  <c r="Z31" i="6" a="1"/>
  <c r="Z31" i="6"/>
  <c r="Z32" i="6" a="1"/>
  <c r="Z32" i="6" s="1"/>
  <c r="Z33" i="6" a="1"/>
  <c r="Z33" i="6"/>
  <c r="Z34" i="6" a="1"/>
  <c r="Z34" i="6"/>
  <c r="Z35" i="6" a="1"/>
  <c r="Z35" i="6" s="1"/>
  <c r="Z36" i="6" a="1"/>
  <c r="Z36" i="6" s="1"/>
  <c r="Z37" i="6" a="1"/>
  <c r="Z37" i="6"/>
  <c r="Z38" i="6" a="1"/>
  <c r="Z38" i="6" s="1"/>
  <c r="Z39" i="6" a="1"/>
  <c r="Z39" i="6"/>
  <c r="Z40" i="6" a="1"/>
  <c r="Z40" i="6" s="1"/>
  <c r="Z41" i="6" a="1"/>
  <c r="Z41" i="6"/>
  <c r="Z42" i="6" a="1"/>
  <c r="Z42" i="6"/>
  <c r="Z43" i="6" a="1"/>
  <c r="Z43" i="6" s="1"/>
  <c r="Z44" i="6" a="1"/>
  <c r="Z44" i="6" s="1"/>
  <c r="Z45" i="6" a="1"/>
  <c r="Z45" i="6"/>
  <c r="Z46" i="6" a="1"/>
  <c r="Z46" i="6" s="1"/>
  <c r="Z47" i="6" a="1"/>
  <c r="Z47" i="6"/>
  <c r="Z48" i="6" a="1"/>
  <c r="Z48" i="6" s="1"/>
  <c r="Z49" i="6" a="1"/>
  <c r="Z49" i="6"/>
  <c r="Z50" i="6" a="1"/>
  <c r="Z50" i="6"/>
  <c r="Z51" i="6" a="1"/>
  <c r="Z51" i="6" s="1"/>
  <c r="Z2" i="6" a="1"/>
  <c r="Z2" i="6" s="1"/>
  <c r="Y3" i="6" a="1"/>
  <c r="Y3" i="6" s="1"/>
  <c r="Y4" i="6" a="1"/>
  <c r="Y4" i="6" s="1"/>
  <c r="Y5" i="6" a="1"/>
  <c r="Y5" i="6"/>
  <c r="Y6" i="6" a="1"/>
  <c r="Y6" i="6" s="1"/>
  <c r="Y7" i="6" a="1"/>
  <c r="Y7" i="6"/>
  <c r="Y8" i="6" a="1"/>
  <c r="Y8" i="6" s="1"/>
  <c r="Y9" i="6" a="1"/>
  <c r="Y9" i="6"/>
  <c r="Y10" i="6" a="1"/>
  <c r="Y10" i="6"/>
  <c r="Y11" i="6" a="1"/>
  <c r="Y11" i="6" s="1"/>
  <c r="Y12" i="6" a="1"/>
  <c r="Y12" i="6" s="1"/>
  <c r="Y13" i="6" a="1"/>
  <c r="Y13" i="6"/>
  <c r="Y14" i="6" a="1"/>
  <c r="Y14" i="6" s="1"/>
  <c r="Y15" i="6" a="1"/>
  <c r="Y15" i="6"/>
  <c r="Y16" i="6" a="1"/>
  <c r="Y16" i="6" s="1"/>
  <c r="Y17" i="6" a="1"/>
  <c r="Y17" i="6"/>
  <c r="Y18" i="6" a="1"/>
  <c r="Y18" i="6"/>
  <c r="Y19" i="6" a="1"/>
  <c r="Y19" i="6" s="1"/>
  <c r="Y20" i="6" a="1"/>
  <c r="Y20" i="6" s="1"/>
  <c r="Y21" i="6" a="1"/>
  <c r="Y21" i="6"/>
  <c r="Y22" i="6" a="1"/>
  <c r="Y22" i="6" s="1"/>
  <c r="Y23" i="6" a="1"/>
  <c r="Y23" i="6"/>
  <c r="Y24" i="6" a="1"/>
  <c r="Y24" i="6" s="1"/>
  <c r="Y25" i="6" a="1"/>
  <c r="Y25" i="6"/>
  <c r="Y26" i="6" a="1"/>
  <c r="Y26" i="6" s="1"/>
  <c r="Y27" i="6" a="1"/>
  <c r="Y27" i="6" s="1"/>
  <c r="Y28" i="6" a="1"/>
  <c r="Y28" i="6" s="1"/>
  <c r="Y29" i="6" a="1"/>
  <c r="Y29" i="6"/>
  <c r="Y30" i="6" a="1"/>
  <c r="Y30" i="6" s="1"/>
  <c r="Y31" i="6" a="1"/>
  <c r="Y31" i="6"/>
  <c r="Y32" i="6" a="1"/>
  <c r="Y32" i="6" s="1"/>
  <c r="Y33" i="6" a="1"/>
  <c r="Y33" i="6"/>
  <c r="Y34" i="6" a="1"/>
  <c r="Y34" i="6"/>
  <c r="Y35" i="6" a="1"/>
  <c r="Y35" i="6" s="1"/>
  <c r="Y36" i="6" a="1"/>
  <c r="Y36" i="6" s="1"/>
  <c r="Y37" i="6" a="1"/>
  <c r="Y37" i="6"/>
  <c r="Y38" i="6" a="1"/>
  <c r="Y38" i="6" s="1"/>
  <c r="Y39" i="6" a="1"/>
  <c r="Y39" i="6"/>
  <c r="Y40" i="6" a="1"/>
  <c r="Y40" i="6" s="1"/>
  <c r="Y41" i="6" a="1"/>
  <c r="Y41" i="6"/>
  <c r="Y42" i="6" a="1"/>
  <c r="Y42" i="6"/>
  <c r="Y43" i="6" a="1"/>
  <c r="Y43" i="6" s="1"/>
  <c r="Y44" i="6" a="1"/>
  <c r="Y44" i="6" s="1"/>
  <c r="Y45" i="6" a="1"/>
  <c r="Y45" i="6"/>
  <c r="Y46" i="6" a="1"/>
  <c r="Y46" i="6" s="1"/>
  <c r="Y47" i="6" a="1"/>
  <c r="Y47" i="6"/>
  <c r="Y48" i="6" a="1"/>
  <c r="Y48" i="6" s="1"/>
  <c r="Y49" i="6" a="1"/>
  <c r="Y49" i="6"/>
  <c r="Y50" i="6" a="1"/>
  <c r="Y50" i="6"/>
  <c r="Y51" i="6" a="1"/>
  <c r="Y51" i="6" s="1"/>
  <c r="Y2" i="6" a="1"/>
  <c r="Y2" i="6" s="1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2" i="6"/>
  <c r="X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W2" i="6" a="1"/>
  <c r="W2" i="6" s="1"/>
  <c r="W3" i="6" a="1"/>
  <c r="W3" i="6" s="1"/>
  <c r="W4" i="6" a="1"/>
  <c r="W4" i="6"/>
  <c r="W5" i="6" a="1"/>
  <c r="W5" i="6" s="1"/>
  <c r="W6" i="6" a="1"/>
  <c r="W6" i="6" s="1"/>
  <c r="W7" i="6" a="1"/>
  <c r="W7" i="6" s="1"/>
  <c r="W8" i="6" a="1"/>
  <c r="W8" i="6" s="1"/>
  <c r="W9" i="6" a="1"/>
  <c r="W9" i="6" s="1"/>
  <c r="W10" i="6" a="1"/>
  <c r="W10" i="6"/>
  <c r="W11" i="6" a="1"/>
  <c r="W11" i="6" s="1"/>
  <c r="W12" i="6" a="1"/>
  <c r="W12" i="6"/>
  <c r="W13" i="6" a="1"/>
  <c r="W13" i="6" s="1"/>
  <c r="W14" i="6" a="1"/>
  <c r="W14" i="6" s="1"/>
  <c r="W15" i="6" a="1"/>
  <c r="W15" i="6" s="1"/>
  <c r="W16" i="6" a="1"/>
  <c r="W16" i="6" s="1"/>
  <c r="W17" i="6" a="1"/>
  <c r="W17" i="6" s="1"/>
  <c r="W18" i="6" a="1"/>
  <c r="W18" i="6" s="1"/>
  <c r="W19" i="6" a="1"/>
  <c r="W19" i="6" s="1"/>
  <c r="W20" i="6" a="1"/>
  <c r="W20" i="6"/>
  <c r="W21" i="6" a="1"/>
  <c r="W21" i="6" s="1"/>
  <c r="W22" i="6" a="1"/>
  <c r="W22" i="6" s="1"/>
  <c r="W23" i="6" a="1"/>
  <c r="W23" i="6" s="1"/>
  <c r="W24" i="6" a="1"/>
  <c r="W24" i="6" s="1"/>
  <c r="W25" i="6" a="1"/>
  <c r="W25" i="6" s="1"/>
  <c r="W26" i="6" a="1"/>
  <c r="W26" i="6"/>
  <c r="W27" i="6" a="1"/>
  <c r="W27" i="6" s="1"/>
  <c r="W28" i="6" a="1"/>
  <c r="W28" i="6" s="1"/>
  <c r="W29" i="6" a="1"/>
  <c r="W29" i="6"/>
  <c r="W30" i="6" a="1"/>
  <c r="W30" i="6" s="1"/>
  <c r="W31" i="6" a="1"/>
  <c r="W31" i="6" s="1"/>
  <c r="W32" i="6" a="1"/>
  <c r="W32" i="6" s="1"/>
  <c r="W33" i="6" a="1"/>
  <c r="W33" i="6" s="1"/>
  <c r="W34" i="6" a="1"/>
  <c r="W34" i="6"/>
  <c r="W35" i="6" a="1"/>
  <c r="W35" i="6" s="1"/>
  <c r="W36" i="6" a="1"/>
  <c r="W36" i="6"/>
  <c r="W37" i="6" a="1"/>
  <c r="W37" i="6"/>
  <c r="W38" i="6" a="1"/>
  <c r="W38" i="6" s="1"/>
  <c r="W39" i="6" a="1"/>
  <c r="W39" i="6"/>
  <c r="W40" i="6" a="1"/>
  <c r="W40" i="6" s="1"/>
  <c r="W41" i="6" a="1"/>
  <c r="W41" i="6" s="1"/>
  <c r="W42" i="6" a="1"/>
  <c r="W42" i="6"/>
  <c r="W43" i="6" a="1"/>
  <c r="W43" i="6" s="1"/>
  <c r="W44" i="6" a="1"/>
  <c r="W44" i="6"/>
  <c r="W45" i="6" a="1"/>
  <c r="W45" i="6" s="1"/>
  <c r="W46" i="6" a="1"/>
  <c r="W46" i="6" s="1"/>
  <c r="W47" i="6" a="1"/>
  <c r="W47" i="6" s="1"/>
  <c r="W48" i="6" a="1"/>
  <c r="W48" i="6" s="1"/>
  <c r="W49" i="6" a="1"/>
  <c r="W49" i="6"/>
  <c r="W50" i="6" a="1"/>
  <c r="W50" i="6"/>
  <c r="W51" i="6" a="1"/>
  <c r="W51" i="6" s="1"/>
  <c r="V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Z3" i="5" a="1"/>
  <c r="Z3" i="5" s="1"/>
  <c r="Z4" i="5" a="1"/>
  <c r="Z4" i="5"/>
  <c r="Z5" i="5" a="1"/>
  <c r="Z5" i="5"/>
  <c r="Z6" i="5" a="1"/>
  <c r="Z6" i="5"/>
  <c r="Z7" i="5" a="1"/>
  <c r="Z7" i="5" s="1"/>
  <c r="Z8" i="5" a="1"/>
  <c r="Z8" i="5"/>
  <c r="Z9" i="5" a="1"/>
  <c r="Z9" i="5"/>
  <c r="Z10" i="5" a="1"/>
  <c r="Z10" i="5"/>
  <c r="Z11" i="5" a="1"/>
  <c r="Z11" i="5" s="1"/>
  <c r="Z12" i="5" a="1"/>
  <c r="Z12" i="5"/>
  <c r="Z13" i="5" a="1"/>
  <c r="Z13" i="5"/>
  <c r="Z14" i="5" a="1"/>
  <c r="Z14" i="5"/>
  <c r="Z15" i="5" a="1"/>
  <c r="Z15" i="5" s="1"/>
  <c r="Z16" i="5" a="1"/>
  <c r="Z16" i="5"/>
  <c r="Z17" i="5" a="1"/>
  <c r="Z17" i="5"/>
  <c r="Z18" i="5" a="1"/>
  <c r="Z18" i="5"/>
  <c r="Z19" i="5" a="1"/>
  <c r="Z19" i="5" s="1"/>
  <c r="Z20" i="5" a="1"/>
  <c r="Z20" i="5"/>
  <c r="Z21" i="5" a="1"/>
  <c r="Z21" i="5" s="1"/>
  <c r="Z22" i="5" a="1"/>
  <c r="Z22" i="5"/>
  <c r="Z23" i="5" a="1"/>
  <c r="Z23" i="5" s="1"/>
  <c r="Z24" i="5" a="1"/>
  <c r="Z24" i="5"/>
  <c r="Z25" i="5" a="1"/>
  <c r="Z25" i="5"/>
  <c r="Z26" i="5" a="1"/>
  <c r="Z26" i="5"/>
  <c r="Z27" i="5" a="1"/>
  <c r="Z27" i="5" s="1"/>
  <c r="Z28" i="5" a="1"/>
  <c r="Z28" i="5"/>
  <c r="Z29" i="5" a="1"/>
  <c r="Z29" i="5"/>
  <c r="Z30" i="5" a="1"/>
  <c r="Z30" i="5"/>
  <c r="Z31" i="5" a="1"/>
  <c r="Z31" i="5" s="1"/>
  <c r="Z32" i="5" a="1"/>
  <c r="Z32" i="5"/>
  <c r="Z33" i="5" a="1"/>
  <c r="Z33" i="5"/>
  <c r="Z34" i="5" a="1"/>
  <c r="Z34" i="5"/>
  <c r="Z35" i="5" a="1"/>
  <c r="Z35" i="5" s="1"/>
  <c r="Z36" i="5" a="1"/>
  <c r="Z36" i="5"/>
  <c r="Z37" i="5" a="1"/>
  <c r="Z37" i="5"/>
  <c r="Z38" i="5" a="1"/>
  <c r="Z38" i="5"/>
  <c r="Z39" i="5" a="1"/>
  <c r="Z39" i="5" s="1"/>
  <c r="Z40" i="5" a="1"/>
  <c r="Z40" i="5"/>
  <c r="Z41" i="5" a="1"/>
  <c r="Z41" i="5"/>
  <c r="Z42" i="5" a="1"/>
  <c r="Z42" i="5"/>
  <c r="Z43" i="5" a="1"/>
  <c r="Z43" i="5" s="1"/>
  <c r="Z44" i="5" a="1"/>
  <c r="Z44" i="5"/>
  <c r="Z45" i="5" a="1"/>
  <c r="Z45" i="5"/>
  <c r="Z46" i="5" a="1"/>
  <c r="Z46" i="5"/>
  <c r="Z47" i="5" a="1"/>
  <c r="Z47" i="5" s="1"/>
  <c r="Z48" i="5" a="1"/>
  <c r="Z48" i="5" s="1"/>
  <c r="Z49" i="5" a="1"/>
  <c r="Z49" i="5"/>
  <c r="Z50" i="5" a="1"/>
  <c r="Z50" i="5"/>
  <c r="Z51" i="5" a="1"/>
  <c r="Z51" i="5" s="1"/>
  <c r="Z2" i="5" a="1"/>
  <c r="Z2" i="5"/>
  <c r="U3" i="5" a="1"/>
  <c r="U3" i="5" s="1"/>
  <c r="U4" i="5" a="1"/>
  <c r="U4" i="5" s="1"/>
  <c r="U5" i="5" a="1"/>
  <c r="U5" i="5"/>
  <c r="U6" i="5" a="1"/>
  <c r="U6" i="5"/>
  <c r="U7" i="5" a="1"/>
  <c r="U7" i="5"/>
  <c r="U8" i="5" a="1"/>
  <c r="U8" i="5"/>
  <c r="U9" i="5" a="1"/>
  <c r="U9" i="5"/>
  <c r="U10" i="5" a="1"/>
  <c r="U10" i="5"/>
  <c r="U11" i="5" a="1"/>
  <c r="U11" i="5" s="1"/>
  <c r="U12" i="5" a="1"/>
  <c r="U12" i="5" s="1"/>
  <c r="U13" i="5" a="1"/>
  <c r="U13" i="5"/>
  <c r="U14" i="5" a="1"/>
  <c r="U14" i="5"/>
  <c r="U15" i="5" a="1"/>
  <c r="U15" i="5"/>
  <c r="U16" i="5" a="1"/>
  <c r="U16" i="5"/>
  <c r="U17" i="5" a="1"/>
  <c r="U17" i="5"/>
  <c r="U18" i="5" a="1"/>
  <c r="U18" i="5"/>
  <c r="U19" i="5" a="1"/>
  <c r="U19" i="5" s="1"/>
  <c r="U20" i="5" a="1"/>
  <c r="U20" i="5" s="1"/>
  <c r="U21" i="5" a="1"/>
  <c r="U21" i="5"/>
  <c r="U22" i="5" a="1"/>
  <c r="U22" i="5" s="1"/>
  <c r="U23" i="5" a="1"/>
  <c r="U23" i="5"/>
  <c r="U24" i="5" a="1"/>
  <c r="U24" i="5"/>
  <c r="U25" i="5" a="1"/>
  <c r="U25" i="5"/>
  <c r="U26" i="5" a="1"/>
  <c r="U26" i="5"/>
  <c r="U27" i="5" a="1"/>
  <c r="U27" i="5" s="1"/>
  <c r="U28" i="5" a="1"/>
  <c r="U28" i="5" s="1"/>
  <c r="U29" i="5" a="1"/>
  <c r="U29" i="5"/>
  <c r="U30" i="5" a="1"/>
  <c r="U30" i="5"/>
  <c r="U31" i="5" a="1"/>
  <c r="U31" i="5"/>
  <c r="U32" i="5" a="1"/>
  <c r="U32" i="5"/>
  <c r="U33" i="5" a="1"/>
  <c r="U33" i="5"/>
  <c r="U34" i="5" a="1"/>
  <c r="U34" i="5"/>
  <c r="U35" i="5" a="1"/>
  <c r="U35" i="5" s="1"/>
  <c r="U36" i="5" a="1"/>
  <c r="U36" i="5" s="1"/>
  <c r="U37" i="5" a="1"/>
  <c r="U37" i="5"/>
  <c r="U38" i="5" a="1"/>
  <c r="U38" i="5"/>
  <c r="U39" i="5" a="1"/>
  <c r="U39" i="5"/>
  <c r="U40" i="5" a="1"/>
  <c r="U40" i="5"/>
  <c r="U41" i="5" a="1"/>
  <c r="U41" i="5" s="1"/>
  <c r="U42" i="5" a="1"/>
  <c r="U42" i="5" s="1"/>
  <c r="U43" i="5" a="1"/>
  <c r="U43" i="5" s="1"/>
  <c r="U44" i="5" a="1"/>
  <c r="U44" i="5" s="1"/>
  <c r="U45" i="5" a="1"/>
  <c r="U45" i="5"/>
  <c r="U46" i="5" a="1"/>
  <c r="U46" i="5"/>
  <c r="U47" i="5" a="1"/>
  <c r="U47" i="5"/>
  <c r="U48" i="5" a="1"/>
  <c r="U48" i="5"/>
  <c r="U49" i="5" a="1"/>
  <c r="U49" i="5"/>
  <c r="U50" i="5" a="1"/>
  <c r="U50" i="5"/>
  <c r="U51" i="5" a="1"/>
  <c r="U51" i="5" s="1"/>
  <c r="U2" i="5" a="1"/>
  <c r="U2" i="5"/>
  <c r="Y3" i="5" a="1"/>
  <c r="Y3" i="5"/>
  <c r="Y4" i="5" a="1"/>
  <c r="Y4" i="5"/>
  <c r="Y5" i="5" a="1"/>
  <c r="Y5" i="5" s="1"/>
  <c r="Y6" i="5" a="1"/>
  <c r="Y6" i="5" s="1"/>
  <c r="Y7" i="5" a="1"/>
  <c r="Y7" i="5" s="1"/>
  <c r="Y8" i="5" a="1"/>
  <c r="Y8" i="5" s="1"/>
  <c r="Y9" i="5" a="1"/>
  <c r="Y9" i="5"/>
  <c r="Y10" i="5" a="1"/>
  <c r="Y10" i="5" s="1"/>
  <c r="Y11" i="5" a="1"/>
  <c r="Y11" i="5"/>
  <c r="Y12" i="5" a="1"/>
  <c r="Y12" i="5"/>
  <c r="Y13" i="5" a="1"/>
  <c r="Y13" i="5" s="1"/>
  <c r="Y14" i="5" a="1"/>
  <c r="Y14" i="5" s="1"/>
  <c r="Y15" i="5" a="1"/>
  <c r="Y15" i="5" s="1"/>
  <c r="Y16" i="5" a="1"/>
  <c r="Y16" i="5" s="1"/>
  <c r="Y17" i="5" a="1"/>
  <c r="Y17" i="5" s="1"/>
  <c r="Y18" i="5" a="1"/>
  <c r="Y18" i="5" s="1"/>
  <c r="Y19" i="5" a="1"/>
  <c r="Y19" i="5"/>
  <c r="Y20" i="5" a="1"/>
  <c r="Y20" i="5" s="1"/>
  <c r="Y21" i="5" a="1"/>
  <c r="Y21" i="5" s="1"/>
  <c r="Y22" i="5" a="1"/>
  <c r="Y22" i="5" s="1"/>
  <c r="Y23" i="5" a="1"/>
  <c r="Y23" i="5" s="1"/>
  <c r="Y24" i="5" a="1"/>
  <c r="Y24" i="5" s="1"/>
  <c r="Y25" i="5" a="1"/>
  <c r="Y25" i="5"/>
  <c r="Y26" i="5" a="1"/>
  <c r="Y26" i="5" s="1"/>
  <c r="Y27" i="5" a="1"/>
  <c r="Y27" i="5" s="1"/>
  <c r="Y28" i="5" a="1"/>
  <c r="Y28" i="5"/>
  <c r="Y29" i="5" a="1"/>
  <c r="Y29" i="5" s="1"/>
  <c r="Y30" i="5" a="1"/>
  <c r="Y30" i="5" s="1"/>
  <c r="Y31" i="5" a="1"/>
  <c r="Y31" i="5" s="1"/>
  <c r="Y32" i="5" a="1"/>
  <c r="Y32" i="5" s="1"/>
  <c r="Y33" i="5" a="1"/>
  <c r="Y33" i="5"/>
  <c r="Y34" i="5" a="1"/>
  <c r="Y34" i="5"/>
  <c r="Y35" i="5" a="1"/>
  <c r="Y35" i="5" s="1"/>
  <c r="Y36" i="5" a="1"/>
  <c r="Y36" i="5" s="1"/>
  <c r="Y37" i="5" a="1"/>
  <c r="Y37" i="5" s="1"/>
  <c r="Y38" i="5" a="1"/>
  <c r="Y38" i="5" s="1"/>
  <c r="Y39" i="5" a="1"/>
  <c r="Y39" i="5" s="1"/>
  <c r="Y40" i="5" a="1"/>
  <c r="Y40" i="5" s="1"/>
  <c r="Y41" i="5" a="1"/>
  <c r="Y41" i="5"/>
  <c r="Y42" i="5" a="1"/>
  <c r="Y42" i="5"/>
  <c r="Y43" i="5" a="1"/>
  <c r="Y43" i="5" s="1"/>
  <c r="Y44" i="5" a="1"/>
  <c r="Y44" i="5"/>
  <c r="Y45" i="5" a="1"/>
  <c r="Y45" i="5" s="1"/>
  <c r="Y46" i="5" a="1"/>
  <c r="Y46" i="5" s="1"/>
  <c r="Y47" i="5" a="1"/>
  <c r="Y47" i="5" s="1"/>
  <c r="Y48" i="5" a="1"/>
  <c r="Y48" i="5" s="1"/>
  <c r="Y49" i="5" a="1"/>
  <c r="Y49" i="5"/>
  <c r="Y50" i="5" a="1"/>
  <c r="Y50" i="5" s="1"/>
  <c r="Y51" i="5" a="1"/>
  <c r="Y51" i="5" s="1"/>
  <c r="Y2" i="5" a="1"/>
  <c r="Y2" i="5" s="1"/>
  <c r="X3" i="5" a="1"/>
  <c r="X3" i="5" s="1"/>
  <c r="X4" i="5" a="1"/>
  <c r="X4" i="5"/>
  <c r="X5" i="5" a="1"/>
  <c r="X5" i="5"/>
  <c r="X6" i="5" a="1"/>
  <c r="X6" i="5" s="1"/>
  <c r="X7" i="5" a="1"/>
  <c r="X7" i="5" s="1"/>
  <c r="X8" i="5" a="1"/>
  <c r="X8" i="5" s="1"/>
  <c r="X9" i="5" a="1"/>
  <c r="X9" i="5" s="1"/>
  <c r="X10" i="5" a="1"/>
  <c r="X10" i="5" s="1"/>
  <c r="X11" i="5" a="1"/>
  <c r="X11" i="5" s="1"/>
  <c r="X12" i="5" a="1"/>
  <c r="X12" i="5" s="1"/>
  <c r="X13" i="5" a="1"/>
  <c r="X13" i="5"/>
  <c r="X14" i="5" a="1"/>
  <c r="X14" i="5"/>
  <c r="X15" i="5" a="1"/>
  <c r="X15" i="5" s="1"/>
  <c r="X16" i="5" a="1"/>
  <c r="X16" i="5" s="1"/>
  <c r="X17" i="5" a="1"/>
  <c r="X17" i="5" s="1"/>
  <c r="X18" i="5" a="1"/>
  <c r="X18" i="5" s="1"/>
  <c r="X19" i="5" a="1"/>
  <c r="X19" i="5" s="1"/>
  <c r="X20" i="5" a="1"/>
  <c r="X20" i="5" s="1"/>
  <c r="X21" i="5" a="1"/>
  <c r="X21" i="5"/>
  <c r="X22" i="5" a="1"/>
  <c r="X22" i="5"/>
  <c r="X23" i="5" a="1"/>
  <c r="X23" i="5" s="1"/>
  <c r="X24" i="5" a="1"/>
  <c r="X24" i="5" s="1"/>
  <c r="X25" i="5" a="1"/>
  <c r="X25" i="5" s="1"/>
  <c r="X26" i="5" a="1"/>
  <c r="X26" i="5" s="1"/>
  <c r="X27" i="5" a="1"/>
  <c r="X27" i="5" s="1"/>
  <c r="X28" i="5" a="1"/>
  <c r="X28" i="5" s="1"/>
  <c r="X29" i="5" a="1"/>
  <c r="X29" i="5"/>
  <c r="X30" i="5" a="1"/>
  <c r="X30" i="5" s="1"/>
  <c r="X31" i="5" a="1"/>
  <c r="X31" i="5" s="1"/>
  <c r="X32" i="5" a="1"/>
  <c r="X32" i="5" s="1"/>
  <c r="X33" i="5" a="1"/>
  <c r="X33" i="5" s="1"/>
  <c r="X34" i="5" a="1"/>
  <c r="X34" i="5"/>
  <c r="X35" i="5" a="1"/>
  <c r="X35" i="5" s="1"/>
  <c r="X36" i="5" a="1"/>
  <c r="X36" i="5" s="1"/>
  <c r="X37" i="5" a="1"/>
  <c r="X37" i="5" s="1"/>
  <c r="X38" i="5" a="1"/>
  <c r="X38" i="5"/>
  <c r="X39" i="5" a="1"/>
  <c r="X39" i="5" s="1"/>
  <c r="X40" i="5" a="1"/>
  <c r="X40" i="5" s="1"/>
  <c r="X41" i="5" a="1"/>
  <c r="X41" i="5" s="1"/>
  <c r="X42" i="5" a="1"/>
  <c r="X42" i="5"/>
  <c r="X43" i="5" a="1"/>
  <c r="X43" i="5" s="1"/>
  <c r="X44" i="5" a="1"/>
  <c r="X44" i="5"/>
  <c r="X45" i="5" a="1"/>
  <c r="X45" i="5"/>
  <c r="X46" i="5" a="1"/>
  <c r="X46" i="5" s="1"/>
  <c r="X47" i="5" a="1"/>
  <c r="X47" i="5" s="1"/>
  <c r="X48" i="5" a="1"/>
  <c r="X48" i="5" s="1"/>
  <c r="X49" i="5" a="1"/>
  <c r="X49" i="5" s="1"/>
  <c r="X50" i="5" a="1"/>
  <c r="X50" i="5" s="1"/>
  <c r="X51" i="5" a="1"/>
  <c r="X51" i="5" s="1"/>
  <c r="X2" i="5" a="1"/>
  <c r="X2" i="5"/>
  <c r="W3" i="5" a="1"/>
  <c r="W3" i="5" s="1"/>
  <c r="W4" i="5" a="1"/>
  <c r="W4" i="5" s="1"/>
  <c r="W5" i="5" a="1"/>
  <c r="W5" i="5"/>
  <c r="W6" i="5" a="1"/>
  <c r="W6" i="5" s="1"/>
  <c r="W7" i="5" a="1"/>
  <c r="W7" i="5" s="1"/>
  <c r="W8" i="5" a="1"/>
  <c r="W8" i="5"/>
  <c r="W9" i="5" a="1"/>
  <c r="W9" i="5" s="1"/>
  <c r="W10" i="5" a="1"/>
  <c r="W10" i="5" s="1"/>
  <c r="W11" i="5" a="1"/>
  <c r="W11" i="5" s="1"/>
  <c r="W12" i="5" a="1"/>
  <c r="W12" i="5" s="1"/>
  <c r="W13" i="5" a="1"/>
  <c r="W13" i="5" s="1"/>
  <c r="W14" i="5" a="1"/>
  <c r="W14" i="5" s="1"/>
  <c r="W15" i="5" a="1"/>
  <c r="W15" i="5"/>
  <c r="W16" i="5" a="1"/>
  <c r="W16" i="5" s="1"/>
  <c r="W17" i="5" a="1"/>
  <c r="W17" i="5" s="1"/>
  <c r="W18" i="5" a="1"/>
  <c r="W18" i="5"/>
  <c r="W19" i="5" a="1"/>
  <c r="W19" i="5" s="1"/>
  <c r="W20" i="5" a="1"/>
  <c r="W20" i="5" s="1"/>
  <c r="W21" i="5" a="1"/>
  <c r="W21" i="5" s="1"/>
  <c r="W22" i="5" a="1"/>
  <c r="W22" i="5" s="1"/>
  <c r="W23" i="5" a="1"/>
  <c r="W23" i="5" s="1"/>
  <c r="W24" i="5" a="1"/>
  <c r="W24" i="5"/>
  <c r="W25" i="5" a="1"/>
  <c r="W25" i="5" s="1"/>
  <c r="W26" i="5" a="1"/>
  <c r="W26" i="5" s="1"/>
  <c r="W27" i="5" a="1"/>
  <c r="W27" i="5" s="1"/>
  <c r="W28" i="5" a="1"/>
  <c r="W28" i="5" s="1"/>
  <c r="W29" i="5" a="1"/>
  <c r="W29" i="5" s="1"/>
  <c r="W30" i="5" a="1"/>
  <c r="W30" i="5" s="1"/>
  <c r="W31" i="5" a="1"/>
  <c r="W31" i="5" s="1"/>
  <c r="W32" i="5" a="1"/>
  <c r="W32" i="5"/>
  <c r="W33" i="5" a="1"/>
  <c r="W33" i="5" s="1"/>
  <c r="W34" i="5" a="1"/>
  <c r="W34" i="5"/>
  <c r="W35" i="5" a="1"/>
  <c r="W35" i="5" s="1"/>
  <c r="W36" i="5" a="1"/>
  <c r="W36" i="5" s="1"/>
  <c r="W37" i="5" a="1"/>
  <c r="W37" i="5" s="1"/>
  <c r="W38" i="5" a="1"/>
  <c r="W38" i="5" s="1"/>
  <c r="W39" i="5" a="1"/>
  <c r="W39" i="5"/>
  <c r="W40" i="5" a="1"/>
  <c r="W40" i="5" s="1"/>
  <c r="W41" i="5" a="1"/>
  <c r="W41" i="5" s="1"/>
  <c r="W42" i="5" a="1"/>
  <c r="W42" i="5"/>
  <c r="W43" i="5" a="1"/>
  <c r="W43" i="5" s="1"/>
  <c r="W44" i="5" a="1"/>
  <c r="W44" i="5" s="1"/>
  <c r="W45" i="5" a="1"/>
  <c r="W45" i="5"/>
  <c r="W46" i="5" a="1"/>
  <c r="W46" i="5" s="1"/>
  <c r="W47" i="5" a="1"/>
  <c r="W47" i="5" s="1"/>
  <c r="W48" i="5" a="1"/>
  <c r="W48" i="5" s="1"/>
  <c r="W49" i="5" a="1"/>
  <c r="W49" i="5" s="1"/>
  <c r="W50" i="5" a="1"/>
  <c r="W50" i="5" s="1"/>
  <c r="W51" i="5" a="1"/>
  <c r="W51" i="5" s="1"/>
  <c r="W2" i="5" a="1"/>
  <c r="W2" i="5" s="1"/>
  <c r="V3" i="5" a="1"/>
  <c r="V3" i="5"/>
  <c r="V4" i="5" a="1"/>
  <c r="V4" i="5" s="1"/>
  <c r="V5" i="5" a="1"/>
  <c r="V5" i="5"/>
  <c r="V6" i="5" a="1"/>
  <c r="V6" i="5" s="1"/>
  <c r="V7" i="5" a="1"/>
  <c r="V7" i="5" s="1"/>
  <c r="V8" i="5" a="1"/>
  <c r="V8" i="5"/>
  <c r="V9" i="5" a="1"/>
  <c r="V9" i="5" s="1"/>
  <c r="V10" i="5" a="1"/>
  <c r="V10" i="5"/>
  <c r="V11" i="5" a="1"/>
  <c r="V11" i="5"/>
  <c r="V12" i="5" a="1"/>
  <c r="V12" i="5" s="1"/>
  <c r="V13" i="5" a="1"/>
  <c r="V13" i="5"/>
  <c r="V14" i="5" a="1"/>
  <c r="V14" i="5"/>
  <c r="V15" i="5" a="1"/>
  <c r="V15" i="5" s="1"/>
  <c r="V16" i="5" a="1"/>
  <c r="V16" i="5" s="1"/>
  <c r="V17" i="5" a="1"/>
  <c r="V17" i="5"/>
  <c r="V18" i="5" a="1"/>
  <c r="V18" i="5" s="1"/>
  <c r="V19" i="5" a="1"/>
  <c r="V19" i="5" s="1"/>
  <c r="V20" i="5" a="1"/>
  <c r="V20" i="5" s="1"/>
  <c r="V21" i="5" a="1"/>
  <c r="V21" i="5" s="1"/>
  <c r="V22" i="5" a="1"/>
  <c r="V22" i="5"/>
  <c r="V23" i="5" a="1"/>
  <c r="V23" i="5" s="1"/>
  <c r="V24" i="5" a="1"/>
  <c r="V24" i="5" s="1"/>
  <c r="V25" i="5" a="1"/>
  <c r="V25" i="5"/>
  <c r="V26" i="5" a="1"/>
  <c r="V26" i="5" s="1"/>
  <c r="V27" i="5" a="1"/>
  <c r="V27" i="5"/>
  <c r="V28" i="5" a="1"/>
  <c r="V28" i="5" s="1"/>
  <c r="V29" i="5" a="1"/>
  <c r="V29" i="5"/>
  <c r="V30" i="5" a="1"/>
  <c r="V30" i="5"/>
  <c r="V31" i="5" a="1"/>
  <c r="V31" i="5"/>
  <c r="V32" i="5" a="1"/>
  <c r="V32" i="5" s="1"/>
  <c r="V33" i="5" a="1"/>
  <c r="V33" i="5" s="1"/>
  <c r="V34" i="5" a="1"/>
  <c r="V34" i="5"/>
  <c r="V35" i="5" a="1"/>
  <c r="V35" i="5" s="1"/>
  <c r="V36" i="5" a="1"/>
  <c r="V36" i="5" s="1"/>
  <c r="V37" i="5" a="1"/>
  <c r="V37" i="5"/>
  <c r="V38" i="5" a="1"/>
  <c r="V38" i="5" s="1"/>
  <c r="V39" i="5" a="1"/>
  <c r="V39" i="5"/>
  <c r="V40" i="5" a="1"/>
  <c r="V40" i="5" s="1"/>
  <c r="V41" i="5" a="1"/>
  <c r="V41" i="5" s="1"/>
  <c r="V42" i="5" a="1"/>
  <c r="V42" i="5" s="1"/>
  <c r="V43" i="5" a="1"/>
  <c r="V43" i="5"/>
  <c r="V44" i="5" a="1"/>
  <c r="V44" i="5" s="1"/>
  <c r="V45" i="5" a="1"/>
  <c r="V45" i="5" s="1"/>
  <c r="V46" i="5" a="1"/>
  <c r="V46" i="5" s="1"/>
  <c r="V47" i="5" a="1"/>
  <c r="V47" i="5"/>
  <c r="V48" i="5" a="1"/>
  <c r="V48" i="5" s="1"/>
  <c r="V49" i="5" a="1"/>
  <c r="V49" i="5"/>
  <c r="V50" i="5" a="1"/>
  <c r="V50" i="5" s="1"/>
  <c r="V51" i="5" a="1"/>
  <c r="V51" i="5" s="1"/>
  <c r="V2" i="5" a="1"/>
  <c r="V2" i="5" s="1"/>
  <c r="Y3" i="4" a="1"/>
  <c r="Y3" i="4"/>
  <c r="Y4" i="4" a="1"/>
  <c r="Y4" i="4" s="1"/>
  <c r="Y5" i="4" a="1"/>
  <c r="Y5" i="4"/>
  <c r="Y6" i="4" a="1"/>
  <c r="Y6" i="4"/>
  <c r="Y7" i="4" a="1"/>
  <c r="Y7" i="4"/>
  <c r="Y8" i="4" a="1"/>
  <c r="Y8" i="4"/>
  <c r="Y9" i="4" a="1"/>
  <c r="Y9" i="4" s="1"/>
  <c r="Y10" i="4" a="1"/>
  <c r="Y10" i="4"/>
  <c r="Y11" i="4" a="1"/>
  <c r="Y11" i="4"/>
  <c r="Y12" i="4" a="1"/>
  <c r="Y12" i="4" s="1"/>
  <c r="Y13" i="4" a="1"/>
  <c r="Y13" i="4"/>
  <c r="Y14" i="4" a="1"/>
  <c r="Y14" i="4"/>
  <c r="Y15" i="4" a="1"/>
  <c r="Y15" i="4"/>
  <c r="Y16" i="4" a="1"/>
  <c r="Y16" i="4"/>
  <c r="Y17" i="4" a="1"/>
  <c r="Y17" i="4"/>
  <c r="Y18" i="4" a="1"/>
  <c r="Y18" i="4"/>
  <c r="Y19" i="4" a="1"/>
  <c r="Y19" i="4"/>
  <c r="Y20" i="4" a="1"/>
  <c r="Y20" i="4" s="1"/>
  <c r="Y21" i="4" a="1"/>
  <c r="Y21" i="4"/>
  <c r="Y22" i="4" a="1"/>
  <c r="Y22" i="4"/>
  <c r="Y23" i="4" a="1"/>
  <c r="Y23" i="4"/>
  <c r="Y24" i="4" a="1"/>
  <c r="Y24" i="4"/>
  <c r="Y25" i="4" a="1"/>
  <c r="Y25" i="4"/>
  <c r="Y26" i="4" a="1"/>
  <c r="Y26" i="4"/>
  <c r="Y27" i="4" a="1"/>
  <c r="Y27" i="4"/>
  <c r="Y28" i="4" a="1"/>
  <c r="Y28" i="4" s="1"/>
  <c r="Y29" i="4" a="1"/>
  <c r="Y29" i="4"/>
  <c r="Y30" i="4" a="1"/>
  <c r="Y30" i="4"/>
  <c r="Y31" i="4" a="1"/>
  <c r="Y31" i="4"/>
  <c r="Y32" i="4" a="1"/>
  <c r="Y32" i="4" s="1"/>
  <c r="Y33" i="4" a="1"/>
  <c r="Y33" i="4"/>
  <c r="Y34" i="4" a="1"/>
  <c r="Y34" i="4"/>
  <c r="Y35" i="4" a="1"/>
  <c r="Y35" i="4"/>
  <c r="Y36" i="4" a="1"/>
  <c r="Y36" i="4" s="1"/>
  <c r="Y37" i="4" a="1"/>
  <c r="Y37" i="4"/>
  <c r="Y38" i="4" a="1"/>
  <c r="Y38" i="4"/>
  <c r="Y39" i="4" a="1"/>
  <c r="Y39" i="4"/>
  <c r="Y40" i="4" a="1"/>
  <c r="Y40" i="4"/>
  <c r="Y41" i="4" a="1"/>
  <c r="Y41" i="4"/>
  <c r="Y42" i="4" a="1"/>
  <c r="Y42" i="4"/>
  <c r="Y43" i="4" a="1"/>
  <c r="Y43" i="4"/>
  <c r="Y44" i="4" a="1"/>
  <c r="Y44" i="4" s="1"/>
  <c r="Y45" i="4" a="1"/>
  <c r="Y45" i="4"/>
  <c r="Y46" i="4" a="1"/>
  <c r="Y46" i="4"/>
  <c r="Y47" i="4" a="1"/>
  <c r="Y47" i="4"/>
  <c r="Y48" i="4" a="1"/>
  <c r="Y48" i="4"/>
  <c r="Y49" i="4" a="1"/>
  <c r="Y49" i="4"/>
  <c r="Y50" i="4" a="1"/>
  <c r="Y50" i="4" s="1"/>
  <c r="Y51" i="4" a="1"/>
  <c r="Y51" i="4"/>
  <c r="Y2" i="4" a="1"/>
  <c r="Y2" i="4" s="1"/>
  <c r="X2" i="4" a="1"/>
  <c r="X2" i="4"/>
  <c r="X3" i="4" a="1"/>
  <c r="X3" i="4"/>
  <c r="X4" i="4" a="1"/>
  <c r="X4" i="4"/>
  <c r="X5" i="4" a="1"/>
  <c r="X5" i="4"/>
  <c r="X6" i="4" a="1"/>
  <c r="X6" i="4"/>
  <c r="X7" i="4" a="1"/>
  <c r="X7" i="4"/>
  <c r="X8" i="4" a="1"/>
  <c r="X8" i="4"/>
  <c r="X9" i="4" a="1"/>
  <c r="X9" i="4"/>
  <c r="X10" i="4" a="1"/>
  <c r="X10" i="4"/>
  <c r="X11" i="4" a="1"/>
  <c r="X11" i="4"/>
  <c r="X12" i="4" a="1"/>
  <c r="X12" i="4"/>
  <c r="X13" i="4" a="1"/>
  <c r="X13" i="4"/>
  <c r="X14" i="4" a="1"/>
  <c r="X14" i="4"/>
  <c r="X15" i="4" a="1"/>
  <c r="X15" i="4"/>
  <c r="X16" i="4" a="1"/>
  <c r="X16" i="4"/>
  <c r="X17" i="4" a="1"/>
  <c r="X17" i="4"/>
  <c r="X18" i="4" a="1"/>
  <c r="X18" i="4"/>
  <c r="X19" i="4" a="1"/>
  <c r="X19" i="4"/>
  <c r="X20" i="4" a="1"/>
  <c r="X20" i="4"/>
  <c r="X21" i="4" a="1"/>
  <c r="X21" i="4"/>
  <c r="X22" i="4" a="1"/>
  <c r="X22" i="4"/>
  <c r="X23" i="4" a="1"/>
  <c r="X23" i="4"/>
  <c r="X24" i="4" a="1"/>
  <c r="X24" i="4"/>
  <c r="X25" i="4" a="1"/>
  <c r="X25" i="4"/>
  <c r="X26" i="4" a="1"/>
  <c r="X26" i="4"/>
  <c r="X27" i="4" a="1"/>
  <c r="X27" i="4"/>
  <c r="X28" i="4" a="1"/>
  <c r="X28" i="4"/>
  <c r="X29" i="4" a="1"/>
  <c r="X29" i="4"/>
  <c r="X30" i="4" a="1"/>
  <c r="X30" i="4"/>
  <c r="X31" i="4" a="1"/>
  <c r="X31" i="4"/>
  <c r="X32" i="4" a="1"/>
  <c r="X32" i="4"/>
  <c r="X33" i="4" a="1"/>
  <c r="X33" i="4"/>
  <c r="X34" i="4" a="1"/>
  <c r="X34" i="4" s="1"/>
  <c r="X35" i="4" a="1"/>
  <c r="X35" i="4"/>
  <c r="X36" i="4" a="1"/>
  <c r="X36" i="4"/>
  <c r="X37" i="4" a="1"/>
  <c r="X37" i="4"/>
  <c r="X38" i="4" a="1"/>
  <c r="X38" i="4"/>
  <c r="X39" i="4" a="1"/>
  <c r="X39" i="4"/>
  <c r="X40" i="4" a="1"/>
  <c r="X40" i="4"/>
  <c r="X41" i="4" a="1"/>
  <c r="X41" i="4"/>
  <c r="X42" i="4" a="1"/>
  <c r="X42" i="4" s="1"/>
  <c r="X43" i="4" a="1"/>
  <c r="X43" i="4"/>
  <c r="X44" i="4" a="1"/>
  <c r="X44" i="4"/>
  <c r="X45" i="4" a="1"/>
  <c r="X45" i="4"/>
  <c r="X46" i="4" a="1"/>
  <c r="X46" i="4"/>
  <c r="X47" i="4" a="1"/>
  <c r="X47" i="4"/>
  <c r="X48" i="4" a="1"/>
  <c r="X48" i="4"/>
  <c r="X49" i="4" a="1"/>
  <c r="X49" i="4"/>
  <c r="X50" i="4" a="1"/>
  <c r="X50" i="4"/>
  <c r="X51" i="4" a="1"/>
  <c r="X51" i="4"/>
  <c r="W3" i="4" a="1"/>
  <c r="W3" i="4"/>
  <c r="W4" i="4" a="1"/>
  <c r="W4" i="4"/>
  <c r="W5" i="4" a="1"/>
  <c r="W5" i="4"/>
  <c r="W6" i="4" a="1"/>
  <c r="W6" i="4"/>
  <c r="W7" i="4" a="1"/>
  <c r="W7" i="4"/>
  <c r="W8" i="4" a="1"/>
  <c r="W8" i="4"/>
  <c r="W9" i="4" a="1"/>
  <c r="W9" i="4"/>
  <c r="W10" i="4" a="1"/>
  <c r="W10" i="4"/>
  <c r="W11" i="4" a="1"/>
  <c r="W11" i="4"/>
  <c r="W12" i="4" a="1"/>
  <c r="W12" i="4"/>
  <c r="W13" i="4" a="1"/>
  <c r="W13" i="4"/>
  <c r="W14" i="4" a="1"/>
  <c r="W14" i="4"/>
  <c r="W15" i="4" a="1"/>
  <c r="W15" i="4"/>
  <c r="W16" i="4" a="1"/>
  <c r="W16" i="4"/>
  <c r="W17" i="4" a="1"/>
  <c r="W17" i="4"/>
  <c r="W18" i="4" a="1"/>
  <c r="W18" i="4"/>
  <c r="W19" i="4" a="1"/>
  <c r="W19" i="4"/>
  <c r="W20" i="4" a="1"/>
  <c r="W20" i="4"/>
  <c r="W21" i="4" a="1"/>
  <c r="W21" i="4"/>
  <c r="W22" i="4" a="1"/>
  <c r="W22" i="4"/>
  <c r="W23" i="4" a="1"/>
  <c r="W23" i="4"/>
  <c r="W24" i="4" a="1"/>
  <c r="W24" i="4"/>
  <c r="W25" i="4" a="1"/>
  <c r="W25" i="4"/>
  <c r="W26" i="4" a="1"/>
  <c r="W26" i="4"/>
  <c r="W27" i="4" a="1"/>
  <c r="W27" i="4"/>
  <c r="W28" i="4" a="1"/>
  <c r="W28" i="4"/>
  <c r="W29" i="4" a="1"/>
  <c r="W29" i="4"/>
  <c r="W30" i="4" a="1"/>
  <c r="W30" i="4"/>
  <c r="W31" i="4" a="1"/>
  <c r="W31" i="4"/>
  <c r="W32" i="4" a="1"/>
  <c r="W32" i="4"/>
  <c r="W33" i="4" a="1"/>
  <c r="W33" i="4"/>
  <c r="W34" i="4" a="1"/>
  <c r="W34" i="4" s="1"/>
  <c r="W35" i="4" a="1"/>
  <c r="W35" i="4"/>
  <c r="W36" i="4" a="1"/>
  <c r="W36" i="4"/>
  <c r="W37" i="4" a="1"/>
  <c r="W37" i="4"/>
  <c r="W38" i="4" a="1"/>
  <c r="W38" i="4"/>
  <c r="W39" i="4" a="1"/>
  <c r="W39" i="4"/>
  <c r="W40" i="4" a="1"/>
  <c r="W40" i="4"/>
  <c r="W41" i="4" a="1"/>
  <c r="W41" i="4"/>
  <c r="W42" i="4" a="1"/>
  <c r="W42" i="4"/>
  <c r="W43" i="4" a="1"/>
  <c r="W43" i="4"/>
  <c r="W44" i="4" a="1"/>
  <c r="W44" i="4"/>
  <c r="W45" i="4" a="1"/>
  <c r="W45" i="4"/>
  <c r="W46" i="4" a="1"/>
  <c r="W46" i="4"/>
  <c r="W47" i="4" a="1"/>
  <c r="W47" i="4"/>
  <c r="W48" i="4" a="1"/>
  <c r="W48" i="4"/>
  <c r="W49" i="4" a="1"/>
  <c r="W49" i="4"/>
  <c r="W50" i="4" a="1"/>
  <c r="W50" i="4"/>
  <c r="W51" i="4" a="1"/>
  <c r="W51" i="4"/>
  <c r="W2" i="4" a="1"/>
  <c r="W2" i="4"/>
  <c r="V3" i="4" a="1"/>
  <c r="V3" i="4" s="1"/>
  <c r="V4" i="4" a="1"/>
  <c r="V4" i="4" s="1"/>
  <c r="V5" i="4" a="1"/>
  <c r="V5" i="4"/>
  <c r="V6" i="4" a="1"/>
  <c r="V6" i="4"/>
  <c r="V7" i="4" a="1"/>
  <c r="V7" i="4"/>
  <c r="V8" i="4" a="1"/>
  <c r="V8" i="4" s="1"/>
  <c r="V9" i="4" a="1"/>
  <c r="V9" i="4"/>
  <c r="V10" i="4" a="1"/>
  <c r="V10" i="4"/>
  <c r="V11" i="4" a="1"/>
  <c r="V11" i="4" s="1"/>
  <c r="V12" i="4" a="1"/>
  <c r="V12" i="4" s="1"/>
  <c r="V13" i="4" a="1"/>
  <c r="V13" i="4"/>
  <c r="V14" i="4" a="1"/>
  <c r="V14" i="4"/>
  <c r="V15" i="4" a="1"/>
  <c r="V15" i="4"/>
  <c r="V16" i="4" a="1"/>
  <c r="V16" i="4"/>
  <c r="V17" i="4" a="1"/>
  <c r="V17" i="4"/>
  <c r="V18" i="4" a="1"/>
  <c r="V18" i="4"/>
  <c r="V19" i="4" a="1"/>
  <c r="V19" i="4" s="1"/>
  <c r="V20" i="4" a="1"/>
  <c r="V20" i="4" s="1"/>
  <c r="V21" i="4" a="1"/>
  <c r="V21" i="4"/>
  <c r="V22" i="4" a="1"/>
  <c r="V22" i="4"/>
  <c r="V23" i="4" a="1"/>
  <c r="V23" i="4"/>
  <c r="V24" i="4" a="1"/>
  <c r="V24" i="4"/>
  <c r="V25" i="4" a="1"/>
  <c r="V25" i="4"/>
  <c r="V26" i="4" a="1"/>
  <c r="V26" i="4"/>
  <c r="V27" i="4" a="1"/>
  <c r="V27" i="4" s="1"/>
  <c r="V28" i="4" a="1"/>
  <c r="V28" i="4" s="1"/>
  <c r="V29" i="4" a="1"/>
  <c r="V29" i="4"/>
  <c r="V30" i="4" a="1"/>
  <c r="V30" i="4"/>
  <c r="V31" i="4" a="1"/>
  <c r="V31" i="4"/>
  <c r="V32" i="4" a="1"/>
  <c r="V32" i="4"/>
  <c r="V33" i="4" a="1"/>
  <c r="V33" i="4"/>
  <c r="V34" i="4" a="1"/>
  <c r="V34" i="4"/>
  <c r="V35" i="4" a="1"/>
  <c r="V35" i="4" s="1"/>
  <c r="V36" i="4" a="1"/>
  <c r="V36" i="4" s="1"/>
  <c r="V37" i="4" a="1"/>
  <c r="V37" i="4"/>
  <c r="V38" i="4" a="1"/>
  <c r="V38" i="4"/>
  <c r="V39" i="4" a="1"/>
  <c r="V39" i="4"/>
  <c r="V40" i="4" a="1"/>
  <c r="V40" i="4"/>
  <c r="V41" i="4" a="1"/>
  <c r="V41" i="4" s="1"/>
  <c r="V42" i="4" a="1"/>
  <c r="V42" i="4"/>
  <c r="V43" i="4" a="1"/>
  <c r="V43" i="4" s="1"/>
  <c r="V44" i="4" a="1"/>
  <c r="V44" i="4" s="1"/>
  <c r="V45" i="4" a="1"/>
  <c r="V45" i="4"/>
  <c r="V46" i="4" a="1"/>
  <c r="V46" i="4"/>
  <c r="V47" i="4" a="1"/>
  <c r="V47" i="4"/>
  <c r="V48" i="4" a="1"/>
  <c r="V48" i="4"/>
  <c r="V49" i="4" a="1"/>
  <c r="V49" i="4"/>
  <c r="V50" i="4" a="1"/>
  <c r="V50" i="4"/>
  <c r="V51" i="4" a="1"/>
  <c r="V51" i="4" s="1"/>
  <c r="V2" i="4" a="1"/>
  <c r="V2" i="4" s="1"/>
  <c r="U3" i="4" a="1"/>
  <c r="U3" i="4"/>
  <c r="U4" i="4" a="1"/>
  <c r="U4" i="4"/>
  <c r="U5" i="4" a="1"/>
  <c r="U5" i="4"/>
  <c r="U6" i="4" a="1"/>
  <c r="U6" i="4"/>
  <c r="U7" i="4" a="1"/>
  <c r="U7" i="4"/>
  <c r="U8" i="4" a="1"/>
  <c r="U8" i="4"/>
  <c r="U9" i="4" a="1"/>
  <c r="U9" i="4"/>
  <c r="U10" i="4" a="1"/>
  <c r="U10" i="4"/>
  <c r="U11" i="4" a="1"/>
  <c r="U11" i="4"/>
  <c r="U12" i="4" a="1"/>
  <c r="U12" i="4"/>
  <c r="U13" i="4" a="1"/>
  <c r="U13" i="4"/>
  <c r="U14" i="4" a="1"/>
  <c r="U14" i="4"/>
  <c r="U15" i="4" a="1"/>
  <c r="U15" i="4"/>
  <c r="U16" i="4" a="1"/>
  <c r="U16" i="4"/>
  <c r="U17" i="4" a="1"/>
  <c r="U17" i="4"/>
  <c r="U18" i="4" a="1"/>
  <c r="U18" i="4"/>
  <c r="U19" i="4" a="1"/>
  <c r="U19" i="4" s="1"/>
  <c r="U20" i="4" a="1"/>
  <c r="U20" i="4"/>
  <c r="U21" i="4" a="1"/>
  <c r="U21" i="4"/>
  <c r="U22" i="4" a="1"/>
  <c r="U22" i="4"/>
  <c r="U23" i="4" a="1"/>
  <c r="U23" i="4"/>
  <c r="U24" i="4" a="1"/>
  <c r="U24" i="4"/>
  <c r="U25" i="4" a="1"/>
  <c r="U25" i="4"/>
  <c r="U26" i="4" a="1"/>
  <c r="U26" i="4" s="1"/>
  <c r="U27" i="4" a="1"/>
  <c r="U27" i="4" s="1"/>
  <c r="U28" i="4" a="1"/>
  <c r="U28" i="4"/>
  <c r="U29" i="4" a="1"/>
  <c r="U29" i="4"/>
  <c r="U30" i="4" a="1"/>
  <c r="U30" i="4"/>
  <c r="U31" i="4" a="1"/>
  <c r="U31" i="4"/>
  <c r="U32" i="4" a="1"/>
  <c r="U32" i="4"/>
  <c r="U33" i="4" a="1"/>
  <c r="U33" i="4"/>
  <c r="U34" i="4" a="1"/>
  <c r="U34" i="4"/>
  <c r="U35" i="4" a="1"/>
  <c r="U35" i="4"/>
  <c r="U36" i="4" a="1"/>
  <c r="U36" i="4" s="1"/>
  <c r="U37" i="4" a="1"/>
  <c r="U37" i="4"/>
  <c r="U38" i="4" a="1"/>
  <c r="U38" i="4"/>
  <c r="U39" i="4" a="1"/>
  <c r="U39" i="4"/>
  <c r="U40" i="4" a="1"/>
  <c r="U40" i="4"/>
  <c r="U41" i="4" a="1"/>
  <c r="U41" i="4"/>
  <c r="U42" i="4" a="1"/>
  <c r="U42" i="4"/>
  <c r="U43" i="4" a="1"/>
  <c r="U43" i="4"/>
  <c r="U44" i="4" a="1"/>
  <c r="U44" i="4"/>
  <c r="U45" i="4" a="1"/>
  <c r="U45" i="4"/>
  <c r="U46" i="4" a="1"/>
  <c r="U46" i="4"/>
  <c r="U47" i="4" a="1"/>
  <c r="U47" i="4"/>
  <c r="U48" i="4" a="1"/>
  <c r="U48" i="4"/>
  <c r="U49" i="4" a="1"/>
  <c r="U49" i="4"/>
  <c r="U50" i="4" a="1"/>
  <c r="U50" i="4"/>
  <c r="U51" i="4" a="1"/>
  <c r="U51" i="4"/>
  <c r="U2" i="4" a="1"/>
  <c r="U2" i="4" s="1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2" i="3"/>
  <c r="AC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2" i="3"/>
  <c r="W17" i="3"/>
  <c r="W21" i="3"/>
  <c r="W22" i="3"/>
  <c r="W23" i="3"/>
  <c r="W24" i="3"/>
  <c r="W25" i="3"/>
  <c r="W32" i="3"/>
  <c r="W33" i="3"/>
  <c r="W34" i="3"/>
  <c r="W37" i="3"/>
  <c r="W38" i="3"/>
  <c r="W39" i="3"/>
  <c r="W40" i="3"/>
  <c r="W41" i="3"/>
  <c r="W48" i="3"/>
  <c r="W49" i="3"/>
  <c r="AA2" i="2"/>
  <c r="U3" i="3"/>
  <c r="W3" i="3" s="1"/>
  <c r="U4" i="3"/>
  <c r="W4" i="3" s="1"/>
  <c r="U5" i="3"/>
  <c r="W5" i="3" s="1"/>
  <c r="U6" i="3"/>
  <c r="W6" i="3" s="1"/>
  <c r="U7" i="3"/>
  <c r="W7" i="3" s="1"/>
  <c r="U8" i="3"/>
  <c r="W8" i="3" s="1"/>
  <c r="U9" i="3"/>
  <c r="W9" i="3" s="1"/>
  <c r="U10" i="3"/>
  <c r="W10" i="3" s="1"/>
  <c r="U11" i="3"/>
  <c r="W11" i="3" s="1"/>
  <c r="U12" i="3"/>
  <c r="W12" i="3" s="1"/>
  <c r="U13" i="3"/>
  <c r="W13" i="3" s="1"/>
  <c r="U14" i="3"/>
  <c r="W14" i="3" s="1"/>
  <c r="U15" i="3"/>
  <c r="W15" i="3" s="1"/>
  <c r="U16" i="3"/>
  <c r="W16" i="3" s="1"/>
  <c r="U17" i="3"/>
  <c r="U18" i="3"/>
  <c r="W18" i="3" s="1"/>
  <c r="U19" i="3"/>
  <c r="W19" i="3" s="1"/>
  <c r="U20" i="3"/>
  <c r="W20" i="3" s="1"/>
  <c r="U21" i="3"/>
  <c r="U22" i="3"/>
  <c r="U23" i="3"/>
  <c r="U24" i="3"/>
  <c r="U25" i="3"/>
  <c r="U26" i="3"/>
  <c r="W26" i="3" s="1"/>
  <c r="U27" i="3"/>
  <c r="W27" i="3" s="1"/>
  <c r="U28" i="3"/>
  <c r="W28" i="3" s="1"/>
  <c r="U29" i="3"/>
  <c r="W29" i="3" s="1"/>
  <c r="U30" i="3"/>
  <c r="W30" i="3" s="1"/>
  <c r="U31" i="3"/>
  <c r="W31" i="3" s="1"/>
  <c r="U32" i="3"/>
  <c r="U33" i="3"/>
  <c r="U34" i="3"/>
  <c r="U35" i="3"/>
  <c r="W35" i="3" s="1"/>
  <c r="U36" i="3"/>
  <c r="W36" i="3" s="1"/>
  <c r="U37" i="3"/>
  <c r="U38" i="3"/>
  <c r="U39" i="3"/>
  <c r="U40" i="3"/>
  <c r="U41" i="3"/>
  <c r="U42" i="3"/>
  <c r="W42" i="3" s="1"/>
  <c r="U43" i="3"/>
  <c r="W43" i="3" s="1"/>
  <c r="U44" i="3"/>
  <c r="W44" i="3" s="1"/>
  <c r="U45" i="3"/>
  <c r="W45" i="3" s="1"/>
  <c r="U46" i="3"/>
  <c r="W46" i="3" s="1"/>
  <c r="U47" i="3"/>
  <c r="W47" i="3" s="1"/>
  <c r="U48" i="3"/>
  <c r="U49" i="3"/>
  <c r="U50" i="3"/>
  <c r="W50" i="3" s="1"/>
  <c r="U51" i="3"/>
  <c r="W51" i="3" s="1"/>
  <c r="U2" i="3"/>
  <c r="W2" i="3" s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2" i="3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2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<sst xmlns="http://schemas.openxmlformats.org/spreadsheetml/2006/main" count="3158" uniqueCount="185">
  <si>
    <t>Order_ID</t>
  </si>
  <si>
    <t>Order_Date</t>
  </si>
  <si>
    <t>Customer_Name</t>
  </si>
  <si>
    <t>Customer_Type</t>
  </si>
  <si>
    <t>Region</t>
  </si>
  <si>
    <t>Salesperson</t>
  </si>
  <si>
    <t>Product</t>
  </si>
  <si>
    <t>Category</t>
  </si>
  <si>
    <t>Quantity</t>
  </si>
  <si>
    <t>Unit_Price</t>
  </si>
  <si>
    <t>Discount_%</t>
  </si>
  <si>
    <t>Sales</t>
  </si>
  <si>
    <t>Profit</t>
  </si>
  <si>
    <t>Stock_Available</t>
  </si>
  <si>
    <t>Delivery_Days</t>
  </si>
  <si>
    <t>Payment_Mode</t>
  </si>
  <si>
    <t>Returned</t>
  </si>
  <si>
    <t>Customer_Rating</t>
  </si>
  <si>
    <t>Target</t>
  </si>
  <si>
    <t>Actual_Sales</t>
  </si>
  <si>
    <t>ORD1002</t>
  </si>
  <si>
    <t>2026-02-27</t>
  </si>
  <si>
    <t>Vivaan</t>
  </si>
  <si>
    <t>VIP</t>
  </si>
  <si>
    <t>West</t>
  </si>
  <si>
    <t>Amit</t>
  </si>
  <si>
    <t>Phone</t>
  </si>
  <si>
    <t>Electronics</t>
  </si>
  <si>
    <t>Cash</t>
  </si>
  <si>
    <t>No</t>
  </si>
  <si>
    <t>ORD1003</t>
  </si>
  <si>
    <t>2026-05-07</t>
  </si>
  <si>
    <t>Diya</t>
  </si>
  <si>
    <t>Regular</t>
  </si>
  <si>
    <t>Priya</t>
  </si>
  <si>
    <t>Chair</t>
  </si>
  <si>
    <t>Furniture</t>
  </si>
  <si>
    <t>Yes</t>
  </si>
  <si>
    <t>ORD1004</t>
  </si>
  <si>
    <t>2026-01-06</t>
  </si>
  <si>
    <t>Meera</t>
  </si>
  <si>
    <t>South</t>
  </si>
  <si>
    <t>Notebook</t>
  </si>
  <si>
    <t>Office Supplies</t>
  </si>
  <si>
    <t>Card</t>
  </si>
  <si>
    <t>ORD1005</t>
  </si>
  <si>
    <t>2026-04-06</t>
  </si>
  <si>
    <t>Premium</t>
  </si>
  <si>
    <t>North</t>
  </si>
  <si>
    <t>ORD1006</t>
  </si>
  <si>
    <t>2026-01-31</t>
  </si>
  <si>
    <t>Kabir</t>
  </si>
  <si>
    <t>Rahul</t>
  </si>
  <si>
    <t>Printer</t>
  </si>
  <si>
    <t>ORD1007</t>
  </si>
  <si>
    <t>2026-01-23</t>
  </si>
  <si>
    <t>Ananya</t>
  </si>
  <si>
    <t>East</t>
  </si>
  <si>
    <t>Neha</t>
  </si>
  <si>
    <t>Net Banking</t>
  </si>
  <si>
    <t>ORD1008</t>
  </si>
  <si>
    <t>2026-02-07</t>
  </si>
  <si>
    <t>ORD1009</t>
  </si>
  <si>
    <t>2026-01-08</t>
  </si>
  <si>
    <t>ORD1010</t>
  </si>
  <si>
    <t>2026-05-02</t>
  </si>
  <si>
    <t>Laptop</t>
  </si>
  <si>
    <t>UPI</t>
  </si>
  <si>
    <t>ORD1011</t>
  </si>
  <si>
    <t>2026-01-02</t>
  </si>
  <si>
    <t>Karan</t>
  </si>
  <si>
    <t>ORD1012</t>
  </si>
  <si>
    <t>2026-01-28</t>
  </si>
  <si>
    <t>ORD1013</t>
  </si>
  <si>
    <t>2026-03-19</t>
  </si>
  <si>
    <t>ORD1014</t>
  </si>
  <si>
    <t>2026-05-29</t>
  </si>
  <si>
    <t>Isha</t>
  </si>
  <si>
    <t>ORD1015</t>
  </si>
  <si>
    <t>Sneha</t>
  </si>
  <si>
    <t>Desk</t>
  </si>
  <si>
    <t>ORD1016</t>
  </si>
  <si>
    <t>2026-05-09</t>
  </si>
  <si>
    <t>ORD1017</t>
  </si>
  <si>
    <t>2026-01-26</t>
  </si>
  <si>
    <t>Arjun</t>
  </si>
  <si>
    <t>ORD1018</t>
  </si>
  <si>
    <t>2026-05-28</t>
  </si>
  <si>
    <t>ORD1019</t>
  </si>
  <si>
    <t>2026-04-20</t>
  </si>
  <si>
    <t>ORD1020</t>
  </si>
  <si>
    <t>2026-05-18</t>
  </si>
  <si>
    <t>ORD1021</t>
  </si>
  <si>
    <t>2026-04-05</t>
  </si>
  <si>
    <t>ORD1022</t>
  </si>
  <si>
    <t>2026-02-09</t>
  </si>
  <si>
    <t>ORD1023</t>
  </si>
  <si>
    <t>Aarav</t>
  </si>
  <si>
    <t>ORD1024</t>
  </si>
  <si>
    <t>2026-02-17</t>
  </si>
  <si>
    <t>ORD1025</t>
  </si>
  <si>
    <t>2026-06-29</t>
  </si>
  <si>
    <t>ORD1026</t>
  </si>
  <si>
    <t>2026-05-31</t>
  </si>
  <si>
    <t>ORD1027</t>
  </si>
  <si>
    <t>2026-06-30</t>
  </si>
  <si>
    <t>ORD1028</t>
  </si>
  <si>
    <t>ORD1029</t>
  </si>
  <si>
    <t>2026-05-26</t>
  </si>
  <si>
    <t>ORD1030</t>
  </si>
  <si>
    <t>2026-04-03</t>
  </si>
  <si>
    <t>ORD1031</t>
  </si>
  <si>
    <t>2026-01-24</t>
  </si>
  <si>
    <t>ORD1032</t>
  </si>
  <si>
    <t>2026-04-17</t>
  </si>
  <si>
    <t>ORD1033</t>
  </si>
  <si>
    <t>ORD1034</t>
  </si>
  <si>
    <t>2026-02-26</t>
  </si>
  <si>
    <t>ORD1035</t>
  </si>
  <si>
    <t>2026-06-04</t>
  </si>
  <si>
    <t>ORD1036</t>
  </si>
  <si>
    <t>2026-04-25</t>
  </si>
  <si>
    <t>ORD1037</t>
  </si>
  <si>
    <t>2026-01-11</t>
  </si>
  <si>
    <t>ORD1038</t>
  </si>
  <si>
    <t>2026-02-12</t>
  </si>
  <si>
    <t>ORD1039</t>
  </si>
  <si>
    <t>ORD1040</t>
  </si>
  <si>
    <t>2026-05-13</t>
  </si>
  <si>
    <t>ORD1041</t>
  </si>
  <si>
    <t>2026-03-07</t>
  </si>
  <si>
    <t>ORD1042</t>
  </si>
  <si>
    <t>2026-01-04</t>
  </si>
  <si>
    <t>ORD1043</t>
  </si>
  <si>
    <t>2026-06-05</t>
  </si>
  <si>
    <t>ORD1044</t>
  </si>
  <si>
    <t>Rohan</t>
  </si>
  <si>
    <t>ORD1045</t>
  </si>
  <si>
    <t>2026-01-03</t>
  </si>
  <si>
    <t>ORD1046</t>
  </si>
  <si>
    <t>2026-02-02</t>
  </si>
  <si>
    <t>ORD1047</t>
  </si>
  <si>
    <t>2026-06-20</t>
  </si>
  <si>
    <t>ORD1048</t>
  </si>
  <si>
    <t>ORD1049</t>
  </si>
  <si>
    <t>2026-06-25</t>
  </si>
  <si>
    <t>ORD1050</t>
  </si>
  <si>
    <t>2026-02-22</t>
  </si>
  <si>
    <t>ORD1051</t>
  </si>
  <si>
    <t>Profit Status</t>
  </si>
  <si>
    <t>Order Value</t>
  </si>
  <si>
    <t>Stock Status</t>
  </si>
  <si>
    <t>Delivery Performance</t>
  </si>
  <si>
    <t>Return Investigation</t>
  </si>
  <si>
    <t>Customer Experience</t>
  </si>
  <si>
    <t>Target Achievement</t>
  </si>
  <si>
    <t>Excellent_Order</t>
  </si>
  <si>
    <t>Bonus_Eligible</t>
  </si>
  <si>
    <t>Restock_Priority</t>
  </si>
  <si>
    <t>Reward_Status</t>
  </si>
  <si>
    <t>Successful_Delivery</t>
  </si>
  <si>
    <t>Risk_Status</t>
  </si>
  <si>
    <t>Premium_Product</t>
  </si>
  <si>
    <t>Priority_Customer</t>
  </si>
  <si>
    <t>Promotion_Candidate</t>
  </si>
  <si>
    <t>Non_Premium.</t>
  </si>
  <si>
    <t>Clean_Order</t>
  </si>
  <si>
    <t>Needs_Improvement</t>
  </si>
  <si>
    <t>Other_Category</t>
  </si>
  <si>
    <t>Sales_Grade</t>
  </si>
  <si>
    <t>Rating_Category</t>
  </si>
  <si>
    <t>Delivery_Speed</t>
  </si>
  <si>
    <t xml:space="preserve"> Profit_Category</t>
  </si>
  <si>
    <t xml:space="preserve"> Suggested_Discount</t>
  </si>
  <si>
    <t>Payment_Code</t>
  </si>
  <si>
    <t>Region_Manager</t>
  </si>
  <si>
    <t>Department</t>
  </si>
  <si>
    <t>Customer_Level</t>
  </si>
  <si>
    <t>Delivery_Code</t>
  </si>
  <si>
    <t>Fraud_Flag</t>
  </si>
  <si>
    <t>Loyalty_Level</t>
  </si>
  <si>
    <t>Warehouse_Alert.</t>
  </si>
  <si>
    <t>Performance_Grade</t>
  </si>
  <si>
    <t>Achievement</t>
  </si>
  <si>
    <t>Dashboard_Status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</si>
</sst>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2" fillId="2" borderId="0" xfId="0" applyFont="1" applyFill="1"/>
    <xf numFmtId="0" fontId="2" fillId="2" borderId="0" xfId="0" applyFont="1" applyFill="1" applyAlignme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2" xfId="0" applyFont="1" applyFill="1" applyBorder="1"/>
    <xf numFmtId="0" fontId="1" fillId="2" borderId="3" xfId="0" applyFont="1" applyFill="1" applyBorder="1"/>
    <xf numFmtId="10" fontId="0" fillId="0" borderId="1" xfId="0" applyNumberFormat="1" applyBorder="1"/>
    <xf numFmtId="0" fontId="0" fillId="0" borderId="10" xfId="0" applyBorder="1"/>
    <xf numFmtId="10" fontId="0" fillId="0" borderId="11" xfId="0" applyNumberFormat="1" applyBorder="1"/>
    <xf numFmtId="0" fontId="0" fillId="0" borderId="12" xfId="0" applyBorder="1"/>
    <xf numFmtId="0" fontId="0" fillId="0" borderId="11" xfId="0" applyBorder="1"/>
    <xf numFmtId="0" fontId="1" fillId="2" borderId="10" xfId="0" applyFont="1" applyFill="1" applyBorder="1"/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0" fontId="0" fillId="0" borderId="12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55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6BA25C-1D5A-4A2A-B422-4DCD84073866}" name="Table1" displayName="Table1" ref="U1:AA51" totalsRowShown="0" headerRowDxfId="0" headerRowBorderDxfId="53" tableBorderDxfId="54" totalsRowBorderDxfId="52">
  <autoFilter ref="U1:AA51" xr:uid="{156BA25C-1D5A-4A2A-B422-4DCD840738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DE30C7C-EEF9-471F-8489-20F63E5A7834}" name="Profit Status" dataDxfId="7">
      <calculatedColumnFormula>IF(M2&gt;0,"Profitable","Loss")</calculatedColumnFormula>
    </tableColumn>
    <tableColumn id="2" xr3:uid="{FA26DC18-CA6D-45BC-ADFD-73B292BA8889}" name="Order Value" dataDxfId="6">
      <calculatedColumnFormula>IF(L2&gt;50000,"High Value","Normal")</calculatedColumnFormula>
    </tableColumn>
    <tableColumn id="3" xr3:uid="{D1AB4734-2FA6-441A-BD1C-D8AD36F4A79E}" name="Stock Status" dataDxfId="5">
      <calculatedColumnFormula>IF(N2=0,"Out of Stock","Available")</calculatedColumnFormula>
    </tableColumn>
    <tableColumn id="4" xr3:uid="{B1490003-3666-42C8-817E-AB4EB7D0790F}" name="Delivery Performance" dataDxfId="4">
      <calculatedColumnFormula>IF(O2&gt;7,"Late Delivery","On Time")</calculatedColumnFormula>
    </tableColumn>
    <tableColumn id="5" xr3:uid="{28F95EBB-5838-4974-9360-6B4D57A43293}" name="Return Investigation" dataDxfId="3">
      <calculatedColumnFormula>IF(Q2="Yes","Need Investigation","Closed")</calculatedColumnFormula>
    </tableColumn>
    <tableColumn id="6" xr3:uid="{9CB8516B-8AFE-46B1-A0BC-18A1B8DBBBB7}" name="Customer Experience" dataDxfId="2">
      <calculatedColumnFormula>IF(R2&lt;=2,"Bad Experience","Satisfied")</calculatedColumnFormula>
    </tableColumn>
    <tableColumn id="7" xr3:uid="{583205FE-FCA6-42AB-8D72-D555AE0173CC}" name="Target Achievement" dataDxfId="1">
      <calculatedColumnFormula>IF(T2&gt;=S2,"Target Achieved","Target Missed")</calculatedColumnFormula>
    </tableColumn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4DACF1-4A19-45AC-97FE-EB4666926F1D}" name="Table2" displayName="Table2" ref="U1:AH51" totalsRowShown="0" headerRowDxfId="34" headerRowBorderDxfId="50" tableBorderDxfId="51" totalsRowBorderDxfId="49">
  <autoFilter ref="U1:AH51" xr:uid="{024DACF1-4A19-45AC-97FE-EB4666926F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B651F39-2031-48D7-9EE3-193B2345F66D}" name="Target Achievement" dataDxfId="48">
      <calculatedColumnFormula>IF(T2&gt;=S2,"Target Achieved","Target Missed")</calculatedColumnFormula>
    </tableColumn>
    <tableColumn id="2" xr3:uid="{F3247AB7-92D8-456E-9753-09957ACF2239}" name="Excellent_Order" dataDxfId="47">
      <calculatedColumnFormula>IF(AND(M2&gt;10000,L2&gt;50000),"Yes","No")</calculatedColumnFormula>
    </tableColumn>
    <tableColumn id="3" xr3:uid="{2D1BF722-679F-41D5-85EF-623EEF070385}" name="Bonus_Eligible" dataDxfId="46">
      <calculatedColumnFormula>IF(AND(U2="Target Achieved",R2&gt;=2),"Yes","No")</calculatedColumnFormula>
    </tableColumn>
    <tableColumn id="4" xr3:uid="{19CE7906-7130-4CBE-AD20-07ABEF3B8098}" name="Restock_Priority" dataDxfId="45">
      <calculatedColumnFormula>IF(AND(N2&lt;10,L2&gt;50000),"Urgent","Not Now")</calculatedColumnFormula>
    </tableColumn>
    <tableColumn id="5" xr3:uid="{13507F53-5A29-4E73-8371-E50F6256B65A}" name="Reward_Status" dataDxfId="44">
      <calculatedColumnFormula>IF(AND(D2="Premium",L2&gt;40000),"Reward","No Reward")</calculatedColumnFormula>
    </tableColumn>
    <tableColumn id="6" xr3:uid="{5B721423-5539-45A1-9371-32FFCBEC5DA7}" name="Successful_Delivery" dataDxfId="43">
      <calculatedColumnFormula>IF(AND(O2&lt;=3,Q2="No"),"Yes","No")</calculatedColumnFormula>
    </tableColumn>
    <tableColumn id="7" xr3:uid="{2C972ECC-2166-4255-AADD-FD92B9E16435}" name="Risk_Status" dataDxfId="42">
      <calculatedColumnFormula>IF(OR(Q2="Yes",R2&lt;=2),"High","Low")</calculatedColumnFormula>
    </tableColumn>
    <tableColumn id="8" xr3:uid="{04B912F7-E452-4589-8D09-56B7B08CEE42}" name="Premium_Product" dataDxfId="41">
      <calculatedColumnFormula>IF(OR(H2="Electronics",J2&gt;50000),"Expensive","Not")</calculatedColumnFormula>
    </tableColumn>
    <tableColumn id="9" xr3:uid="{99C764E4-E8A2-42C0-A6B3-E8709CF0ABAD}" name="Priority_Customer" dataDxfId="40">
      <calculatedColumnFormula>IF(OR(D2="VIP",L2&gt;100000),"VIP","No")</calculatedColumnFormula>
    </tableColumn>
    <tableColumn id="10" xr3:uid="{88736F32-CC90-4299-ACB1-0DA33A92634F}" name="Promotion_Candidate" dataDxfId="39">
      <calculatedColumnFormula>IF(OR(M2&gt;15000,L2&gt;75000),"Yes","No")</calculatedColumnFormula>
    </tableColumn>
    <tableColumn id="11" xr3:uid="{C85C4DCE-E7A2-448A-B115-35B9FD18122D}" name="Non_Premium." dataDxfId="38">
      <calculatedColumnFormula>IF(NOT(D2="Premium"),"Non Premium","Premium")</calculatedColumnFormula>
    </tableColumn>
    <tableColumn id="12" xr3:uid="{CBDEBA70-7CAE-4CF8-BB40-D1B1E2DEDAC9}" name="Clean_Order" dataDxfId="37">
      <calculatedColumnFormula>IF(NOT(Q2="Yes"),"Non Returned","Returned")</calculatedColumnFormula>
    </tableColumn>
    <tableColumn id="13" xr3:uid="{B8563E68-32A0-432A-A10F-99442A9C7B9F}" name="Needs_Improvement" dataDxfId="36">
      <calculatedColumnFormula>IF(NOT(U2="Target Achieved"),"Need Improvement","Not Need")</calculatedColumnFormula>
    </tableColumn>
    <tableColumn id="14" xr3:uid="{EC15EB6D-703C-4DA1-A971-4A609E0816C4}" name="Other_Category" dataDxfId="35">
      <calculatedColumnFormula>IF(NOT(H2="Electronics"),"Non Electronics","Electronics")</calculatedColumnFormula>
    </tableColumn>
  </tableColumns>
  <tableStyleInfo name="TableStyleDark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C40BF8-18D1-4D0A-B9DC-1CBDD15FD404}" name="Table3" displayName="Table3" ref="U1:Y51" totalsRowShown="0" headerRowBorderDxfId="32" tableBorderDxfId="33" totalsRowBorderDxfId="31">
  <autoFilter ref="U1:Y51" xr:uid="{2AC40BF8-18D1-4D0A-B9DC-1CBDD15FD40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82905CD-0AB2-4667-BD9A-95E277418224}" name="Sales_Grade" dataDxfId="30">
      <calculatedColumnFormula array="1">_xlfn.IFS(L2&gt;=100000,"Platinum",L2&gt;=70000,"Gold",L2&gt;=40000,"Silver",L2&lt;40000,"Bronze")</calculatedColumnFormula>
    </tableColumn>
    <tableColumn id="2" xr3:uid="{85E52FE3-B331-419D-B854-F2D064D5C456}" name="Rating_Category" dataDxfId="29">
      <calculatedColumnFormula array="1">_xlfn.IFS(R2=5,"Excellent",R2=4,"Good",R2=3,"Average",R2=2,"Poor",R2=1,"Bad")</calculatedColumnFormula>
    </tableColumn>
    <tableColumn id="3" xr3:uid="{F85C3F52-5E45-4652-9C2F-B579F20D6EE0}" name="Delivery_Speed" dataDxfId="28">
      <calculatedColumnFormula array="1">_xlfn.IFS(O2&lt;=2,"Express",O2&lt;=5,"Fast",O2&lt;=7,"Normal",O2&gt;7,"Delayed")</calculatedColumnFormula>
    </tableColumn>
    <tableColumn id="4" xr3:uid="{53CB13A3-43E6-4C5D-A181-0E101E4F839D}" name=" Profit_Category" dataDxfId="27">
      <calculatedColumnFormula array="1">_xlfn.IFS(M2&gt;30000,"Excellent",M2&gt;15000,"Good",M2&gt;5000,"Average",M2&lt;=50000,"Poor")</calculatedColumnFormula>
    </tableColumn>
    <tableColumn id="5" xr3:uid="{ECAF3FF6-20FE-42DF-9C95-EC564BBAFEBD}" name=" Suggested_Discount" dataDxfId="26">
      <calculatedColumnFormula array="1">_xlfn.IFS(L2&gt;100000,"5%",L2&gt;50000,"10%",L2&lt;=50000,"15%")</calculatedColumnFormula>
    </tableColumn>
  </tableColumns>
  <tableStyleInfo name="TableStyleDark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72CD6E-1247-4392-867F-E99021786E90}" name="Table4" displayName="Table4" ref="U1:Z51" totalsRowShown="0" headerRowBorderDxfId="24" tableBorderDxfId="25" totalsRowBorderDxfId="23">
  <autoFilter ref="U1:Z51" xr:uid="{2B72CD6E-1247-4392-867F-E99021786E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DAB0862-1597-4991-BA27-D0AF27170DF4}" name="Delivery_Speed" dataDxfId="22">
      <calculatedColumnFormula array="1">_xlfn.IFS(O2&lt;=2,"Express",O2&lt;=5,"Fast",O2&lt;=7,"Normal",O2&gt;7,"Delayed")</calculatedColumnFormula>
    </tableColumn>
    <tableColumn id="2" xr3:uid="{EBEBA14D-9ADD-46C0-AD20-BCC29016A912}" name="Payment_Code" dataDxfId="21">
      <calculatedColumnFormula array="1">_xlfn.SWITCH(P2,"Cash","C","Card","CR","UPI","U","Net Banking","NB")</calculatedColumnFormula>
    </tableColumn>
    <tableColumn id="3" xr3:uid="{FF37A049-5085-42CE-ACFD-AAD3779D16CF}" name="Region_Manager" dataDxfId="20">
      <calculatedColumnFormula array="1">_xlfn.SWITCH(E2,"East","Rahul","West","Amit","North","Priya","South","Karan")</calculatedColumnFormula>
    </tableColumn>
    <tableColumn id="4" xr3:uid="{C2F6D14C-EEB3-4599-9BAE-4587BA2E8AFE}" name="Department" dataDxfId="19">
      <calculatedColumnFormula array="1">_xlfn.SWITCH(H2,"Electronics","Tech","Furniture","Home","Office Supplies","Office")</calculatedColumnFormula>
    </tableColumn>
    <tableColumn id="5" xr3:uid="{FF28D315-FC40-4E46-B61D-82EC2080E746}" name="Customer_Level" dataDxfId="18">
      <calculatedColumnFormula array="1">_xlfn.SWITCH(D2,"Regular","Level 1","Premium","Level 2","VIP","Level 3")</calculatedColumnFormula>
    </tableColumn>
    <tableColumn id="6" xr3:uid="{FFBC6DCE-FC12-46D8-9B32-B0BFBBBA9D17}" name="Delivery_Code" dataDxfId="17">
      <calculatedColumnFormula array="1">_xlfn.SWITCH(U2,"Express","EXP","Fast","STD","Normal","NOR","Delayed","DLY")</calculatedColumnFormula>
    </tableColumn>
  </tableColumns>
  <tableStyleInfo name="TableStyleDark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4DF63D-F79E-4322-81C2-EFCC97386C64}" name="Table5" displayName="Table5" ref="U1:Z51" totalsRowShown="0" headerRowBorderDxfId="15" tableBorderDxfId="16" totalsRowBorderDxfId="14">
  <autoFilter ref="U1:Z51" xr:uid="{304DF63D-F79E-4322-81C2-EFCC97386C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437D11D-AE94-4FDB-9919-E4FBC161B178}" name="Achievement" dataDxfId="13">
      <calculatedColumnFormula>L2/S2*100</calculatedColumnFormula>
    </tableColumn>
    <tableColumn id="2" xr3:uid="{322CD1B9-FB8C-405B-8353-B00A1C19F337}" name="Fraud_Flag" dataDxfId="12">
      <calculatedColumnFormula>IF(AND(L2&gt;100000,P2="Cash",Q2="Yes"),"Possible Fraud","Normal")</calculatedColumnFormula>
    </tableColumn>
    <tableColumn id="3" xr3:uid="{B2429181-6367-4807-A258-2EEE0301566E}" name="Loyalty_Level" dataDxfId="11">
      <calculatedColumnFormula array="1">_xlfn.IFS(
AND(D2="VIP",R2&gt;=4),"VIP Loyalty",
AND(D2="Premium",R2&gt;=4),"Premium Loyalty",
AND(D2="Regular",R2&gt;=4),"Regular Loyalty",
TRUE,"Need Improvement"
)</calculatedColumnFormula>
    </tableColumn>
    <tableColumn id="4" xr3:uid="{0B615809-B708-422B-B550-244BE900E767}" name="Warehouse_Alert." dataDxfId="10">
      <calculatedColumnFormula>IF(OR(N2&lt;5,O2&gt;8,Q2="Yes"),"Alert","Not Alert")</calculatedColumnFormula>
    </tableColumn>
    <tableColumn id="5" xr3:uid="{B97E792B-85DC-4C9D-BF59-F3EEDE1FE6C7}" name="Performance_Grade" dataDxfId="9">
      <calculatedColumnFormula array="1">_xlfn.IFS(
U2&gt;120,"A",
U2&gt;=100,"B",
U2&gt;=80,"C",
TRUE,"D"
)</calculatedColumnFormula>
    </tableColumn>
    <tableColumn id="6" xr3:uid="{E36E447E-3096-4F9E-A17E-8696CDCFC215}" name="Dashboard_Status" dataDxfId="8">
      <calculatedColumnFormula array="1">_xlfn.IFS(
AND(M2&gt;20000,R2&gt;=4),"Green",
M2&gt;10000,"Yellow",
TRUE,"Red"
)</calculatedColumnFormula>
    </tableColumn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workbookViewId="0">
      <selection activeCell="C32" sqref="C32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14.88671875" bestFit="1" customWidth="1"/>
    <col min="4" max="4" width="13.88671875" bestFit="1" customWidth="1"/>
    <col min="5" max="5" width="6.5546875" bestFit="1" customWidth="1"/>
    <col min="6" max="6" width="10.6640625" bestFit="1" customWidth="1"/>
    <col min="7" max="7" width="9.21875" bestFit="1" customWidth="1"/>
    <col min="8" max="8" width="13.109375" bestFit="1" customWidth="1"/>
    <col min="9" max="9" width="8" bestFit="1" customWidth="1"/>
    <col min="10" max="10" width="9.44140625" bestFit="1" customWidth="1"/>
    <col min="11" max="11" width="10.5546875" bestFit="1" customWidth="1"/>
    <col min="12" max="12" width="7" bestFit="1" customWidth="1"/>
    <col min="13" max="13" width="10" bestFit="1" customWidth="1"/>
    <col min="14" max="14" width="13.88671875" bestFit="1" customWidth="1"/>
    <col min="15" max="15" width="12.44140625" bestFit="1" customWidth="1"/>
    <col min="16" max="16" width="14" bestFit="1" customWidth="1"/>
    <col min="17" max="17" width="8.44140625" bestFit="1" customWidth="1"/>
    <col min="18" max="18" width="15.109375" bestFit="1" customWidth="1"/>
    <col min="19" max="19" width="7" bestFit="1" customWidth="1"/>
    <col min="20" max="20" width="11.21875" bestFit="1" customWidth="1"/>
  </cols>
  <sheetData>
    <row r="1" spans="1:20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>
        <v>4</v>
      </c>
      <c r="J2" s="3">
        <v>500</v>
      </c>
      <c r="K2" s="3">
        <v>15</v>
      </c>
      <c r="L2" s="3">
        <v>1700</v>
      </c>
      <c r="M2" s="3">
        <v>51.99</v>
      </c>
      <c r="N2" s="3">
        <v>91</v>
      </c>
      <c r="O2" s="3">
        <v>5</v>
      </c>
      <c r="P2" s="3" t="s">
        <v>28</v>
      </c>
      <c r="Q2" s="3" t="s">
        <v>29</v>
      </c>
      <c r="R2" s="3">
        <v>2</v>
      </c>
      <c r="S2" s="3">
        <v>132243</v>
      </c>
      <c r="T2" s="3">
        <v>2015.5</v>
      </c>
    </row>
    <row r="3" spans="1:20" x14ac:dyDescent="0.3">
      <c r="A3" s="3" t="s">
        <v>30</v>
      </c>
      <c r="B3" s="3" t="s">
        <v>31</v>
      </c>
      <c r="C3" s="3" t="s">
        <v>32</v>
      </c>
      <c r="D3" s="3" t="s">
        <v>33</v>
      </c>
      <c r="E3" s="3" t="s">
        <v>24</v>
      </c>
      <c r="F3" s="3" t="s">
        <v>34</v>
      </c>
      <c r="G3" s="3" t="s">
        <v>35</v>
      </c>
      <c r="H3" s="3" t="s">
        <v>36</v>
      </c>
      <c r="I3" s="3">
        <v>4</v>
      </c>
      <c r="J3" s="3">
        <v>500</v>
      </c>
      <c r="K3" s="3">
        <v>10</v>
      </c>
      <c r="L3" s="3">
        <v>1800</v>
      </c>
      <c r="M3" s="3">
        <v>487.97</v>
      </c>
      <c r="N3" s="3">
        <v>64</v>
      </c>
      <c r="O3" s="3">
        <v>7</v>
      </c>
      <c r="P3" s="3" t="s">
        <v>28</v>
      </c>
      <c r="Q3" s="3" t="s">
        <v>37</v>
      </c>
      <c r="R3" s="3">
        <v>4</v>
      </c>
      <c r="S3" s="3">
        <v>104471</v>
      </c>
      <c r="T3" s="3">
        <v>2019.21</v>
      </c>
    </row>
    <row r="4" spans="1:20" x14ac:dyDescent="0.3">
      <c r="A4" s="3" t="s">
        <v>38</v>
      </c>
      <c r="B4" s="3" t="s">
        <v>39</v>
      </c>
      <c r="C4" s="3" t="s">
        <v>40</v>
      </c>
      <c r="D4" s="3" t="s">
        <v>23</v>
      </c>
      <c r="E4" s="3" t="s">
        <v>41</v>
      </c>
      <c r="F4" s="3" t="s">
        <v>34</v>
      </c>
      <c r="G4" s="3" t="s">
        <v>42</v>
      </c>
      <c r="H4" s="3" t="s">
        <v>43</v>
      </c>
      <c r="I4" s="3">
        <v>10</v>
      </c>
      <c r="J4" s="3">
        <v>1200</v>
      </c>
      <c r="K4" s="3">
        <v>20</v>
      </c>
      <c r="L4" s="3">
        <v>9600</v>
      </c>
      <c r="M4" s="3">
        <v>-169.53</v>
      </c>
      <c r="N4" s="3">
        <v>88</v>
      </c>
      <c r="O4" s="3">
        <v>5</v>
      </c>
      <c r="P4" s="3" t="s">
        <v>44</v>
      </c>
      <c r="Q4" s="3" t="s">
        <v>29</v>
      </c>
      <c r="R4" s="3">
        <v>3</v>
      </c>
      <c r="S4" s="3">
        <v>10899</v>
      </c>
      <c r="T4" s="3">
        <v>7827.1</v>
      </c>
    </row>
    <row r="5" spans="1:20" x14ac:dyDescent="0.3">
      <c r="A5" s="3" t="s">
        <v>45</v>
      </c>
      <c r="B5" s="3" t="s">
        <v>46</v>
      </c>
      <c r="C5" s="3" t="s">
        <v>22</v>
      </c>
      <c r="D5" s="3" t="s">
        <v>47</v>
      </c>
      <c r="E5" s="3" t="s">
        <v>48</v>
      </c>
      <c r="F5" s="3" t="s">
        <v>34</v>
      </c>
      <c r="G5" s="3" t="s">
        <v>35</v>
      </c>
      <c r="H5" s="3" t="s">
        <v>36</v>
      </c>
      <c r="I5" s="3">
        <v>1</v>
      </c>
      <c r="J5" s="3">
        <v>45000</v>
      </c>
      <c r="K5" s="3">
        <v>20</v>
      </c>
      <c r="L5" s="3">
        <v>36000</v>
      </c>
      <c r="M5" s="3">
        <v>1792.12</v>
      </c>
      <c r="N5" s="3">
        <v>62</v>
      </c>
      <c r="O5" s="3">
        <v>4</v>
      </c>
      <c r="P5" s="3" t="s">
        <v>28</v>
      </c>
      <c r="Q5" s="3" t="s">
        <v>29</v>
      </c>
      <c r="R5" s="3">
        <v>5</v>
      </c>
      <c r="S5" s="3">
        <v>131058</v>
      </c>
      <c r="T5" s="3">
        <v>41969.91</v>
      </c>
    </row>
    <row r="6" spans="1:20" x14ac:dyDescent="0.3">
      <c r="A6" s="3" t="s">
        <v>49</v>
      </c>
      <c r="B6" s="3" t="s">
        <v>50</v>
      </c>
      <c r="C6" s="3" t="s">
        <v>51</v>
      </c>
      <c r="D6" s="3" t="s">
        <v>47</v>
      </c>
      <c r="E6" s="3" t="s">
        <v>24</v>
      </c>
      <c r="F6" s="3" t="s">
        <v>52</v>
      </c>
      <c r="G6" s="3" t="s">
        <v>53</v>
      </c>
      <c r="H6" s="3" t="s">
        <v>43</v>
      </c>
      <c r="I6" s="3">
        <v>8</v>
      </c>
      <c r="J6" s="3">
        <v>1200</v>
      </c>
      <c r="K6" s="3">
        <v>5</v>
      </c>
      <c r="L6" s="3">
        <v>9120</v>
      </c>
      <c r="M6" s="3">
        <v>349.33</v>
      </c>
      <c r="N6" s="3">
        <v>69</v>
      </c>
      <c r="O6" s="3">
        <v>1</v>
      </c>
      <c r="P6" s="3" t="s">
        <v>44</v>
      </c>
      <c r="Q6" s="3" t="s">
        <v>29</v>
      </c>
      <c r="R6" s="3">
        <v>2</v>
      </c>
      <c r="S6" s="3">
        <v>119588</v>
      </c>
      <c r="T6" s="3">
        <v>7299.86</v>
      </c>
    </row>
    <row r="7" spans="1:20" x14ac:dyDescent="0.3">
      <c r="A7" s="3" t="s">
        <v>54</v>
      </c>
      <c r="B7" s="3" t="s">
        <v>55</v>
      </c>
      <c r="C7" s="3" t="s">
        <v>56</v>
      </c>
      <c r="D7" s="3" t="s">
        <v>47</v>
      </c>
      <c r="E7" s="3" t="s">
        <v>57</v>
      </c>
      <c r="F7" s="3" t="s">
        <v>58</v>
      </c>
      <c r="G7" s="3" t="s">
        <v>35</v>
      </c>
      <c r="H7" s="3" t="s">
        <v>36</v>
      </c>
      <c r="I7" s="3">
        <v>1</v>
      </c>
      <c r="J7" s="3">
        <v>8000</v>
      </c>
      <c r="K7" s="3">
        <v>5</v>
      </c>
      <c r="L7" s="3">
        <v>7600</v>
      </c>
      <c r="M7" s="3">
        <v>604.42999999999995</v>
      </c>
      <c r="N7" s="3">
        <v>99</v>
      </c>
      <c r="O7" s="3">
        <v>5</v>
      </c>
      <c r="P7" s="3" t="s">
        <v>59</v>
      </c>
      <c r="Q7" s="3" t="s">
        <v>29</v>
      </c>
      <c r="R7" s="3">
        <v>3</v>
      </c>
      <c r="S7" s="3">
        <v>132166</v>
      </c>
      <c r="T7" s="3">
        <v>8696.07</v>
      </c>
    </row>
    <row r="8" spans="1:20" x14ac:dyDescent="0.3">
      <c r="A8" s="3" t="s">
        <v>60</v>
      </c>
      <c r="B8" s="3" t="s">
        <v>61</v>
      </c>
      <c r="C8" s="3" t="s">
        <v>32</v>
      </c>
      <c r="D8" s="3" t="s">
        <v>33</v>
      </c>
      <c r="E8" s="3" t="s">
        <v>41</v>
      </c>
      <c r="F8" s="3" t="s">
        <v>34</v>
      </c>
      <c r="G8" s="3" t="s">
        <v>35</v>
      </c>
      <c r="H8" s="3" t="s">
        <v>36</v>
      </c>
      <c r="I8" s="3">
        <v>2</v>
      </c>
      <c r="J8" s="3">
        <v>65000</v>
      </c>
      <c r="K8" s="3">
        <v>10</v>
      </c>
      <c r="L8" s="3">
        <v>117000</v>
      </c>
      <c r="M8" s="3">
        <v>27229.17</v>
      </c>
      <c r="N8" s="3">
        <v>43</v>
      </c>
      <c r="O8" s="3">
        <v>1</v>
      </c>
      <c r="P8" s="3" t="s">
        <v>59</v>
      </c>
      <c r="Q8" s="3" t="s">
        <v>29</v>
      </c>
      <c r="R8" s="3">
        <v>1</v>
      </c>
      <c r="S8" s="3">
        <v>149850</v>
      </c>
      <c r="T8" s="3">
        <v>128230.79</v>
      </c>
    </row>
    <row r="9" spans="1:20" x14ac:dyDescent="0.3">
      <c r="A9" s="3" t="s">
        <v>62</v>
      </c>
      <c r="B9" s="3" t="s">
        <v>63</v>
      </c>
      <c r="C9" s="3" t="s">
        <v>40</v>
      </c>
      <c r="D9" s="3" t="s">
        <v>23</v>
      </c>
      <c r="E9" s="3" t="s">
        <v>24</v>
      </c>
      <c r="F9" s="3" t="s">
        <v>52</v>
      </c>
      <c r="G9" s="3" t="s">
        <v>35</v>
      </c>
      <c r="H9" s="3" t="s">
        <v>36</v>
      </c>
      <c r="I9" s="3">
        <v>2</v>
      </c>
      <c r="J9" s="3">
        <v>3500</v>
      </c>
      <c r="K9" s="3">
        <v>15</v>
      </c>
      <c r="L9" s="3">
        <v>5950</v>
      </c>
      <c r="M9" s="3">
        <v>1094.46</v>
      </c>
      <c r="N9" s="3">
        <v>50</v>
      </c>
      <c r="O9" s="3">
        <v>5</v>
      </c>
      <c r="P9" s="3" t="s">
        <v>28</v>
      </c>
      <c r="Q9" s="3" t="s">
        <v>29</v>
      </c>
      <c r="R9" s="3">
        <v>4</v>
      </c>
      <c r="S9" s="3">
        <v>84194</v>
      </c>
      <c r="T9" s="3">
        <v>4805.29</v>
      </c>
    </row>
    <row r="10" spans="1:20" x14ac:dyDescent="0.3">
      <c r="A10" s="3" t="s">
        <v>64</v>
      </c>
      <c r="B10" s="3" t="s">
        <v>65</v>
      </c>
      <c r="C10" s="3" t="s">
        <v>40</v>
      </c>
      <c r="D10" s="3" t="s">
        <v>47</v>
      </c>
      <c r="E10" s="3" t="s">
        <v>48</v>
      </c>
      <c r="F10" s="3" t="s">
        <v>52</v>
      </c>
      <c r="G10" s="3" t="s">
        <v>66</v>
      </c>
      <c r="H10" s="3" t="s">
        <v>27</v>
      </c>
      <c r="I10" s="3">
        <v>7</v>
      </c>
      <c r="J10" s="3">
        <v>8000</v>
      </c>
      <c r="K10" s="3">
        <v>15</v>
      </c>
      <c r="L10" s="3">
        <v>47600</v>
      </c>
      <c r="M10" s="3">
        <v>314.55</v>
      </c>
      <c r="N10" s="3">
        <v>2</v>
      </c>
      <c r="O10" s="3">
        <v>5</v>
      </c>
      <c r="P10" s="3" t="s">
        <v>67</v>
      </c>
      <c r="Q10" s="3" t="s">
        <v>37</v>
      </c>
      <c r="R10" s="3">
        <v>3</v>
      </c>
      <c r="S10" s="3">
        <v>79719</v>
      </c>
      <c r="T10" s="3">
        <v>39771.78</v>
      </c>
    </row>
    <row r="11" spans="1:20" x14ac:dyDescent="0.3">
      <c r="A11" s="3" t="s">
        <v>68</v>
      </c>
      <c r="B11" s="3" t="s">
        <v>69</v>
      </c>
      <c r="C11" s="3" t="s">
        <v>22</v>
      </c>
      <c r="D11" s="3" t="s">
        <v>47</v>
      </c>
      <c r="E11" s="3" t="s">
        <v>24</v>
      </c>
      <c r="F11" s="3" t="s">
        <v>70</v>
      </c>
      <c r="G11" s="3" t="s">
        <v>66</v>
      </c>
      <c r="H11" s="3" t="s">
        <v>27</v>
      </c>
      <c r="I11" s="3">
        <v>6</v>
      </c>
      <c r="J11" s="3">
        <v>15000</v>
      </c>
      <c r="K11" s="3">
        <v>15</v>
      </c>
      <c r="L11" s="3">
        <v>76500</v>
      </c>
      <c r="M11" s="3">
        <v>26298.31</v>
      </c>
      <c r="N11" s="3">
        <v>12</v>
      </c>
      <c r="O11" s="3">
        <v>2</v>
      </c>
      <c r="P11" s="3" t="s">
        <v>28</v>
      </c>
      <c r="Q11" s="3" t="s">
        <v>29</v>
      </c>
      <c r="R11" s="3">
        <v>1</v>
      </c>
      <c r="S11" s="3">
        <v>134669</v>
      </c>
      <c r="T11" s="3">
        <v>79515.14</v>
      </c>
    </row>
    <row r="12" spans="1:20" x14ac:dyDescent="0.3">
      <c r="A12" s="3" t="s">
        <v>71</v>
      </c>
      <c r="B12" s="3" t="s">
        <v>72</v>
      </c>
      <c r="C12" s="3" t="s">
        <v>40</v>
      </c>
      <c r="D12" s="3" t="s">
        <v>47</v>
      </c>
      <c r="E12" s="3" t="s">
        <v>41</v>
      </c>
      <c r="F12" s="3" t="s">
        <v>52</v>
      </c>
      <c r="G12" s="3" t="s">
        <v>66</v>
      </c>
      <c r="H12" s="3" t="s">
        <v>27</v>
      </c>
      <c r="I12" s="3">
        <v>4</v>
      </c>
      <c r="J12" s="3">
        <v>1200</v>
      </c>
      <c r="K12" s="3">
        <v>20</v>
      </c>
      <c r="L12" s="3">
        <v>3840</v>
      </c>
      <c r="M12" s="3">
        <v>1238.3599999999999</v>
      </c>
      <c r="N12" s="3">
        <v>53</v>
      </c>
      <c r="O12" s="3">
        <v>5</v>
      </c>
      <c r="P12" s="3" t="s">
        <v>67</v>
      </c>
      <c r="Q12" s="3" t="s">
        <v>37</v>
      </c>
      <c r="R12" s="3">
        <v>1</v>
      </c>
      <c r="S12" s="3">
        <v>18666</v>
      </c>
      <c r="T12" s="3">
        <v>3814.81</v>
      </c>
    </row>
    <row r="13" spans="1:20" x14ac:dyDescent="0.3">
      <c r="A13" s="3" t="s">
        <v>73</v>
      </c>
      <c r="B13" s="3" t="s">
        <v>74</v>
      </c>
      <c r="C13" s="3" t="s">
        <v>32</v>
      </c>
      <c r="D13" s="3" t="s">
        <v>33</v>
      </c>
      <c r="E13" s="3" t="s">
        <v>57</v>
      </c>
      <c r="F13" s="3" t="s">
        <v>34</v>
      </c>
      <c r="G13" s="3" t="s">
        <v>26</v>
      </c>
      <c r="H13" s="3" t="s">
        <v>27</v>
      </c>
      <c r="I13" s="3">
        <v>2</v>
      </c>
      <c r="J13" s="3">
        <v>15000</v>
      </c>
      <c r="K13" s="3">
        <v>20</v>
      </c>
      <c r="L13" s="3">
        <v>24000</v>
      </c>
      <c r="M13" s="3">
        <v>8213.57</v>
      </c>
      <c r="N13" s="3">
        <v>21</v>
      </c>
      <c r="O13" s="3">
        <v>8</v>
      </c>
      <c r="P13" s="3" t="s">
        <v>44</v>
      </c>
      <c r="Q13" s="3" t="s">
        <v>37</v>
      </c>
      <c r="R13" s="3">
        <v>1</v>
      </c>
      <c r="S13" s="3">
        <v>50024</v>
      </c>
      <c r="T13" s="3">
        <v>20129.91</v>
      </c>
    </row>
    <row r="14" spans="1:20" x14ac:dyDescent="0.3">
      <c r="A14" s="3" t="s">
        <v>75</v>
      </c>
      <c r="B14" s="3" t="s">
        <v>76</v>
      </c>
      <c r="C14" s="3" t="s">
        <v>77</v>
      </c>
      <c r="D14" s="3" t="s">
        <v>23</v>
      </c>
      <c r="E14" s="3" t="s">
        <v>57</v>
      </c>
      <c r="F14" s="3" t="s">
        <v>70</v>
      </c>
      <c r="G14" s="3" t="s">
        <v>66</v>
      </c>
      <c r="H14" s="3" t="s">
        <v>27</v>
      </c>
      <c r="I14" s="3">
        <v>9</v>
      </c>
      <c r="J14" s="3">
        <v>3500</v>
      </c>
      <c r="K14" s="3">
        <v>20</v>
      </c>
      <c r="L14" s="3">
        <v>25200</v>
      </c>
      <c r="M14" s="3">
        <v>437.3</v>
      </c>
      <c r="N14" s="3">
        <v>70</v>
      </c>
      <c r="O14" s="3">
        <v>1</v>
      </c>
      <c r="P14" s="3" t="s">
        <v>28</v>
      </c>
      <c r="Q14" s="3" t="s">
        <v>37</v>
      </c>
      <c r="R14" s="3">
        <v>3</v>
      </c>
      <c r="S14" s="3">
        <v>44189</v>
      </c>
      <c r="T14" s="3">
        <v>29089.43</v>
      </c>
    </row>
    <row r="15" spans="1:20" x14ac:dyDescent="0.3">
      <c r="A15" s="3" t="s">
        <v>78</v>
      </c>
      <c r="B15" s="3" t="s">
        <v>74</v>
      </c>
      <c r="C15" s="3" t="s">
        <v>79</v>
      </c>
      <c r="D15" s="3" t="s">
        <v>23</v>
      </c>
      <c r="E15" s="3" t="s">
        <v>57</v>
      </c>
      <c r="F15" s="3" t="s">
        <v>52</v>
      </c>
      <c r="G15" s="3" t="s">
        <v>80</v>
      </c>
      <c r="H15" s="3" t="s">
        <v>36</v>
      </c>
      <c r="I15" s="3">
        <v>10</v>
      </c>
      <c r="J15" s="3">
        <v>65000</v>
      </c>
      <c r="K15" s="3">
        <v>15</v>
      </c>
      <c r="L15" s="3">
        <v>552500</v>
      </c>
      <c r="M15" s="3">
        <v>107781.23</v>
      </c>
      <c r="N15" s="3">
        <v>47</v>
      </c>
      <c r="O15" s="3">
        <v>1</v>
      </c>
      <c r="P15" s="3" t="s">
        <v>28</v>
      </c>
      <c r="Q15" s="3" t="s">
        <v>29</v>
      </c>
      <c r="R15" s="3">
        <v>1</v>
      </c>
      <c r="S15" s="3">
        <v>71563</v>
      </c>
      <c r="T15" s="3">
        <v>488233.7</v>
      </c>
    </row>
    <row r="16" spans="1:20" x14ac:dyDescent="0.3">
      <c r="A16" s="3" t="s">
        <v>81</v>
      </c>
      <c r="B16" s="3" t="s">
        <v>82</v>
      </c>
      <c r="C16" s="3" t="s">
        <v>32</v>
      </c>
      <c r="D16" s="3" t="s">
        <v>47</v>
      </c>
      <c r="E16" s="3" t="s">
        <v>57</v>
      </c>
      <c r="F16" s="3" t="s">
        <v>70</v>
      </c>
      <c r="G16" s="3" t="s">
        <v>80</v>
      </c>
      <c r="H16" s="3" t="s">
        <v>36</v>
      </c>
      <c r="I16" s="3">
        <v>4</v>
      </c>
      <c r="J16" s="3">
        <v>8000</v>
      </c>
      <c r="K16" s="3">
        <v>5</v>
      </c>
      <c r="L16" s="3">
        <v>30400</v>
      </c>
      <c r="M16" s="3">
        <v>1141.05</v>
      </c>
      <c r="N16" s="3">
        <v>89</v>
      </c>
      <c r="O16" s="3">
        <v>5</v>
      </c>
      <c r="P16" s="3" t="s">
        <v>44</v>
      </c>
      <c r="Q16" s="3" t="s">
        <v>37</v>
      </c>
      <c r="R16" s="3">
        <v>3</v>
      </c>
      <c r="S16" s="3">
        <v>45147</v>
      </c>
      <c r="T16" s="3">
        <v>27310.69</v>
      </c>
    </row>
    <row r="17" spans="1:20" x14ac:dyDescent="0.3">
      <c r="A17" s="3" t="s">
        <v>83</v>
      </c>
      <c r="B17" s="3" t="s">
        <v>84</v>
      </c>
      <c r="C17" s="3" t="s">
        <v>85</v>
      </c>
      <c r="D17" s="3" t="s">
        <v>23</v>
      </c>
      <c r="E17" s="3" t="s">
        <v>48</v>
      </c>
      <c r="F17" s="3" t="s">
        <v>34</v>
      </c>
      <c r="G17" s="3" t="s">
        <v>66</v>
      </c>
      <c r="H17" s="3" t="s">
        <v>27</v>
      </c>
      <c r="I17" s="3">
        <v>2</v>
      </c>
      <c r="J17" s="3">
        <v>500</v>
      </c>
      <c r="K17" s="3">
        <v>10</v>
      </c>
      <c r="L17" s="3">
        <v>900</v>
      </c>
      <c r="M17" s="3">
        <v>202.34</v>
      </c>
      <c r="N17" s="3">
        <v>3</v>
      </c>
      <c r="O17" s="3">
        <v>2</v>
      </c>
      <c r="P17" s="3" t="s">
        <v>67</v>
      </c>
      <c r="Q17" s="3" t="s">
        <v>37</v>
      </c>
      <c r="R17" s="3">
        <v>4</v>
      </c>
      <c r="S17" s="3">
        <v>28722</v>
      </c>
      <c r="T17" s="3">
        <v>1051.6400000000001</v>
      </c>
    </row>
    <row r="18" spans="1:20" x14ac:dyDescent="0.3">
      <c r="A18" s="3" t="s">
        <v>86</v>
      </c>
      <c r="B18" s="3" t="s">
        <v>87</v>
      </c>
      <c r="C18" s="3" t="s">
        <v>77</v>
      </c>
      <c r="D18" s="3" t="s">
        <v>47</v>
      </c>
      <c r="E18" s="3" t="s">
        <v>24</v>
      </c>
      <c r="F18" s="3" t="s">
        <v>34</v>
      </c>
      <c r="G18" s="3" t="s">
        <v>53</v>
      </c>
      <c r="H18" s="3" t="s">
        <v>43</v>
      </c>
      <c r="I18" s="3">
        <v>2</v>
      </c>
      <c r="J18" s="3">
        <v>65000</v>
      </c>
      <c r="K18" s="3">
        <v>15</v>
      </c>
      <c r="L18" s="3">
        <v>110500</v>
      </c>
      <c r="M18" s="3">
        <v>2356.96</v>
      </c>
      <c r="N18" s="3">
        <v>13</v>
      </c>
      <c r="O18" s="3">
        <v>1</v>
      </c>
      <c r="P18" s="3" t="s">
        <v>67</v>
      </c>
      <c r="Q18" s="3" t="s">
        <v>29</v>
      </c>
      <c r="R18" s="3">
        <v>4</v>
      </c>
      <c r="S18" s="3">
        <v>74450</v>
      </c>
      <c r="T18" s="3">
        <v>94516.06</v>
      </c>
    </row>
    <row r="19" spans="1:20" x14ac:dyDescent="0.3">
      <c r="A19" s="3" t="s">
        <v>88</v>
      </c>
      <c r="B19" s="3" t="s">
        <v>89</v>
      </c>
      <c r="C19" s="3" t="s">
        <v>79</v>
      </c>
      <c r="D19" s="3" t="s">
        <v>33</v>
      </c>
      <c r="E19" s="3" t="s">
        <v>57</v>
      </c>
      <c r="F19" s="3" t="s">
        <v>52</v>
      </c>
      <c r="G19" s="3" t="s">
        <v>42</v>
      </c>
      <c r="H19" s="3" t="s">
        <v>43</v>
      </c>
      <c r="I19" s="3">
        <v>4</v>
      </c>
      <c r="J19" s="3">
        <v>8000</v>
      </c>
      <c r="K19" s="3">
        <v>10</v>
      </c>
      <c r="L19" s="3">
        <v>28800</v>
      </c>
      <c r="M19" s="3">
        <v>7737.61</v>
      </c>
      <c r="N19" s="3">
        <v>85</v>
      </c>
      <c r="O19" s="3">
        <v>3</v>
      </c>
      <c r="P19" s="3" t="s">
        <v>67</v>
      </c>
      <c r="Q19" s="3" t="s">
        <v>37</v>
      </c>
      <c r="R19" s="3">
        <v>1</v>
      </c>
      <c r="S19" s="3">
        <v>43805</v>
      </c>
      <c r="T19" s="3">
        <v>29524.89</v>
      </c>
    </row>
    <row r="20" spans="1:20" x14ac:dyDescent="0.3">
      <c r="A20" s="3" t="s">
        <v>90</v>
      </c>
      <c r="B20" s="3" t="s">
        <v>91</v>
      </c>
      <c r="C20" s="3" t="s">
        <v>51</v>
      </c>
      <c r="D20" s="3" t="s">
        <v>33</v>
      </c>
      <c r="E20" s="3" t="s">
        <v>24</v>
      </c>
      <c r="F20" s="3" t="s">
        <v>34</v>
      </c>
      <c r="G20" s="3" t="s">
        <v>42</v>
      </c>
      <c r="H20" s="3" t="s">
        <v>43</v>
      </c>
      <c r="I20" s="3">
        <v>10</v>
      </c>
      <c r="J20" s="3">
        <v>65000</v>
      </c>
      <c r="K20" s="3">
        <v>20</v>
      </c>
      <c r="L20" s="3">
        <v>520000</v>
      </c>
      <c r="M20" s="3">
        <v>-5447.07</v>
      </c>
      <c r="N20" s="3">
        <v>38</v>
      </c>
      <c r="O20" s="3">
        <v>3</v>
      </c>
      <c r="P20" s="3" t="s">
        <v>67</v>
      </c>
      <c r="Q20" s="3" t="s">
        <v>37</v>
      </c>
      <c r="R20" s="3">
        <v>2</v>
      </c>
      <c r="S20" s="3">
        <v>77469</v>
      </c>
      <c r="T20" s="3">
        <v>476870.19</v>
      </c>
    </row>
    <row r="21" spans="1:20" x14ac:dyDescent="0.3">
      <c r="A21" s="3" t="s">
        <v>92</v>
      </c>
      <c r="B21" s="3" t="s">
        <v>93</v>
      </c>
      <c r="C21" s="3" t="s">
        <v>32</v>
      </c>
      <c r="D21" s="3" t="s">
        <v>23</v>
      </c>
      <c r="E21" s="3" t="s">
        <v>41</v>
      </c>
      <c r="F21" s="3" t="s">
        <v>34</v>
      </c>
      <c r="G21" s="3" t="s">
        <v>26</v>
      </c>
      <c r="H21" s="3" t="s">
        <v>27</v>
      </c>
      <c r="I21" s="3">
        <v>5</v>
      </c>
      <c r="J21" s="3">
        <v>45000</v>
      </c>
      <c r="K21" s="3">
        <v>15</v>
      </c>
      <c r="L21" s="3">
        <v>191250</v>
      </c>
      <c r="M21" s="3">
        <v>4887.8900000000003</v>
      </c>
      <c r="N21" s="3">
        <v>32</v>
      </c>
      <c r="O21" s="3">
        <v>5</v>
      </c>
      <c r="P21" s="3" t="s">
        <v>59</v>
      </c>
      <c r="Q21" s="3" t="s">
        <v>29</v>
      </c>
      <c r="R21" s="3">
        <v>5</v>
      </c>
      <c r="S21" s="3">
        <v>122385</v>
      </c>
      <c r="T21" s="3">
        <v>191035.76</v>
      </c>
    </row>
    <row r="22" spans="1:20" x14ac:dyDescent="0.3">
      <c r="A22" s="3" t="s">
        <v>94</v>
      </c>
      <c r="B22" s="3" t="s">
        <v>95</v>
      </c>
      <c r="C22" s="3" t="s">
        <v>56</v>
      </c>
      <c r="D22" s="3" t="s">
        <v>33</v>
      </c>
      <c r="E22" s="3" t="s">
        <v>48</v>
      </c>
      <c r="F22" s="3" t="s">
        <v>52</v>
      </c>
      <c r="G22" s="3" t="s">
        <v>26</v>
      </c>
      <c r="H22" s="3" t="s">
        <v>27</v>
      </c>
      <c r="I22" s="3">
        <v>5</v>
      </c>
      <c r="J22" s="3">
        <v>45000</v>
      </c>
      <c r="K22" s="3">
        <v>5</v>
      </c>
      <c r="L22" s="3">
        <v>213750</v>
      </c>
      <c r="M22" s="3">
        <v>34299.47</v>
      </c>
      <c r="N22" s="3">
        <v>7</v>
      </c>
      <c r="O22" s="3">
        <v>10</v>
      </c>
      <c r="P22" s="3" t="s">
        <v>28</v>
      </c>
      <c r="Q22" s="3" t="s">
        <v>37</v>
      </c>
      <c r="R22" s="3">
        <v>4</v>
      </c>
      <c r="S22" s="3">
        <v>23150</v>
      </c>
      <c r="T22" s="3">
        <v>233374.18</v>
      </c>
    </row>
    <row r="23" spans="1:20" x14ac:dyDescent="0.3">
      <c r="A23" s="3" t="s">
        <v>96</v>
      </c>
      <c r="B23" s="3" t="s">
        <v>65</v>
      </c>
      <c r="C23" s="3" t="s">
        <v>97</v>
      </c>
      <c r="D23" s="3" t="s">
        <v>33</v>
      </c>
      <c r="E23" s="3" t="s">
        <v>41</v>
      </c>
      <c r="F23" s="3" t="s">
        <v>25</v>
      </c>
      <c r="G23" s="3" t="s">
        <v>66</v>
      </c>
      <c r="H23" s="3" t="s">
        <v>27</v>
      </c>
      <c r="I23" s="3">
        <v>6</v>
      </c>
      <c r="J23" s="3">
        <v>8000</v>
      </c>
      <c r="K23" s="3">
        <v>5</v>
      </c>
      <c r="L23" s="3">
        <v>45600</v>
      </c>
      <c r="M23" s="3">
        <v>7280.44</v>
      </c>
      <c r="N23" s="3">
        <v>7</v>
      </c>
      <c r="O23" s="3">
        <v>4</v>
      </c>
      <c r="P23" s="3" t="s">
        <v>59</v>
      </c>
      <c r="Q23" s="3" t="s">
        <v>29</v>
      </c>
      <c r="R23" s="3">
        <v>2</v>
      </c>
      <c r="S23" s="3">
        <v>149728</v>
      </c>
      <c r="T23" s="3">
        <v>45999.06</v>
      </c>
    </row>
    <row r="24" spans="1:20" x14ac:dyDescent="0.3">
      <c r="A24" s="3" t="s">
        <v>98</v>
      </c>
      <c r="B24" s="3" t="s">
        <v>99</v>
      </c>
      <c r="C24" s="3" t="s">
        <v>77</v>
      </c>
      <c r="D24" s="3" t="s">
        <v>23</v>
      </c>
      <c r="E24" s="3" t="s">
        <v>24</v>
      </c>
      <c r="F24" s="3" t="s">
        <v>52</v>
      </c>
      <c r="G24" s="3" t="s">
        <v>26</v>
      </c>
      <c r="H24" s="3" t="s">
        <v>27</v>
      </c>
      <c r="I24" s="3">
        <v>5</v>
      </c>
      <c r="J24" s="3">
        <v>65000</v>
      </c>
      <c r="K24" s="3">
        <v>15</v>
      </c>
      <c r="L24" s="3">
        <v>276250</v>
      </c>
      <c r="M24" s="3">
        <v>66751.67</v>
      </c>
      <c r="N24" s="3">
        <v>67</v>
      </c>
      <c r="O24" s="3">
        <v>5</v>
      </c>
      <c r="P24" s="3" t="s">
        <v>59</v>
      </c>
      <c r="Q24" s="3" t="s">
        <v>29</v>
      </c>
      <c r="R24" s="3">
        <v>5</v>
      </c>
      <c r="S24" s="3">
        <v>94579</v>
      </c>
      <c r="T24" s="3">
        <v>313749.99</v>
      </c>
    </row>
    <row r="25" spans="1:20" x14ac:dyDescent="0.3">
      <c r="A25" s="3" t="s">
        <v>100</v>
      </c>
      <c r="B25" s="3" t="s">
        <v>101</v>
      </c>
      <c r="C25" s="3" t="s">
        <v>85</v>
      </c>
      <c r="D25" s="3" t="s">
        <v>23</v>
      </c>
      <c r="E25" s="3" t="s">
        <v>57</v>
      </c>
      <c r="F25" s="3" t="s">
        <v>58</v>
      </c>
      <c r="G25" s="3" t="s">
        <v>26</v>
      </c>
      <c r="H25" s="3" t="s">
        <v>27</v>
      </c>
      <c r="I25" s="3">
        <v>9</v>
      </c>
      <c r="J25" s="3">
        <v>65000</v>
      </c>
      <c r="K25" s="3">
        <v>10</v>
      </c>
      <c r="L25" s="3">
        <v>526500</v>
      </c>
      <c r="M25" s="3">
        <v>66234.98</v>
      </c>
      <c r="N25" s="3">
        <v>46</v>
      </c>
      <c r="O25" s="3">
        <v>9</v>
      </c>
      <c r="P25" s="3" t="s">
        <v>28</v>
      </c>
      <c r="Q25" s="3" t="s">
        <v>29</v>
      </c>
      <c r="R25" s="3">
        <v>4</v>
      </c>
      <c r="S25" s="3">
        <v>143639</v>
      </c>
      <c r="T25" s="3">
        <v>507590.40000000002</v>
      </c>
    </row>
    <row r="26" spans="1:20" x14ac:dyDescent="0.3">
      <c r="A26" s="3" t="s">
        <v>102</v>
      </c>
      <c r="B26" s="3" t="s">
        <v>103</v>
      </c>
      <c r="C26" s="3" t="s">
        <v>77</v>
      </c>
      <c r="D26" s="3" t="s">
        <v>23</v>
      </c>
      <c r="E26" s="3" t="s">
        <v>24</v>
      </c>
      <c r="F26" s="3" t="s">
        <v>70</v>
      </c>
      <c r="G26" s="3" t="s">
        <v>80</v>
      </c>
      <c r="H26" s="3" t="s">
        <v>36</v>
      </c>
      <c r="I26" s="3">
        <v>4</v>
      </c>
      <c r="J26" s="3">
        <v>1200</v>
      </c>
      <c r="K26" s="3">
        <v>0</v>
      </c>
      <c r="L26" s="3">
        <v>4800</v>
      </c>
      <c r="M26" s="3">
        <v>1491.21</v>
      </c>
      <c r="N26" s="3">
        <v>28</v>
      </c>
      <c r="O26" s="3">
        <v>7</v>
      </c>
      <c r="P26" s="3" t="s">
        <v>67</v>
      </c>
      <c r="Q26" s="3" t="s">
        <v>37</v>
      </c>
      <c r="R26" s="3">
        <v>1</v>
      </c>
      <c r="S26" s="3">
        <v>45429</v>
      </c>
      <c r="T26" s="3">
        <v>5032.3999999999996</v>
      </c>
    </row>
    <row r="27" spans="1:20" x14ac:dyDescent="0.3">
      <c r="A27" s="3" t="s">
        <v>104</v>
      </c>
      <c r="B27" s="3" t="s">
        <v>105</v>
      </c>
      <c r="C27" s="3" t="s">
        <v>79</v>
      </c>
      <c r="D27" s="3" t="s">
        <v>47</v>
      </c>
      <c r="E27" s="3" t="s">
        <v>48</v>
      </c>
      <c r="F27" s="3" t="s">
        <v>34</v>
      </c>
      <c r="G27" s="3" t="s">
        <v>42</v>
      </c>
      <c r="H27" s="3" t="s">
        <v>43</v>
      </c>
      <c r="I27" s="3">
        <v>5</v>
      </c>
      <c r="J27" s="3">
        <v>500</v>
      </c>
      <c r="K27" s="3">
        <v>0</v>
      </c>
      <c r="L27" s="3">
        <v>2500</v>
      </c>
      <c r="M27" s="3">
        <v>599.72</v>
      </c>
      <c r="N27" s="3">
        <v>11</v>
      </c>
      <c r="O27" s="3">
        <v>2</v>
      </c>
      <c r="P27" s="3" t="s">
        <v>28</v>
      </c>
      <c r="Q27" s="3" t="s">
        <v>37</v>
      </c>
      <c r="R27" s="3">
        <v>3</v>
      </c>
      <c r="S27" s="3">
        <v>48512</v>
      </c>
      <c r="T27" s="3">
        <v>2719.1</v>
      </c>
    </row>
    <row r="28" spans="1:20" x14ac:dyDescent="0.3">
      <c r="A28" s="3" t="s">
        <v>106</v>
      </c>
      <c r="B28" s="3" t="s">
        <v>105</v>
      </c>
      <c r="C28" s="3" t="s">
        <v>51</v>
      </c>
      <c r="D28" s="3" t="s">
        <v>23</v>
      </c>
      <c r="E28" s="3" t="s">
        <v>57</v>
      </c>
      <c r="F28" s="3" t="s">
        <v>25</v>
      </c>
      <c r="G28" s="3" t="s">
        <v>26</v>
      </c>
      <c r="H28" s="3" t="s">
        <v>27</v>
      </c>
      <c r="I28" s="3">
        <v>6</v>
      </c>
      <c r="J28" s="3">
        <v>15000</v>
      </c>
      <c r="K28" s="3">
        <v>5</v>
      </c>
      <c r="L28" s="3">
        <v>85500</v>
      </c>
      <c r="M28" s="3">
        <v>15768.3</v>
      </c>
      <c r="N28" s="3">
        <v>4</v>
      </c>
      <c r="O28" s="3">
        <v>1</v>
      </c>
      <c r="P28" s="3" t="s">
        <v>59</v>
      </c>
      <c r="Q28" s="3" t="s">
        <v>37</v>
      </c>
      <c r="R28" s="3">
        <v>5</v>
      </c>
      <c r="S28" s="3">
        <v>131477</v>
      </c>
      <c r="T28" s="3">
        <v>90164.43</v>
      </c>
    </row>
    <row r="29" spans="1:20" x14ac:dyDescent="0.3">
      <c r="A29" s="3" t="s">
        <v>107</v>
      </c>
      <c r="B29" s="3" t="s">
        <v>108</v>
      </c>
      <c r="C29" s="3" t="s">
        <v>22</v>
      </c>
      <c r="D29" s="3" t="s">
        <v>23</v>
      </c>
      <c r="E29" s="3" t="s">
        <v>57</v>
      </c>
      <c r="F29" s="3" t="s">
        <v>58</v>
      </c>
      <c r="G29" s="3" t="s">
        <v>53</v>
      </c>
      <c r="H29" s="3" t="s">
        <v>43</v>
      </c>
      <c r="I29" s="3">
        <v>7</v>
      </c>
      <c r="J29" s="3">
        <v>8000</v>
      </c>
      <c r="K29" s="3">
        <v>10</v>
      </c>
      <c r="L29" s="3">
        <v>50400</v>
      </c>
      <c r="M29" s="3">
        <v>-2262.5</v>
      </c>
      <c r="N29" s="3">
        <v>3</v>
      </c>
      <c r="O29" s="3">
        <v>7</v>
      </c>
      <c r="P29" s="3" t="s">
        <v>28</v>
      </c>
      <c r="Q29" s="3" t="s">
        <v>29</v>
      </c>
      <c r="R29" s="3">
        <v>2</v>
      </c>
      <c r="S29" s="3">
        <v>99353</v>
      </c>
      <c r="T29" s="3">
        <v>47719.85</v>
      </c>
    </row>
    <row r="30" spans="1:20" x14ac:dyDescent="0.3">
      <c r="A30" s="3" t="s">
        <v>109</v>
      </c>
      <c r="B30" s="3" t="s">
        <v>110</v>
      </c>
      <c r="C30" s="3" t="s">
        <v>22</v>
      </c>
      <c r="D30" s="3" t="s">
        <v>23</v>
      </c>
      <c r="E30" s="3" t="s">
        <v>24</v>
      </c>
      <c r="F30" s="3" t="s">
        <v>70</v>
      </c>
      <c r="G30" s="3" t="s">
        <v>53</v>
      </c>
      <c r="H30" s="3" t="s">
        <v>43</v>
      </c>
      <c r="I30" s="3">
        <v>8</v>
      </c>
      <c r="J30" s="3">
        <v>500</v>
      </c>
      <c r="K30" s="3">
        <v>15</v>
      </c>
      <c r="L30" s="3">
        <v>3400</v>
      </c>
      <c r="M30" s="3">
        <v>0.1</v>
      </c>
      <c r="N30" s="3">
        <v>65</v>
      </c>
      <c r="O30" s="3">
        <v>2</v>
      </c>
      <c r="P30" s="3" t="s">
        <v>44</v>
      </c>
      <c r="Q30" s="3" t="s">
        <v>29</v>
      </c>
      <c r="R30" s="3">
        <v>1</v>
      </c>
      <c r="S30" s="3">
        <v>133638</v>
      </c>
      <c r="T30" s="3">
        <v>3643.81</v>
      </c>
    </row>
    <row r="31" spans="1:20" x14ac:dyDescent="0.3">
      <c r="A31" s="3" t="s">
        <v>111</v>
      </c>
      <c r="B31" s="3" t="s">
        <v>112</v>
      </c>
      <c r="C31" s="3" t="s">
        <v>51</v>
      </c>
      <c r="D31" s="3" t="s">
        <v>47</v>
      </c>
      <c r="E31" s="3" t="s">
        <v>24</v>
      </c>
      <c r="F31" s="3" t="s">
        <v>25</v>
      </c>
      <c r="G31" s="3" t="s">
        <v>35</v>
      </c>
      <c r="H31" s="3" t="s">
        <v>36</v>
      </c>
      <c r="I31" s="3">
        <v>2</v>
      </c>
      <c r="J31" s="3">
        <v>45000</v>
      </c>
      <c r="K31" s="3">
        <v>5</v>
      </c>
      <c r="L31" s="3">
        <v>85500</v>
      </c>
      <c r="M31" s="3">
        <v>20503.240000000002</v>
      </c>
      <c r="N31" s="3">
        <v>60</v>
      </c>
      <c r="O31" s="3">
        <v>1</v>
      </c>
      <c r="P31" s="3" t="s">
        <v>44</v>
      </c>
      <c r="Q31" s="3" t="s">
        <v>29</v>
      </c>
      <c r="R31" s="3">
        <v>1</v>
      </c>
      <c r="S31" s="3">
        <v>39652</v>
      </c>
      <c r="T31" s="3">
        <v>90343.98</v>
      </c>
    </row>
    <row r="32" spans="1:20" x14ac:dyDescent="0.3">
      <c r="A32" s="3" t="s">
        <v>113</v>
      </c>
      <c r="B32" s="3" t="s">
        <v>114</v>
      </c>
      <c r="C32" s="3" t="s">
        <v>77</v>
      </c>
      <c r="D32" s="3" t="s">
        <v>33</v>
      </c>
      <c r="E32" s="3" t="s">
        <v>57</v>
      </c>
      <c r="F32" s="3" t="s">
        <v>34</v>
      </c>
      <c r="G32" s="3" t="s">
        <v>80</v>
      </c>
      <c r="H32" s="3" t="s">
        <v>36</v>
      </c>
      <c r="I32" s="3">
        <v>1</v>
      </c>
      <c r="J32" s="3">
        <v>45000</v>
      </c>
      <c r="K32" s="3">
        <v>10</v>
      </c>
      <c r="L32" s="3">
        <v>40500</v>
      </c>
      <c r="M32" s="3">
        <v>13451.25</v>
      </c>
      <c r="N32" s="3">
        <v>99</v>
      </c>
      <c r="O32" s="3">
        <v>10</v>
      </c>
      <c r="P32" s="3" t="s">
        <v>67</v>
      </c>
      <c r="Q32" s="3" t="s">
        <v>29</v>
      </c>
      <c r="R32" s="3">
        <v>4</v>
      </c>
      <c r="S32" s="3">
        <v>133203</v>
      </c>
      <c r="T32" s="3">
        <v>40774.160000000003</v>
      </c>
    </row>
    <row r="33" spans="1:20" x14ac:dyDescent="0.3">
      <c r="A33" s="3" t="s">
        <v>115</v>
      </c>
      <c r="B33" s="3" t="s">
        <v>50</v>
      </c>
      <c r="C33" s="3" t="s">
        <v>77</v>
      </c>
      <c r="D33" s="3" t="s">
        <v>33</v>
      </c>
      <c r="E33" s="3" t="s">
        <v>24</v>
      </c>
      <c r="F33" s="3" t="s">
        <v>70</v>
      </c>
      <c r="G33" s="3" t="s">
        <v>53</v>
      </c>
      <c r="H33" s="3" t="s">
        <v>43</v>
      </c>
      <c r="I33" s="3">
        <v>5</v>
      </c>
      <c r="J33" s="3">
        <v>3500</v>
      </c>
      <c r="K33" s="3">
        <v>20</v>
      </c>
      <c r="L33" s="3">
        <v>14000</v>
      </c>
      <c r="M33" s="3">
        <v>-305.06</v>
      </c>
      <c r="N33" s="3">
        <v>94</v>
      </c>
      <c r="O33" s="3">
        <v>6</v>
      </c>
      <c r="P33" s="3" t="s">
        <v>67</v>
      </c>
      <c r="Q33" s="3" t="s">
        <v>29</v>
      </c>
      <c r="R33" s="3">
        <v>1</v>
      </c>
      <c r="S33" s="3">
        <v>41754</v>
      </c>
      <c r="T33" s="3">
        <v>11516.25</v>
      </c>
    </row>
    <row r="34" spans="1:20" x14ac:dyDescent="0.3">
      <c r="A34" s="3" t="s">
        <v>116</v>
      </c>
      <c r="B34" s="3" t="s">
        <v>117</v>
      </c>
      <c r="C34" s="3" t="s">
        <v>51</v>
      </c>
      <c r="D34" s="3" t="s">
        <v>47</v>
      </c>
      <c r="E34" s="3" t="s">
        <v>48</v>
      </c>
      <c r="F34" s="3" t="s">
        <v>70</v>
      </c>
      <c r="G34" s="3" t="s">
        <v>26</v>
      </c>
      <c r="H34" s="3" t="s">
        <v>27</v>
      </c>
      <c r="I34" s="3">
        <v>10</v>
      </c>
      <c r="J34" s="3">
        <v>45000</v>
      </c>
      <c r="K34" s="3">
        <v>20</v>
      </c>
      <c r="L34" s="3">
        <v>360000</v>
      </c>
      <c r="M34" s="3">
        <v>6498.18</v>
      </c>
      <c r="N34" s="3">
        <v>100</v>
      </c>
      <c r="O34" s="3">
        <v>7</v>
      </c>
      <c r="P34" s="3" t="s">
        <v>67</v>
      </c>
      <c r="Q34" s="3" t="s">
        <v>29</v>
      </c>
      <c r="R34" s="3">
        <v>2</v>
      </c>
      <c r="S34" s="3">
        <v>117623</v>
      </c>
      <c r="T34" s="3">
        <v>394047.61</v>
      </c>
    </row>
    <row r="35" spans="1:20" x14ac:dyDescent="0.3">
      <c r="A35" s="3" t="s">
        <v>118</v>
      </c>
      <c r="B35" s="3" t="s">
        <v>119</v>
      </c>
      <c r="C35" s="3" t="s">
        <v>32</v>
      </c>
      <c r="D35" s="3" t="s">
        <v>33</v>
      </c>
      <c r="E35" s="3" t="s">
        <v>41</v>
      </c>
      <c r="F35" s="3" t="s">
        <v>25</v>
      </c>
      <c r="G35" s="3" t="s">
        <v>26</v>
      </c>
      <c r="H35" s="3" t="s">
        <v>27</v>
      </c>
      <c r="I35" s="3">
        <v>1</v>
      </c>
      <c r="J35" s="3">
        <v>3500</v>
      </c>
      <c r="K35" s="3">
        <v>10</v>
      </c>
      <c r="L35" s="3">
        <v>3150</v>
      </c>
      <c r="M35" s="3">
        <v>509.87</v>
      </c>
      <c r="N35" s="3">
        <v>89</v>
      </c>
      <c r="O35" s="3">
        <v>10</v>
      </c>
      <c r="P35" s="3" t="s">
        <v>28</v>
      </c>
      <c r="Q35" s="3" t="s">
        <v>29</v>
      </c>
      <c r="R35" s="3">
        <v>5</v>
      </c>
      <c r="S35" s="3">
        <v>29904</v>
      </c>
      <c r="T35" s="3">
        <v>2859.85</v>
      </c>
    </row>
    <row r="36" spans="1:20" x14ac:dyDescent="0.3">
      <c r="A36" s="3" t="s">
        <v>120</v>
      </c>
      <c r="B36" s="3" t="s">
        <v>121</v>
      </c>
      <c r="C36" s="3" t="s">
        <v>40</v>
      </c>
      <c r="D36" s="3" t="s">
        <v>33</v>
      </c>
      <c r="E36" s="3" t="s">
        <v>48</v>
      </c>
      <c r="F36" s="3" t="s">
        <v>34</v>
      </c>
      <c r="G36" s="3" t="s">
        <v>53</v>
      </c>
      <c r="H36" s="3" t="s">
        <v>43</v>
      </c>
      <c r="I36" s="3">
        <v>8</v>
      </c>
      <c r="J36" s="3">
        <v>45000</v>
      </c>
      <c r="K36" s="3">
        <v>5</v>
      </c>
      <c r="L36" s="3">
        <v>342000</v>
      </c>
      <c r="M36" s="3">
        <v>90433.11</v>
      </c>
      <c r="N36" s="3">
        <v>60</v>
      </c>
      <c r="O36" s="3">
        <v>3</v>
      </c>
      <c r="P36" s="3" t="s">
        <v>28</v>
      </c>
      <c r="Q36" s="3" t="s">
        <v>37</v>
      </c>
      <c r="R36" s="3">
        <v>1</v>
      </c>
      <c r="S36" s="3">
        <v>74842</v>
      </c>
      <c r="T36" s="3">
        <v>329549.21999999997</v>
      </c>
    </row>
    <row r="37" spans="1:20" x14ac:dyDescent="0.3">
      <c r="A37" s="3" t="s">
        <v>122</v>
      </c>
      <c r="B37" s="3" t="s">
        <v>123</v>
      </c>
      <c r="C37" s="3" t="s">
        <v>85</v>
      </c>
      <c r="D37" s="3" t="s">
        <v>23</v>
      </c>
      <c r="E37" s="3" t="s">
        <v>41</v>
      </c>
      <c r="F37" s="3" t="s">
        <v>34</v>
      </c>
      <c r="G37" s="3" t="s">
        <v>53</v>
      </c>
      <c r="H37" s="3" t="s">
        <v>43</v>
      </c>
      <c r="I37" s="3">
        <v>7</v>
      </c>
      <c r="J37" s="3">
        <v>45000</v>
      </c>
      <c r="K37" s="3">
        <v>20</v>
      </c>
      <c r="L37" s="3">
        <v>252000</v>
      </c>
      <c r="M37" s="3">
        <v>72242.14</v>
      </c>
      <c r="N37" s="3">
        <v>67</v>
      </c>
      <c r="O37" s="3">
        <v>6</v>
      </c>
      <c r="P37" s="3" t="s">
        <v>44</v>
      </c>
      <c r="Q37" s="3" t="s">
        <v>29</v>
      </c>
      <c r="R37" s="3">
        <v>1</v>
      </c>
      <c r="S37" s="3">
        <v>49967</v>
      </c>
      <c r="T37" s="3">
        <v>219729.33</v>
      </c>
    </row>
    <row r="38" spans="1:20" x14ac:dyDescent="0.3">
      <c r="A38" s="3" t="s">
        <v>124</v>
      </c>
      <c r="B38" s="3" t="s">
        <v>125</v>
      </c>
      <c r="C38" s="3" t="s">
        <v>77</v>
      </c>
      <c r="D38" s="3" t="s">
        <v>23</v>
      </c>
      <c r="E38" s="3" t="s">
        <v>48</v>
      </c>
      <c r="F38" s="3" t="s">
        <v>25</v>
      </c>
      <c r="G38" s="3" t="s">
        <v>26</v>
      </c>
      <c r="H38" s="3" t="s">
        <v>27</v>
      </c>
      <c r="I38" s="3">
        <v>7</v>
      </c>
      <c r="J38" s="3">
        <v>45000</v>
      </c>
      <c r="K38" s="3">
        <v>5</v>
      </c>
      <c r="L38" s="3">
        <v>299250</v>
      </c>
      <c r="M38" s="3">
        <v>-3977.36</v>
      </c>
      <c r="N38" s="3">
        <v>60</v>
      </c>
      <c r="O38" s="3">
        <v>8</v>
      </c>
      <c r="P38" s="3" t="s">
        <v>59</v>
      </c>
      <c r="Q38" s="3" t="s">
        <v>37</v>
      </c>
      <c r="R38" s="3">
        <v>1</v>
      </c>
      <c r="S38" s="3">
        <v>86849</v>
      </c>
      <c r="T38" s="3">
        <v>335366.17</v>
      </c>
    </row>
    <row r="39" spans="1:20" x14ac:dyDescent="0.3">
      <c r="A39" s="3" t="s">
        <v>126</v>
      </c>
      <c r="B39" s="3" t="s">
        <v>61</v>
      </c>
      <c r="C39" s="3" t="s">
        <v>77</v>
      </c>
      <c r="D39" s="3" t="s">
        <v>33</v>
      </c>
      <c r="E39" s="3" t="s">
        <v>48</v>
      </c>
      <c r="F39" s="3" t="s">
        <v>70</v>
      </c>
      <c r="G39" s="3" t="s">
        <v>80</v>
      </c>
      <c r="H39" s="3" t="s">
        <v>36</v>
      </c>
      <c r="I39" s="3">
        <v>4</v>
      </c>
      <c r="J39" s="3">
        <v>15000</v>
      </c>
      <c r="K39" s="3">
        <v>20</v>
      </c>
      <c r="L39" s="3">
        <v>48000</v>
      </c>
      <c r="M39" s="3">
        <v>8450.57</v>
      </c>
      <c r="N39" s="3">
        <v>11</v>
      </c>
      <c r="O39" s="3">
        <v>1</v>
      </c>
      <c r="P39" s="3" t="s">
        <v>28</v>
      </c>
      <c r="Q39" s="3" t="s">
        <v>29</v>
      </c>
      <c r="R39" s="3">
        <v>5</v>
      </c>
      <c r="S39" s="3">
        <v>65265</v>
      </c>
      <c r="T39" s="3">
        <v>51474.15</v>
      </c>
    </row>
    <row r="40" spans="1:20" x14ac:dyDescent="0.3">
      <c r="A40" s="3" t="s">
        <v>127</v>
      </c>
      <c r="B40" s="3" t="s">
        <v>128</v>
      </c>
      <c r="C40" s="3" t="s">
        <v>79</v>
      </c>
      <c r="D40" s="3" t="s">
        <v>23</v>
      </c>
      <c r="E40" s="3" t="s">
        <v>41</v>
      </c>
      <c r="F40" s="3" t="s">
        <v>25</v>
      </c>
      <c r="G40" s="3" t="s">
        <v>26</v>
      </c>
      <c r="H40" s="3" t="s">
        <v>27</v>
      </c>
      <c r="I40" s="3">
        <v>1</v>
      </c>
      <c r="J40" s="3">
        <v>8000</v>
      </c>
      <c r="K40" s="3">
        <v>10</v>
      </c>
      <c r="L40" s="3">
        <v>7200</v>
      </c>
      <c r="M40" s="3">
        <v>1538.42</v>
      </c>
      <c r="N40" s="3">
        <v>87</v>
      </c>
      <c r="O40" s="3">
        <v>10</v>
      </c>
      <c r="P40" s="3" t="s">
        <v>59</v>
      </c>
      <c r="Q40" s="3" t="s">
        <v>29</v>
      </c>
      <c r="R40" s="3">
        <v>2</v>
      </c>
      <c r="S40" s="3">
        <v>50957</v>
      </c>
      <c r="T40" s="3">
        <v>7027.61</v>
      </c>
    </row>
    <row r="41" spans="1:20" x14ac:dyDescent="0.3">
      <c r="A41" s="3" t="s">
        <v>129</v>
      </c>
      <c r="B41" s="3" t="s">
        <v>130</v>
      </c>
      <c r="C41" s="3" t="s">
        <v>40</v>
      </c>
      <c r="D41" s="3" t="s">
        <v>47</v>
      </c>
      <c r="E41" s="3" t="s">
        <v>48</v>
      </c>
      <c r="F41" s="3" t="s">
        <v>58</v>
      </c>
      <c r="G41" s="3" t="s">
        <v>53</v>
      </c>
      <c r="H41" s="3" t="s">
        <v>43</v>
      </c>
      <c r="I41" s="3">
        <v>6</v>
      </c>
      <c r="J41" s="3">
        <v>3500</v>
      </c>
      <c r="K41" s="3">
        <v>10</v>
      </c>
      <c r="L41" s="3">
        <v>18900</v>
      </c>
      <c r="M41" s="3">
        <v>5426.08</v>
      </c>
      <c r="N41" s="3">
        <v>33</v>
      </c>
      <c r="O41" s="3">
        <v>10</v>
      </c>
      <c r="P41" s="3" t="s">
        <v>44</v>
      </c>
      <c r="Q41" s="3" t="s">
        <v>29</v>
      </c>
      <c r="R41" s="3">
        <v>3</v>
      </c>
      <c r="S41" s="3">
        <v>142260</v>
      </c>
      <c r="T41" s="3">
        <v>18375.349999999999</v>
      </c>
    </row>
    <row r="42" spans="1:20" x14ac:dyDescent="0.3">
      <c r="A42" s="3" t="s">
        <v>131</v>
      </c>
      <c r="B42" s="3" t="s">
        <v>132</v>
      </c>
      <c r="C42" s="3" t="s">
        <v>85</v>
      </c>
      <c r="D42" s="3" t="s">
        <v>23</v>
      </c>
      <c r="E42" s="3" t="s">
        <v>48</v>
      </c>
      <c r="F42" s="3" t="s">
        <v>70</v>
      </c>
      <c r="G42" s="3" t="s">
        <v>53</v>
      </c>
      <c r="H42" s="3" t="s">
        <v>43</v>
      </c>
      <c r="I42" s="3">
        <v>2</v>
      </c>
      <c r="J42" s="3">
        <v>1200</v>
      </c>
      <c r="K42" s="3">
        <v>0</v>
      </c>
      <c r="L42" s="3">
        <v>2400</v>
      </c>
      <c r="M42" s="3">
        <v>665.11</v>
      </c>
      <c r="N42" s="3">
        <v>96</v>
      </c>
      <c r="O42" s="3">
        <v>5</v>
      </c>
      <c r="P42" s="3" t="s">
        <v>59</v>
      </c>
      <c r="Q42" s="3" t="s">
        <v>37</v>
      </c>
      <c r="R42" s="3">
        <v>5</v>
      </c>
      <c r="S42" s="3">
        <v>87229</v>
      </c>
      <c r="T42" s="3">
        <v>2305.17</v>
      </c>
    </row>
    <row r="43" spans="1:20" x14ac:dyDescent="0.3">
      <c r="A43" s="3" t="s">
        <v>133</v>
      </c>
      <c r="B43" s="3" t="s">
        <v>134</v>
      </c>
      <c r="C43" s="3" t="s">
        <v>51</v>
      </c>
      <c r="D43" s="3" t="s">
        <v>23</v>
      </c>
      <c r="E43" s="3" t="s">
        <v>41</v>
      </c>
      <c r="F43" s="3" t="s">
        <v>58</v>
      </c>
      <c r="G43" s="3" t="s">
        <v>66</v>
      </c>
      <c r="H43" s="3" t="s">
        <v>27</v>
      </c>
      <c r="I43" s="3">
        <v>6</v>
      </c>
      <c r="J43" s="3">
        <v>8000</v>
      </c>
      <c r="K43" s="3">
        <v>20</v>
      </c>
      <c r="L43" s="3">
        <v>38400</v>
      </c>
      <c r="M43" s="3">
        <v>9753.4500000000007</v>
      </c>
      <c r="N43" s="3">
        <v>39</v>
      </c>
      <c r="O43" s="3">
        <v>10</v>
      </c>
      <c r="P43" s="3" t="s">
        <v>44</v>
      </c>
      <c r="Q43" s="3" t="s">
        <v>37</v>
      </c>
      <c r="R43" s="3">
        <v>5</v>
      </c>
      <c r="S43" s="3">
        <v>118560</v>
      </c>
      <c r="T43" s="3">
        <v>44269.48</v>
      </c>
    </row>
    <row r="44" spans="1:20" x14ac:dyDescent="0.3">
      <c r="A44" s="3" t="s">
        <v>135</v>
      </c>
      <c r="B44" s="3" t="s">
        <v>31</v>
      </c>
      <c r="C44" s="3" t="s">
        <v>136</v>
      </c>
      <c r="D44" s="3" t="s">
        <v>23</v>
      </c>
      <c r="E44" s="3" t="s">
        <v>24</v>
      </c>
      <c r="F44" s="3" t="s">
        <v>25</v>
      </c>
      <c r="G44" s="3" t="s">
        <v>42</v>
      </c>
      <c r="H44" s="3" t="s">
        <v>43</v>
      </c>
      <c r="I44" s="3">
        <v>2</v>
      </c>
      <c r="J44" s="3">
        <v>1200</v>
      </c>
      <c r="K44" s="3">
        <v>10</v>
      </c>
      <c r="L44" s="3">
        <v>2160</v>
      </c>
      <c r="M44" s="3">
        <v>292.62</v>
      </c>
      <c r="N44" s="3">
        <v>15</v>
      </c>
      <c r="O44" s="3">
        <v>7</v>
      </c>
      <c r="P44" s="3" t="s">
        <v>44</v>
      </c>
      <c r="Q44" s="3" t="s">
        <v>29</v>
      </c>
      <c r="R44" s="3">
        <v>3</v>
      </c>
      <c r="S44" s="3">
        <v>87612</v>
      </c>
      <c r="T44" s="3">
        <v>2207.94</v>
      </c>
    </row>
    <row r="45" spans="1:20" x14ac:dyDescent="0.3">
      <c r="A45" s="3" t="s">
        <v>137</v>
      </c>
      <c r="B45" s="3" t="s">
        <v>138</v>
      </c>
      <c r="C45" s="3" t="s">
        <v>77</v>
      </c>
      <c r="D45" s="3" t="s">
        <v>33</v>
      </c>
      <c r="E45" s="3" t="s">
        <v>41</v>
      </c>
      <c r="F45" s="3" t="s">
        <v>70</v>
      </c>
      <c r="G45" s="3" t="s">
        <v>66</v>
      </c>
      <c r="H45" s="3" t="s">
        <v>27</v>
      </c>
      <c r="I45" s="3">
        <v>7</v>
      </c>
      <c r="J45" s="3">
        <v>15000</v>
      </c>
      <c r="K45" s="3">
        <v>0</v>
      </c>
      <c r="L45" s="3">
        <v>105000</v>
      </c>
      <c r="M45" s="3">
        <v>555.34</v>
      </c>
      <c r="N45" s="3">
        <v>44</v>
      </c>
      <c r="O45" s="3">
        <v>5</v>
      </c>
      <c r="P45" s="3" t="s">
        <v>67</v>
      </c>
      <c r="Q45" s="3" t="s">
        <v>37</v>
      </c>
      <c r="R45" s="3">
        <v>2</v>
      </c>
      <c r="S45" s="3">
        <v>65464</v>
      </c>
      <c r="T45" s="3">
        <v>125208.66</v>
      </c>
    </row>
    <row r="46" spans="1:20" x14ac:dyDescent="0.3">
      <c r="A46" s="3" t="s">
        <v>139</v>
      </c>
      <c r="B46" s="3" t="s">
        <v>140</v>
      </c>
      <c r="C46" s="3" t="s">
        <v>85</v>
      </c>
      <c r="D46" s="3" t="s">
        <v>23</v>
      </c>
      <c r="E46" s="3" t="s">
        <v>48</v>
      </c>
      <c r="F46" s="3" t="s">
        <v>34</v>
      </c>
      <c r="G46" s="3" t="s">
        <v>80</v>
      </c>
      <c r="H46" s="3" t="s">
        <v>36</v>
      </c>
      <c r="I46" s="3">
        <v>7</v>
      </c>
      <c r="J46" s="3">
        <v>15000</v>
      </c>
      <c r="K46" s="3">
        <v>0</v>
      </c>
      <c r="L46" s="3">
        <v>105000</v>
      </c>
      <c r="M46" s="3">
        <v>22751.02</v>
      </c>
      <c r="N46" s="3">
        <v>15</v>
      </c>
      <c r="O46" s="3">
        <v>6</v>
      </c>
      <c r="P46" s="3" t="s">
        <v>67</v>
      </c>
      <c r="Q46" s="3" t="s">
        <v>29</v>
      </c>
      <c r="R46" s="3">
        <v>3</v>
      </c>
      <c r="S46" s="3">
        <v>91921</v>
      </c>
      <c r="T46" s="3">
        <v>90401.41</v>
      </c>
    </row>
    <row r="47" spans="1:20" x14ac:dyDescent="0.3">
      <c r="A47" s="3" t="s">
        <v>141</v>
      </c>
      <c r="B47" s="3" t="s">
        <v>142</v>
      </c>
      <c r="C47" s="3" t="s">
        <v>51</v>
      </c>
      <c r="D47" s="3" t="s">
        <v>47</v>
      </c>
      <c r="E47" s="3" t="s">
        <v>57</v>
      </c>
      <c r="F47" s="3" t="s">
        <v>25</v>
      </c>
      <c r="G47" s="3" t="s">
        <v>26</v>
      </c>
      <c r="H47" s="3" t="s">
        <v>27</v>
      </c>
      <c r="I47" s="3">
        <v>3</v>
      </c>
      <c r="J47" s="3">
        <v>3500</v>
      </c>
      <c r="K47" s="3">
        <v>20</v>
      </c>
      <c r="L47" s="3">
        <v>8400</v>
      </c>
      <c r="M47" s="3">
        <v>1425.68</v>
      </c>
      <c r="N47" s="3">
        <v>58</v>
      </c>
      <c r="O47" s="3">
        <v>1</v>
      </c>
      <c r="P47" s="3" t="s">
        <v>28</v>
      </c>
      <c r="Q47" s="3" t="s">
        <v>37</v>
      </c>
      <c r="R47" s="3">
        <v>1</v>
      </c>
      <c r="S47" s="3">
        <v>27751</v>
      </c>
      <c r="T47" s="3">
        <v>8568.7900000000009</v>
      </c>
    </row>
    <row r="48" spans="1:20" x14ac:dyDescent="0.3">
      <c r="A48" s="3" t="s">
        <v>143</v>
      </c>
      <c r="B48" s="3" t="s">
        <v>69</v>
      </c>
      <c r="C48" s="3" t="s">
        <v>136</v>
      </c>
      <c r="D48" s="3" t="s">
        <v>23</v>
      </c>
      <c r="E48" s="3" t="s">
        <v>48</v>
      </c>
      <c r="F48" s="3" t="s">
        <v>34</v>
      </c>
      <c r="G48" s="3" t="s">
        <v>35</v>
      </c>
      <c r="H48" s="3" t="s">
        <v>36</v>
      </c>
      <c r="I48" s="3">
        <v>1</v>
      </c>
      <c r="J48" s="3">
        <v>65000</v>
      </c>
      <c r="K48" s="3">
        <v>0</v>
      </c>
      <c r="L48" s="3">
        <v>65000</v>
      </c>
      <c r="M48" s="3">
        <v>1504.22</v>
      </c>
      <c r="N48" s="3">
        <v>61</v>
      </c>
      <c r="O48" s="3">
        <v>10</v>
      </c>
      <c r="P48" s="3" t="s">
        <v>28</v>
      </c>
      <c r="Q48" s="3" t="s">
        <v>29</v>
      </c>
      <c r="R48" s="3">
        <v>2</v>
      </c>
      <c r="S48" s="3">
        <v>12113</v>
      </c>
      <c r="T48" s="3">
        <v>68285.53</v>
      </c>
    </row>
    <row r="49" spans="1:20" x14ac:dyDescent="0.3">
      <c r="A49" s="3" t="s">
        <v>144</v>
      </c>
      <c r="B49" s="3" t="s">
        <v>145</v>
      </c>
      <c r="C49" s="3" t="s">
        <v>22</v>
      </c>
      <c r="D49" s="3" t="s">
        <v>33</v>
      </c>
      <c r="E49" s="3" t="s">
        <v>48</v>
      </c>
      <c r="F49" s="3" t="s">
        <v>70</v>
      </c>
      <c r="G49" s="3" t="s">
        <v>53</v>
      </c>
      <c r="H49" s="3" t="s">
        <v>43</v>
      </c>
      <c r="I49" s="3">
        <v>6</v>
      </c>
      <c r="J49" s="3">
        <v>8000</v>
      </c>
      <c r="K49" s="3">
        <v>15</v>
      </c>
      <c r="L49" s="3">
        <v>40800</v>
      </c>
      <c r="M49" s="3">
        <v>-504.62</v>
      </c>
      <c r="N49" s="3">
        <v>70</v>
      </c>
      <c r="O49" s="3">
        <v>10</v>
      </c>
      <c r="P49" s="3" t="s">
        <v>59</v>
      </c>
      <c r="Q49" s="3" t="s">
        <v>29</v>
      </c>
      <c r="R49" s="3">
        <v>2</v>
      </c>
      <c r="S49" s="3">
        <v>52926</v>
      </c>
      <c r="T49" s="3">
        <v>34881.1</v>
      </c>
    </row>
    <row r="50" spans="1:20" x14ac:dyDescent="0.3">
      <c r="A50" s="3" t="s">
        <v>146</v>
      </c>
      <c r="B50" s="3" t="s">
        <v>147</v>
      </c>
      <c r="C50" s="3" t="s">
        <v>51</v>
      </c>
      <c r="D50" s="3" t="s">
        <v>23</v>
      </c>
      <c r="E50" s="3" t="s">
        <v>24</v>
      </c>
      <c r="F50" s="3" t="s">
        <v>34</v>
      </c>
      <c r="G50" s="3" t="s">
        <v>66</v>
      </c>
      <c r="H50" s="3" t="s">
        <v>27</v>
      </c>
      <c r="I50" s="3">
        <v>5</v>
      </c>
      <c r="J50" s="3">
        <v>500</v>
      </c>
      <c r="K50" s="3">
        <v>0</v>
      </c>
      <c r="L50" s="3">
        <v>2500</v>
      </c>
      <c r="M50" s="3">
        <v>428.84</v>
      </c>
      <c r="N50" s="3">
        <v>39</v>
      </c>
      <c r="O50" s="3">
        <v>4</v>
      </c>
      <c r="P50" s="3" t="s">
        <v>28</v>
      </c>
      <c r="Q50" s="3" t="s">
        <v>29</v>
      </c>
      <c r="R50" s="3">
        <v>4</v>
      </c>
      <c r="S50" s="3">
        <v>66587</v>
      </c>
      <c r="T50" s="3">
        <v>2753.49</v>
      </c>
    </row>
    <row r="51" spans="1:20" x14ac:dyDescent="0.3">
      <c r="A51" s="3" t="s">
        <v>148</v>
      </c>
      <c r="B51" s="3" t="s">
        <v>31</v>
      </c>
      <c r="C51" s="3" t="s">
        <v>32</v>
      </c>
      <c r="D51" s="3" t="s">
        <v>47</v>
      </c>
      <c r="E51" s="3" t="s">
        <v>57</v>
      </c>
      <c r="F51" s="3" t="s">
        <v>52</v>
      </c>
      <c r="G51" s="3" t="s">
        <v>42</v>
      </c>
      <c r="H51" s="3" t="s">
        <v>43</v>
      </c>
      <c r="I51" s="3">
        <v>5</v>
      </c>
      <c r="J51" s="3">
        <v>65000</v>
      </c>
      <c r="K51" s="3">
        <v>5</v>
      </c>
      <c r="L51" s="3">
        <v>308750</v>
      </c>
      <c r="M51" s="3">
        <v>8887.48</v>
      </c>
      <c r="N51" s="3">
        <v>62</v>
      </c>
      <c r="O51" s="3">
        <v>4</v>
      </c>
      <c r="P51" s="3" t="s">
        <v>44</v>
      </c>
      <c r="Q51" s="3" t="s">
        <v>37</v>
      </c>
      <c r="R51" s="3">
        <v>1</v>
      </c>
      <c r="S51" s="3">
        <v>147908</v>
      </c>
      <c r="T51" s="3">
        <v>359698.57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C670-98AA-4598-A4AE-1A71AEF07296}">
  <dimension ref="A1:AA51"/>
  <sheetViews>
    <sheetView workbookViewId="0">
      <pane xSplit="1" ySplit="1" topLeftCell="U2" activePane="bottomRight" state="frozen"/>
      <selection pane="topRight" activeCell="B1" sqref="B1"/>
      <selection pane="bottomLeft" activeCell="A2" sqref="A2"/>
      <selection pane="bottomRight" activeCell="X10" sqref="X10"/>
    </sheetView>
  </sheetViews>
  <sheetFormatPr defaultRowHeight="14.4" x14ac:dyDescent="0.3"/>
  <cols>
    <col min="1" max="1" width="8.6640625" bestFit="1" customWidth="1"/>
    <col min="2" max="2" width="10.6640625" customWidth="1"/>
    <col min="3" max="3" width="15.21875" customWidth="1"/>
    <col min="4" max="4" width="14.33203125" customWidth="1"/>
    <col min="5" max="5" width="6.77734375" customWidth="1"/>
    <col min="6" max="6" width="11" customWidth="1"/>
    <col min="7" max="7" width="9.21875" customWidth="1"/>
    <col min="8" max="8" width="13.109375" customWidth="1"/>
    <col min="9" max="9" width="8.33203125" customWidth="1"/>
    <col min="10" max="10" width="9.6640625" customWidth="1"/>
    <col min="11" max="11" width="10.77734375" customWidth="1"/>
    <col min="12" max="12" width="7" bestFit="1" customWidth="1"/>
    <col min="13" max="13" width="10" bestFit="1" customWidth="1"/>
    <col min="14" max="14" width="14.44140625" bestFit="1" customWidth="1"/>
    <col min="15" max="15" width="12.77734375" bestFit="1" customWidth="1"/>
    <col min="16" max="16" width="14.6640625" customWidth="1"/>
    <col min="17" max="17" width="8.77734375" bestFit="1" customWidth="1"/>
    <col min="18" max="18" width="15.5546875" bestFit="1" customWidth="1"/>
    <col min="19" max="19" width="7" bestFit="1" customWidth="1"/>
    <col min="20" max="20" width="11.5546875" bestFit="1" customWidth="1"/>
    <col min="21" max="21" width="10.109375" customWidth="1"/>
    <col min="22" max="22" width="11" customWidth="1"/>
    <col min="23" max="23" width="11.21875" customWidth="1"/>
    <col min="24" max="24" width="12.77734375" customWidth="1"/>
    <col min="25" max="25" width="17.6640625" customWidth="1"/>
    <col min="26" max="26" width="14.77734375" customWidth="1"/>
    <col min="27" max="27" width="15.44140625" customWidth="1"/>
  </cols>
  <sheetData>
    <row r="1" spans="1:27" s="4" customFormat="1" ht="28.8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26" t="s">
        <v>149</v>
      </c>
      <c r="V1" s="26" t="s">
        <v>150</v>
      </c>
      <c r="W1" s="26" t="s">
        <v>151</v>
      </c>
      <c r="X1" s="26" t="s">
        <v>152</v>
      </c>
      <c r="Y1" s="26" t="s">
        <v>153</v>
      </c>
      <c r="Z1" s="26" t="s">
        <v>154</v>
      </c>
      <c r="AA1" s="27" t="s">
        <v>155</v>
      </c>
    </row>
    <row r="2" spans="1:27" x14ac:dyDescent="0.3">
      <c r="A2" s="6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>
        <v>4</v>
      </c>
      <c r="J2" s="3">
        <v>500</v>
      </c>
      <c r="K2" s="3">
        <v>15</v>
      </c>
      <c r="L2" s="3">
        <v>1700</v>
      </c>
      <c r="M2" s="3">
        <v>51.99</v>
      </c>
      <c r="N2" s="3">
        <v>91</v>
      </c>
      <c r="O2" s="3">
        <v>5</v>
      </c>
      <c r="P2" s="3" t="s">
        <v>28</v>
      </c>
      <c r="Q2" s="3" t="s">
        <v>29</v>
      </c>
      <c r="R2" s="3">
        <v>2</v>
      </c>
      <c r="S2" s="3">
        <v>132243</v>
      </c>
      <c r="T2" s="3">
        <v>2015.5</v>
      </c>
      <c r="U2" s="3" t="str">
        <f>IF(M2&gt;0,"Profitable","Loss")</f>
        <v>Profitable</v>
      </c>
      <c r="V2" s="3" t="str">
        <f>IF(L2&gt;50000,"High Value","Normal")</f>
        <v>Normal</v>
      </c>
      <c r="W2" s="3" t="str">
        <f>IF(N2=0,"Out of Stock","Available")</f>
        <v>Available</v>
      </c>
      <c r="X2" s="3" t="str">
        <f>IF(O2&gt;7,"Late Delivery","On Time")</f>
        <v>On Time</v>
      </c>
      <c r="Y2" s="3" t="str">
        <f>IF(Q2="Yes","Need Investigation","Closed")</f>
        <v>Closed</v>
      </c>
      <c r="Z2" s="3" t="str">
        <f>IF(R2&lt;=2,"Bad Experience","Satisfied")</f>
        <v>Bad Experience</v>
      </c>
      <c r="AA2" s="7" t="str">
        <f>IF(T2&gt;=S2,"Target Achieved","Target Missed")</f>
        <v>Target Missed</v>
      </c>
    </row>
    <row r="3" spans="1:27" x14ac:dyDescent="0.3">
      <c r="A3" s="6" t="s">
        <v>30</v>
      </c>
      <c r="B3" s="3" t="s">
        <v>31</v>
      </c>
      <c r="C3" s="3" t="s">
        <v>32</v>
      </c>
      <c r="D3" s="3" t="s">
        <v>33</v>
      </c>
      <c r="E3" s="3" t="s">
        <v>24</v>
      </c>
      <c r="F3" s="3" t="s">
        <v>34</v>
      </c>
      <c r="G3" s="3" t="s">
        <v>35</v>
      </c>
      <c r="H3" s="3" t="s">
        <v>36</v>
      </c>
      <c r="I3" s="3">
        <v>4</v>
      </c>
      <c r="J3" s="3">
        <v>500</v>
      </c>
      <c r="K3" s="3">
        <v>10</v>
      </c>
      <c r="L3" s="3">
        <v>1800</v>
      </c>
      <c r="M3" s="3">
        <v>487.97</v>
      </c>
      <c r="N3" s="3">
        <v>64</v>
      </c>
      <c r="O3" s="3">
        <v>7</v>
      </c>
      <c r="P3" s="3" t="s">
        <v>28</v>
      </c>
      <c r="Q3" s="3" t="s">
        <v>37</v>
      </c>
      <c r="R3" s="3">
        <v>4</v>
      </c>
      <c r="S3" s="3">
        <v>104471</v>
      </c>
      <c r="T3" s="3">
        <v>2019.21</v>
      </c>
      <c r="U3" s="3" t="str">
        <f t="shared" ref="U3:U51" si="0">IF(M3&gt;0,"Profitable","Loss")</f>
        <v>Profitable</v>
      </c>
      <c r="V3" s="3" t="str">
        <f t="shared" ref="V3:V51" si="1">IF(L3&gt;50000,"High Value","Normal")</f>
        <v>Normal</v>
      </c>
      <c r="W3" s="3" t="str">
        <f t="shared" ref="W3:W51" si="2">IF(N3=0,"Out of Stock","Available")</f>
        <v>Available</v>
      </c>
      <c r="X3" s="3" t="str">
        <f t="shared" ref="X3:X51" si="3">IF(O3&gt;7,"Late Delivery","On Time")</f>
        <v>On Time</v>
      </c>
      <c r="Y3" s="3" t="str">
        <f t="shared" ref="Y3:Y51" si="4">IF(Q3="Yes","Need Investigation","Closed")</f>
        <v>Need Investigation</v>
      </c>
      <c r="Z3" s="3" t="str">
        <f t="shared" ref="Z3:Z51" si="5">IF(R3&lt;=2,"Bad Experience","Satisfied")</f>
        <v>Satisfied</v>
      </c>
      <c r="AA3" s="7" t="str">
        <f t="shared" ref="AA3:AA51" si="6">IF(T3&gt;=S3,"Target Achieved","Target Missed")</f>
        <v>Target Missed</v>
      </c>
    </row>
    <row r="4" spans="1:27" x14ac:dyDescent="0.3">
      <c r="A4" s="6" t="s">
        <v>38</v>
      </c>
      <c r="B4" s="3" t="s">
        <v>39</v>
      </c>
      <c r="C4" s="3" t="s">
        <v>40</v>
      </c>
      <c r="D4" s="3" t="s">
        <v>23</v>
      </c>
      <c r="E4" s="3" t="s">
        <v>41</v>
      </c>
      <c r="F4" s="3" t="s">
        <v>34</v>
      </c>
      <c r="G4" s="3" t="s">
        <v>42</v>
      </c>
      <c r="H4" s="3" t="s">
        <v>43</v>
      </c>
      <c r="I4" s="3">
        <v>10</v>
      </c>
      <c r="J4" s="3">
        <v>1200</v>
      </c>
      <c r="K4" s="3">
        <v>20</v>
      </c>
      <c r="L4" s="3">
        <v>9600</v>
      </c>
      <c r="M4" s="3">
        <v>-169.53</v>
      </c>
      <c r="N4" s="3">
        <v>88</v>
      </c>
      <c r="O4" s="3">
        <v>5</v>
      </c>
      <c r="P4" s="3" t="s">
        <v>44</v>
      </c>
      <c r="Q4" s="3" t="s">
        <v>29</v>
      </c>
      <c r="R4" s="3">
        <v>3</v>
      </c>
      <c r="S4" s="3">
        <v>10899</v>
      </c>
      <c r="T4" s="3">
        <v>7827.1</v>
      </c>
      <c r="U4" s="3" t="str">
        <f t="shared" si="0"/>
        <v>Loss</v>
      </c>
      <c r="V4" s="3" t="str">
        <f t="shared" si="1"/>
        <v>Normal</v>
      </c>
      <c r="W4" s="3" t="str">
        <f t="shared" si="2"/>
        <v>Available</v>
      </c>
      <c r="X4" s="3" t="str">
        <f t="shared" si="3"/>
        <v>On Time</v>
      </c>
      <c r="Y4" s="3" t="str">
        <f t="shared" si="4"/>
        <v>Closed</v>
      </c>
      <c r="Z4" s="3" t="str">
        <f t="shared" si="5"/>
        <v>Satisfied</v>
      </c>
      <c r="AA4" s="7" t="str">
        <f t="shared" si="6"/>
        <v>Target Missed</v>
      </c>
    </row>
    <row r="5" spans="1:27" x14ac:dyDescent="0.3">
      <c r="A5" s="6" t="s">
        <v>45</v>
      </c>
      <c r="B5" s="3" t="s">
        <v>46</v>
      </c>
      <c r="C5" s="3" t="s">
        <v>22</v>
      </c>
      <c r="D5" s="3" t="s">
        <v>47</v>
      </c>
      <c r="E5" s="3" t="s">
        <v>48</v>
      </c>
      <c r="F5" s="3" t="s">
        <v>34</v>
      </c>
      <c r="G5" s="3" t="s">
        <v>35</v>
      </c>
      <c r="H5" s="3" t="s">
        <v>36</v>
      </c>
      <c r="I5" s="3">
        <v>1</v>
      </c>
      <c r="J5" s="3">
        <v>45000</v>
      </c>
      <c r="K5" s="3">
        <v>20</v>
      </c>
      <c r="L5" s="3">
        <v>36000</v>
      </c>
      <c r="M5" s="3">
        <v>1792.12</v>
      </c>
      <c r="N5" s="3">
        <v>62</v>
      </c>
      <c r="O5" s="3">
        <v>4</v>
      </c>
      <c r="P5" s="3" t="s">
        <v>28</v>
      </c>
      <c r="Q5" s="3" t="s">
        <v>29</v>
      </c>
      <c r="R5" s="3">
        <v>5</v>
      </c>
      <c r="S5" s="3">
        <v>131058</v>
      </c>
      <c r="T5" s="3">
        <v>41969.91</v>
      </c>
      <c r="U5" s="3" t="str">
        <f t="shared" si="0"/>
        <v>Profitable</v>
      </c>
      <c r="V5" s="3" t="str">
        <f t="shared" si="1"/>
        <v>Normal</v>
      </c>
      <c r="W5" s="3" t="str">
        <f t="shared" si="2"/>
        <v>Available</v>
      </c>
      <c r="X5" s="3" t="str">
        <f t="shared" si="3"/>
        <v>On Time</v>
      </c>
      <c r="Y5" s="3" t="str">
        <f t="shared" si="4"/>
        <v>Closed</v>
      </c>
      <c r="Z5" s="3" t="str">
        <f t="shared" si="5"/>
        <v>Satisfied</v>
      </c>
      <c r="AA5" s="7" t="str">
        <f t="shared" si="6"/>
        <v>Target Missed</v>
      </c>
    </row>
    <row r="6" spans="1:27" x14ac:dyDescent="0.3">
      <c r="A6" s="6" t="s">
        <v>49</v>
      </c>
      <c r="B6" s="3" t="s">
        <v>50</v>
      </c>
      <c r="C6" s="3" t="s">
        <v>51</v>
      </c>
      <c r="D6" s="3" t="s">
        <v>47</v>
      </c>
      <c r="E6" s="3" t="s">
        <v>24</v>
      </c>
      <c r="F6" s="3" t="s">
        <v>52</v>
      </c>
      <c r="G6" s="3" t="s">
        <v>53</v>
      </c>
      <c r="H6" s="3" t="s">
        <v>43</v>
      </c>
      <c r="I6" s="3">
        <v>8</v>
      </c>
      <c r="J6" s="3">
        <v>1200</v>
      </c>
      <c r="K6" s="3">
        <v>5</v>
      </c>
      <c r="L6" s="3">
        <v>9120</v>
      </c>
      <c r="M6" s="3">
        <v>349.33</v>
      </c>
      <c r="N6" s="3">
        <v>69</v>
      </c>
      <c r="O6" s="3">
        <v>1</v>
      </c>
      <c r="P6" s="3" t="s">
        <v>44</v>
      </c>
      <c r="Q6" s="3" t="s">
        <v>29</v>
      </c>
      <c r="R6" s="3">
        <v>2</v>
      </c>
      <c r="S6" s="3">
        <v>119588</v>
      </c>
      <c r="T6" s="3">
        <v>7299.86</v>
      </c>
      <c r="U6" s="3" t="str">
        <f t="shared" si="0"/>
        <v>Profitable</v>
      </c>
      <c r="V6" s="3" t="str">
        <f t="shared" si="1"/>
        <v>Normal</v>
      </c>
      <c r="W6" s="3" t="str">
        <f t="shared" si="2"/>
        <v>Available</v>
      </c>
      <c r="X6" s="3" t="str">
        <f t="shared" si="3"/>
        <v>On Time</v>
      </c>
      <c r="Y6" s="3" t="str">
        <f t="shared" si="4"/>
        <v>Closed</v>
      </c>
      <c r="Z6" s="3" t="str">
        <f t="shared" si="5"/>
        <v>Bad Experience</v>
      </c>
      <c r="AA6" s="7" t="str">
        <f t="shared" si="6"/>
        <v>Target Missed</v>
      </c>
    </row>
    <row r="7" spans="1:27" x14ac:dyDescent="0.3">
      <c r="A7" s="6" t="s">
        <v>54</v>
      </c>
      <c r="B7" s="3" t="s">
        <v>55</v>
      </c>
      <c r="C7" s="3" t="s">
        <v>56</v>
      </c>
      <c r="D7" s="3" t="s">
        <v>47</v>
      </c>
      <c r="E7" s="3" t="s">
        <v>57</v>
      </c>
      <c r="F7" s="3" t="s">
        <v>58</v>
      </c>
      <c r="G7" s="3" t="s">
        <v>35</v>
      </c>
      <c r="H7" s="3" t="s">
        <v>36</v>
      </c>
      <c r="I7" s="3">
        <v>1</v>
      </c>
      <c r="J7" s="3">
        <v>8000</v>
      </c>
      <c r="K7" s="3">
        <v>5</v>
      </c>
      <c r="L7" s="3">
        <v>7600</v>
      </c>
      <c r="M7" s="3">
        <v>604.42999999999995</v>
      </c>
      <c r="N7" s="3">
        <v>99</v>
      </c>
      <c r="O7" s="3">
        <v>5</v>
      </c>
      <c r="P7" s="3" t="s">
        <v>59</v>
      </c>
      <c r="Q7" s="3" t="s">
        <v>29</v>
      </c>
      <c r="R7" s="3">
        <v>3</v>
      </c>
      <c r="S7" s="3">
        <v>132166</v>
      </c>
      <c r="T7" s="3">
        <v>8696.07</v>
      </c>
      <c r="U7" s="3" t="str">
        <f t="shared" si="0"/>
        <v>Profitable</v>
      </c>
      <c r="V7" s="3" t="str">
        <f t="shared" si="1"/>
        <v>Normal</v>
      </c>
      <c r="W7" s="3" t="str">
        <f t="shared" si="2"/>
        <v>Available</v>
      </c>
      <c r="X7" s="3" t="str">
        <f t="shared" si="3"/>
        <v>On Time</v>
      </c>
      <c r="Y7" s="3" t="str">
        <f t="shared" si="4"/>
        <v>Closed</v>
      </c>
      <c r="Z7" s="3" t="str">
        <f t="shared" si="5"/>
        <v>Satisfied</v>
      </c>
      <c r="AA7" s="7" t="str">
        <f t="shared" si="6"/>
        <v>Target Missed</v>
      </c>
    </row>
    <row r="8" spans="1:27" x14ac:dyDescent="0.3">
      <c r="A8" s="6" t="s">
        <v>60</v>
      </c>
      <c r="B8" s="3" t="s">
        <v>61</v>
      </c>
      <c r="C8" s="3" t="s">
        <v>32</v>
      </c>
      <c r="D8" s="3" t="s">
        <v>33</v>
      </c>
      <c r="E8" s="3" t="s">
        <v>41</v>
      </c>
      <c r="F8" s="3" t="s">
        <v>34</v>
      </c>
      <c r="G8" s="3" t="s">
        <v>35</v>
      </c>
      <c r="H8" s="3" t="s">
        <v>36</v>
      </c>
      <c r="I8" s="3">
        <v>2</v>
      </c>
      <c r="J8" s="3">
        <v>65000</v>
      </c>
      <c r="K8" s="3">
        <v>10</v>
      </c>
      <c r="L8" s="3">
        <v>117000</v>
      </c>
      <c r="M8" s="3">
        <v>27229.17</v>
      </c>
      <c r="N8" s="3">
        <v>43</v>
      </c>
      <c r="O8" s="3">
        <v>1</v>
      </c>
      <c r="P8" s="3" t="s">
        <v>59</v>
      </c>
      <c r="Q8" s="3" t="s">
        <v>29</v>
      </c>
      <c r="R8" s="3">
        <v>1</v>
      </c>
      <c r="S8" s="3">
        <v>149850</v>
      </c>
      <c r="T8" s="3">
        <v>128230.79</v>
      </c>
      <c r="U8" s="3" t="str">
        <f t="shared" si="0"/>
        <v>Profitable</v>
      </c>
      <c r="V8" s="3" t="str">
        <f t="shared" si="1"/>
        <v>High Value</v>
      </c>
      <c r="W8" s="3" t="str">
        <f t="shared" si="2"/>
        <v>Available</v>
      </c>
      <c r="X8" s="3" t="str">
        <f t="shared" si="3"/>
        <v>On Time</v>
      </c>
      <c r="Y8" s="3" t="str">
        <f t="shared" si="4"/>
        <v>Closed</v>
      </c>
      <c r="Z8" s="3" t="str">
        <f t="shared" si="5"/>
        <v>Bad Experience</v>
      </c>
      <c r="AA8" s="7" t="str">
        <f t="shared" si="6"/>
        <v>Target Missed</v>
      </c>
    </row>
    <row r="9" spans="1:27" x14ac:dyDescent="0.3">
      <c r="A9" s="6" t="s">
        <v>62</v>
      </c>
      <c r="B9" s="3" t="s">
        <v>63</v>
      </c>
      <c r="C9" s="3" t="s">
        <v>40</v>
      </c>
      <c r="D9" s="3" t="s">
        <v>23</v>
      </c>
      <c r="E9" s="3" t="s">
        <v>24</v>
      </c>
      <c r="F9" s="3" t="s">
        <v>52</v>
      </c>
      <c r="G9" s="3" t="s">
        <v>35</v>
      </c>
      <c r="H9" s="3" t="s">
        <v>36</v>
      </c>
      <c r="I9" s="3">
        <v>2</v>
      </c>
      <c r="J9" s="3">
        <v>3500</v>
      </c>
      <c r="K9" s="3">
        <v>15</v>
      </c>
      <c r="L9" s="3">
        <v>5950</v>
      </c>
      <c r="M9" s="3">
        <v>1094.46</v>
      </c>
      <c r="N9" s="3">
        <v>50</v>
      </c>
      <c r="O9" s="3">
        <v>5</v>
      </c>
      <c r="P9" s="3" t="s">
        <v>28</v>
      </c>
      <c r="Q9" s="3" t="s">
        <v>29</v>
      </c>
      <c r="R9" s="3">
        <v>4</v>
      </c>
      <c r="S9" s="3">
        <v>84194</v>
      </c>
      <c r="T9" s="3">
        <v>4805.29</v>
      </c>
      <c r="U9" s="3" t="str">
        <f t="shared" si="0"/>
        <v>Profitable</v>
      </c>
      <c r="V9" s="3" t="str">
        <f t="shared" si="1"/>
        <v>Normal</v>
      </c>
      <c r="W9" s="3" t="str">
        <f t="shared" si="2"/>
        <v>Available</v>
      </c>
      <c r="X9" s="3" t="str">
        <f t="shared" si="3"/>
        <v>On Time</v>
      </c>
      <c r="Y9" s="3" t="str">
        <f t="shared" si="4"/>
        <v>Closed</v>
      </c>
      <c r="Z9" s="3" t="str">
        <f t="shared" si="5"/>
        <v>Satisfied</v>
      </c>
      <c r="AA9" s="7" t="str">
        <f t="shared" si="6"/>
        <v>Target Missed</v>
      </c>
    </row>
    <row r="10" spans="1:27" x14ac:dyDescent="0.3">
      <c r="A10" s="6" t="s">
        <v>64</v>
      </c>
      <c r="B10" s="3" t="s">
        <v>65</v>
      </c>
      <c r="C10" s="3" t="s">
        <v>40</v>
      </c>
      <c r="D10" s="3" t="s">
        <v>47</v>
      </c>
      <c r="E10" s="3" t="s">
        <v>48</v>
      </c>
      <c r="F10" s="3" t="s">
        <v>52</v>
      </c>
      <c r="G10" s="3" t="s">
        <v>66</v>
      </c>
      <c r="H10" s="3" t="s">
        <v>27</v>
      </c>
      <c r="I10" s="3">
        <v>7</v>
      </c>
      <c r="J10" s="3">
        <v>8000</v>
      </c>
      <c r="K10" s="3">
        <v>15</v>
      </c>
      <c r="L10" s="3">
        <v>47600</v>
      </c>
      <c r="M10" s="3">
        <v>314.55</v>
      </c>
      <c r="N10" s="3">
        <v>2</v>
      </c>
      <c r="O10" s="3">
        <v>5</v>
      </c>
      <c r="P10" s="3" t="s">
        <v>67</v>
      </c>
      <c r="Q10" s="3" t="s">
        <v>37</v>
      </c>
      <c r="R10" s="3">
        <v>3</v>
      </c>
      <c r="S10" s="3">
        <v>79719</v>
      </c>
      <c r="T10" s="3">
        <v>39771.78</v>
      </c>
      <c r="U10" s="3" t="str">
        <f t="shared" si="0"/>
        <v>Profitable</v>
      </c>
      <c r="V10" s="3" t="str">
        <f t="shared" si="1"/>
        <v>Normal</v>
      </c>
      <c r="W10" s="3" t="str">
        <f t="shared" si="2"/>
        <v>Available</v>
      </c>
      <c r="X10" s="3" t="str">
        <f t="shared" si="3"/>
        <v>On Time</v>
      </c>
      <c r="Y10" s="3" t="str">
        <f t="shared" si="4"/>
        <v>Need Investigation</v>
      </c>
      <c r="Z10" s="3" t="str">
        <f t="shared" si="5"/>
        <v>Satisfied</v>
      </c>
      <c r="AA10" s="7" t="str">
        <f t="shared" si="6"/>
        <v>Target Missed</v>
      </c>
    </row>
    <row r="11" spans="1:27" x14ac:dyDescent="0.3">
      <c r="A11" s="6" t="s">
        <v>68</v>
      </c>
      <c r="B11" s="3" t="s">
        <v>69</v>
      </c>
      <c r="C11" s="3" t="s">
        <v>22</v>
      </c>
      <c r="D11" s="3" t="s">
        <v>47</v>
      </c>
      <c r="E11" s="3" t="s">
        <v>24</v>
      </c>
      <c r="F11" s="3" t="s">
        <v>70</v>
      </c>
      <c r="G11" s="3" t="s">
        <v>66</v>
      </c>
      <c r="H11" s="3" t="s">
        <v>27</v>
      </c>
      <c r="I11" s="3">
        <v>6</v>
      </c>
      <c r="J11" s="3">
        <v>15000</v>
      </c>
      <c r="K11" s="3">
        <v>15</v>
      </c>
      <c r="L11" s="3">
        <v>76500</v>
      </c>
      <c r="M11" s="3">
        <v>26298.31</v>
      </c>
      <c r="N11" s="3">
        <v>12</v>
      </c>
      <c r="O11" s="3">
        <v>2</v>
      </c>
      <c r="P11" s="3" t="s">
        <v>28</v>
      </c>
      <c r="Q11" s="3" t="s">
        <v>29</v>
      </c>
      <c r="R11" s="3">
        <v>1</v>
      </c>
      <c r="S11" s="3">
        <v>134669</v>
      </c>
      <c r="T11" s="3">
        <v>79515.14</v>
      </c>
      <c r="U11" s="3" t="str">
        <f t="shared" si="0"/>
        <v>Profitable</v>
      </c>
      <c r="V11" s="3" t="str">
        <f t="shared" si="1"/>
        <v>High Value</v>
      </c>
      <c r="W11" s="3" t="str">
        <f t="shared" si="2"/>
        <v>Available</v>
      </c>
      <c r="X11" s="3" t="str">
        <f t="shared" si="3"/>
        <v>On Time</v>
      </c>
      <c r="Y11" s="3" t="str">
        <f t="shared" si="4"/>
        <v>Closed</v>
      </c>
      <c r="Z11" s="3" t="str">
        <f t="shared" si="5"/>
        <v>Bad Experience</v>
      </c>
      <c r="AA11" s="7" t="str">
        <f t="shared" si="6"/>
        <v>Target Missed</v>
      </c>
    </row>
    <row r="12" spans="1:27" x14ac:dyDescent="0.3">
      <c r="A12" s="6" t="s">
        <v>71</v>
      </c>
      <c r="B12" s="3" t="s">
        <v>72</v>
      </c>
      <c r="C12" s="3" t="s">
        <v>40</v>
      </c>
      <c r="D12" s="3" t="s">
        <v>47</v>
      </c>
      <c r="E12" s="3" t="s">
        <v>41</v>
      </c>
      <c r="F12" s="3" t="s">
        <v>52</v>
      </c>
      <c r="G12" s="3" t="s">
        <v>66</v>
      </c>
      <c r="H12" s="3" t="s">
        <v>27</v>
      </c>
      <c r="I12" s="3">
        <v>4</v>
      </c>
      <c r="J12" s="3">
        <v>1200</v>
      </c>
      <c r="K12" s="3">
        <v>20</v>
      </c>
      <c r="L12" s="3">
        <v>3840</v>
      </c>
      <c r="M12" s="3">
        <v>1238.3599999999999</v>
      </c>
      <c r="N12" s="3">
        <v>53</v>
      </c>
      <c r="O12" s="3">
        <v>5</v>
      </c>
      <c r="P12" s="3" t="s">
        <v>67</v>
      </c>
      <c r="Q12" s="3" t="s">
        <v>37</v>
      </c>
      <c r="R12" s="3">
        <v>1</v>
      </c>
      <c r="S12" s="3">
        <v>18666</v>
      </c>
      <c r="T12" s="3">
        <v>3814.81</v>
      </c>
      <c r="U12" s="3" t="str">
        <f t="shared" si="0"/>
        <v>Profitable</v>
      </c>
      <c r="V12" s="3" t="str">
        <f t="shared" si="1"/>
        <v>Normal</v>
      </c>
      <c r="W12" s="3" t="str">
        <f t="shared" si="2"/>
        <v>Available</v>
      </c>
      <c r="X12" s="3" t="str">
        <f t="shared" si="3"/>
        <v>On Time</v>
      </c>
      <c r="Y12" s="3" t="str">
        <f t="shared" si="4"/>
        <v>Need Investigation</v>
      </c>
      <c r="Z12" s="3" t="str">
        <f t="shared" si="5"/>
        <v>Bad Experience</v>
      </c>
      <c r="AA12" s="7" t="str">
        <f t="shared" si="6"/>
        <v>Target Missed</v>
      </c>
    </row>
    <row r="13" spans="1:27" x14ac:dyDescent="0.3">
      <c r="A13" s="6" t="s">
        <v>73</v>
      </c>
      <c r="B13" s="3" t="s">
        <v>74</v>
      </c>
      <c r="C13" s="3" t="s">
        <v>32</v>
      </c>
      <c r="D13" s="3" t="s">
        <v>33</v>
      </c>
      <c r="E13" s="3" t="s">
        <v>57</v>
      </c>
      <c r="F13" s="3" t="s">
        <v>34</v>
      </c>
      <c r="G13" s="3" t="s">
        <v>26</v>
      </c>
      <c r="H13" s="3" t="s">
        <v>27</v>
      </c>
      <c r="I13" s="3">
        <v>2</v>
      </c>
      <c r="J13" s="3">
        <v>15000</v>
      </c>
      <c r="K13" s="3">
        <v>20</v>
      </c>
      <c r="L13" s="3">
        <v>24000</v>
      </c>
      <c r="M13" s="3">
        <v>8213.57</v>
      </c>
      <c r="N13" s="3">
        <v>21</v>
      </c>
      <c r="O13" s="3">
        <v>8</v>
      </c>
      <c r="P13" s="3" t="s">
        <v>44</v>
      </c>
      <c r="Q13" s="3" t="s">
        <v>37</v>
      </c>
      <c r="R13" s="3">
        <v>1</v>
      </c>
      <c r="S13" s="3">
        <v>50024</v>
      </c>
      <c r="T13" s="3">
        <v>20129.91</v>
      </c>
      <c r="U13" s="3" t="str">
        <f t="shared" si="0"/>
        <v>Profitable</v>
      </c>
      <c r="V13" s="3" t="str">
        <f t="shared" si="1"/>
        <v>Normal</v>
      </c>
      <c r="W13" s="3" t="str">
        <f t="shared" si="2"/>
        <v>Available</v>
      </c>
      <c r="X13" s="3" t="str">
        <f t="shared" si="3"/>
        <v>Late Delivery</v>
      </c>
      <c r="Y13" s="3" t="str">
        <f t="shared" si="4"/>
        <v>Need Investigation</v>
      </c>
      <c r="Z13" s="3" t="str">
        <f t="shared" si="5"/>
        <v>Bad Experience</v>
      </c>
      <c r="AA13" s="7" t="str">
        <f t="shared" si="6"/>
        <v>Target Missed</v>
      </c>
    </row>
    <row r="14" spans="1:27" x14ac:dyDescent="0.3">
      <c r="A14" s="6" t="s">
        <v>75</v>
      </c>
      <c r="B14" s="3" t="s">
        <v>76</v>
      </c>
      <c r="C14" s="3" t="s">
        <v>77</v>
      </c>
      <c r="D14" s="3" t="s">
        <v>23</v>
      </c>
      <c r="E14" s="3" t="s">
        <v>57</v>
      </c>
      <c r="F14" s="3" t="s">
        <v>70</v>
      </c>
      <c r="G14" s="3" t="s">
        <v>66</v>
      </c>
      <c r="H14" s="3" t="s">
        <v>27</v>
      </c>
      <c r="I14" s="3">
        <v>9</v>
      </c>
      <c r="J14" s="3">
        <v>3500</v>
      </c>
      <c r="K14" s="3">
        <v>20</v>
      </c>
      <c r="L14" s="3">
        <v>25200</v>
      </c>
      <c r="M14" s="3">
        <v>437.3</v>
      </c>
      <c r="N14" s="3">
        <v>70</v>
      </c>
      <c r="O14" s="3">
        <v>1</v>
      </c>
      <c r="P14" s="3" t="s">
        <v>28</v>
      </c>
      <c r="Q14" s="3" t="s">
        <v>37</v>
      </c>
      <c r="R14" s="3">
        <v>3</v>
      </c>
      <c r="S14" s="3">
        <v>44189</v>
      </c>
      <c r="T14" s="3">
        <v>29089.43</v>
      </c>
      <c r="U14" s="3" t="str">
        <f t="shared" si="0"/>
        <v>Profitable</v>
      </c>
      <c r="V14" s="3" t="str">
        <f t="shared" si="1"/>
        <v>Normal</v>
      </c>
      <c r="W14" s="3" t="str">
        <f t="shared" si="2"/>
        <v>Available</v>
      </c>
      <c r="X14" s="3" t="str">
        <f t="shared" si="3"/>
        <v>On Time</v>
      </c>
      <c r="Y14" s="3" t="str">
        <f t="shared" si="4"/>
        <v>Need Investigation</v>
      </c>
      <c r="Z14" s="3" t="str">
        <f t="shared" si="5"/>
        <v>Satisfied</v>
      </c>
      <c r="AA14" s="7" t="str">
        <f t="shared" si="6"/>
        <v>Target Missed</v>
      </c>
    </row>
    <row r="15" spans="1:27" x14ac:dyDescent="0.3">
      <c r="A15" s="6" t="s">
        <v>78</v>
      </c>
      <c r="B15" s="3" t="s">
        <v>74</v>
      </c>
      <c r="C15" s="3" t="s">
        <v>79</v>
      </c>
      <c r="D15" s="3" t="s">
        <v>23</v>
      </c>
      <c r="E15" s="3" t="s">
        <v>57</v>
      </c>
      <c r="F15" s="3" t="s">
        <v>52</v>
      </c>
      <c r="G15" s="3" t="s">
        <v>80</v>
      </c>
      <c r="H15" s="3" t="s">
        <v>36</v>
      </c>
      <c r="I15" s="3">
        <v>10</v>
      </c>
      <c r="J15" s="3">
        <v>65000</v>
      </c>
      <c r="K15" s="3">
        <v>15</v>
      </c>
      <c r="L15" s="3">
        <v>552500</v>
      </c>
      <c r="M15" s="3">
        <v>107781.23</v>
      </c>
      <c r="N15" s="3">
        <v>47</v>
      </c>
      <c r="O15" s="3">
        <v>1</v>
      </c>
      <c r="P15" s="3" t="s">
        <v>28</v>
      </c>
      <c r="Q15" s="3" t="s">
        <v>29</v>
      </c>
      <c r="R15" s="3">
        <v>1</v>
      </c>
      <c r="S15" s="3">
        <v>71563</v>
      </c>
      <c r="T15" s="3">
        <v>488233.7</v>
      </c>
      <c r="U15" s="3" t="str">
        <f t="shared" si="0"/>
        <v>Profitable</v>
      </c>
      <c r="V15" s="3" t="str">
        <f t="shared" si="1"/>
        <v>High Value</v>
      </c>
      <c r="W15" s="3" t="str">
        <f t="shared" si="2"/>
        <v>Available</v>
      </c>
      <c r="X15" s="3" t="str">
        <f t="shared" si="3"/>
        <v>On Time</v>
      </c>
      <c r="Y15" s="3" t="str">
        <f t="shared" si="4"/>
        <v>Closed</v>
      </c>
      <c r="Z15" s="3" t="str">
        <f t="shared" si="5"/>
        <v>Bad Experience</v>
      </c>
      <c r="AA15" s="7" t="str">
        <f t="shared" si="6"/>
        <v>Target Achieved</v>
      </c>
    </row>
    <row r="16" spans="1:27" x14ac:dyDescent="0.3">
      <c r="A16" s="6" t="s">
        <v>81</v>
      </c>
      <c r="B16" s="3" t="s">
        <v>82</v>
      </c>
      <c r="C16" s="3" t="s">
        <v>32</v>
      </c>
      <c r="D16" s="3" t="s">
        <v>47</v>
      </c>
      <c r="E16" s="3" t="s">
        <v>57</v>
      </c>
      <c r="F16" s="3" t="s">
        <v>70</v>
      </c>
      <c r="G16" s="3" t="s">
        <v>80</v>
      </c>
      <c r="H16" s="3" t="s">
        <v>36</v>
      </c>
      <c r="I16" s="3">
        <v>4</v>
      </c>
      <c r="J16" s="3">
        <v>8000</v>
      </c>
      <c r="K16" s="3">
        <v>5</v>
      </c>
      <c r="L16" s="3">
        <v>30400</v>
      </c>
      <c r="M16" s="3">
        <v>1141.05</v>
      </c>
      <c r="N16" s="3">
        <v>89</v>
      </c>
      <c r="O16" s="3">
        <v>5</v>
      </c>
      <c r="P16" s="3" t="s">
        <v>44</v>
      </c>
      <c r="Q16" s="3" t="s">
        <v>37</v>
      </c>
      <c r="R16" s="3">
        <v>3</v>
      </c>
      <c r="S16" s="3">
        <v>45147</v>
      </c>
      <c r="T16" s="3">
        <v>27310.69</v>
      </c>
      <c r="U16" s="3" t="str">
        <f t="shared" si="0"/>
        <v>Profitable</v>
      </c>
      <c r="V16" s="3" t="str">
        <f t="shared" si="1"/>
        <v>Normal</v>
      </c>
      <c r="W16" s="3" t="str">
        <f t="shared" si="2"/>
        <v>Available</v>
      </c>
      <c r="X16" s="3" t="str">
        <f t="shared" si="3"/>
        <v>On Time</v>
      </c>
      <c r="Y16" s="3" t="str">
        <f t="shared" si="4"/>
        <v>Need Investigation</v>
      </c>
      <c r="Z16" s="3" t="str">
        <f t="shared" si="5"/>
        <v>Satisfied</v>
      </c>
      <c r="AA16" s="7" t="str">
        <f t="shared" si="6"/>
        <v>Target Missed</v>
      </c>
    </row>
    <row r="17" spans="1:27" x14ac:dyDescent="0.3">
      <c r="A17" s="6" t="s">
        <v>83</v>
      </c>
      <c r="B17" s="3" t="s">
        <v>84</v>
      </c>
      <c r="C17" s="3" t="s">
        <v>85</v>
      </c>
      <c r="D17" s="3" t="s">
        <v>23</v>
      </c>
      <c r="E17" s="3" t="s">
        <v>48</v>
      </c>
      <c r="F17" s="3" t="s">
        <v>34</v>
      </c>
      <c r="G17" s="3" t="s">
        <v>66</v>
      </c>
      <c r="H17" s="3" t="s">
        <v>27</v>
      </c>
      <c r="I17" s="3">
        <v>2</v>
      </c>
      <c r="J17" s="3">
        <v>500</v>
      </c>
      <c r="K17" s="3">
        <v>10</v>
      </c>
      <c r="L17" s="3">
        <v>900</v>
      </c>
      <c r="M17" s="3">
        <v>202.34</v>
      </c>
      <c r="N17" s="3">
        <v>3</v>
      </c>
      <c r="O17" s="3">
        <v>2</v>
      </c>
      <c r="P17" s="3" t="s">
        <v>67</v>
      </c>
      <c r="Q17" s="3" t="s">
        <v>37</v>
      </c>
      <c r="R17" s="3">
        <v>4</v>
      </c>
      <c r="S17" s="3">
        <v>28722</v>
      </c>
      <c r="T17" s="3">
        <v>1051.6400000000001</v>
      </c>
      <c r="U17" s="3" t="str">
        <f t="shared" si="0"/>
        <v>Profitable</v>
      </c>
      <c r="V17" s="3" t="str">
        <f t="shared" si="1"/>
        <v>Normal</v>
      </c>
      <c r="W17" s="3" t="str">
        <f t="shared" si="2"/>
        <v>Available</v>
      </c>
      <c r="X17" s="3" t="str">
        <f t="shared" si="3"/>
        <v>On Time</v>
      </c>
      <c r="Y17" s="3" t="str">
        <f t="shared" si="4"/>
        <v>Need Investigation</v>
      </c>
      <c r="Z17" s="3" t="str">
        <f t="shared" si="5"/>
        <v>Satisfied</v>
      </c>
      <c r="AA17" s="7" t="str">
        <f t="shared" si="6"/>
        <v>Target Missed</v>
      </c>
    </row>
    <row r="18" spans="1:27" x14ac:dyDescent="0.3">
      <c r="A18" s="6" t="s">
        <v>86</v>
      </c>
      <c r="B18" s="3" t="s">
        <v>87</v>
      </c>
      <c r="C18" s="3" t="s">
        <v>77</v>
      </c>
      <c r="D18" s="3" t="s">
        <v>47</v>
      </c>
      <c r="E18" s="3" t="s">
        <v>24</v>
      </c>
      <c r="F18" s="3" t="s">
        <v>34</v>
      </c>
      <c r="G18" s="3" t="s">
        <v>53</v>
      </c>
      <c r="H18" s="3" t="s">
        <v>43</v>
      </c>
      <c r="I18" s="3">
        <v>2</v>
      </c>
      <c r="J18" s="3">
        <v>65000</v>
      </c>
      <c r="K18" s="3">
        <v>15</v>
      </c>
      <c r="L18" s="3">
        <v>110500</v>
      </c>
      <c r="M18" s="3">
        <v>2356.96</v>
      </c>
      <c r="N18" s="3">
        <v>13</v>
      </c>
      <c r="O18" s="3">
        <v>1</v>
      </c>
      <c r="P18" s="3" t="s">
        <v>67</v>
      </c>
      <c r="Q18" s="3" t="s">
        <v>29</v>
      </c>
      <c r="R18" s="3">
        <v>4</v>
      </c>
      <c r="S18" s="3">
        <v>74450</v>
      </c>
      <c r="T18" s="3">
        <v>94516.06</v>
      </c>
      <c r="U18" s="3" t="str">
        <f t="shared" si="0"/>
        <v>Profitable</v>
      </c>
      <c r="V18" s="3" t="str">
        <f t="shared" si="1"/>
        <v>High Value</v>
      </c>
      <c r="W18" s="3" t="str">
        <f t="shared" si="2"/>
        <v>Available</v>
      </c>
      <c r="X18" s="3" t="str">
        <f t="shared" si="3"/>
        <v>On Time</v>
      </c>
      <c r="Y18" s="3" t="str">
        <f t="shared" si="4"/>
        <v>Closed</v>
      </c>
      <c r="Z18" s="3" t="str">
        <f t="shared" si="5"/>
        <v>Satisfied</v>
      </c>
      <c r="AA18" s="7" t="str">
        <f t="shared" si="6"/>
        <v>Target Achieved</v>
      </c>
    </row>
    <row r="19" spans="1:27" x14ac:dyDescent="0.3">
      <c r="A19" s="6" t="s">
        <v>88</v>
      </c>
      <c r="B19" s="3" t="s">
        <v>89</v>
      </c>
      <c r="C19" s="3" t="s">
        <v>79</v>
      </c>
      <c r="D19" s="3" t="s">
        <v>33</v>
      </c>
      <c r="E19" s="3" t="s">
        <v>57</v>
      </c>
      <c r="F19" s="3" t="s">
        <v>52</v>
      </c>
      <c r="G19" s="3" t="s">
        <v>42</v>
      </c>
      <c r="H19" s="3" t="s">
        <v>43</v>
      </c>
      <c r="I19" s="3">
        <v>4</v>
      </c>
      <c r="J19" s="3">
        <v>8000</v>
      </c>
      <c r="K19" s="3">
        <v>10</v>
      </c>
      <c r="L19" s="3">
        <v>28800</v>
      </c>
      <c r="M19" s="3">
        <v>7737.61</v>
      </c>
      <c r="N19" s="3">
        <v>85</v>
      </c>
      <c r="O19" s="3">
        <v>3</v>
      </c>
      <c r="P19" s="3" t="s">
        <v>67</v>
      </c>
      <c r="Q19" s="3" t="s">
        <v>37</v>
      </c>
      <c r="R19" s="3">
        <v>1</v>
      </c>
      <c r="S19" s="3">
        <v>43805</v>
      </c>
      <c r="T19" s="3">
        <v>29524.89</v>
      </c>
      <c r="U19" s="3" t="str">
        <f t="shared" si="0"/>
        <v>Profitable</v>
      </c>
      <c r="V19" s="3" t="str">
        <f t="shared" si="1"/>
        <v>Normal</v>
      </c>
      <c r="W19" s="3" t="str">
        <f t="shared" si="2"/>
        <v>Available</v>
      </c>
      <c r="X19" s="3" t="str">
        <f t="shared" si="3"/>
        <v>On Time</v>
      </c>
      <c r="Y19" s="3" t="str">
        <f t="shared" si="4"/>
        <v>Need Investigation</v>
      </c>
      <c r="Z19" s="3" t="str">
        <f t="shared" si="5"/>
        <v>Bad Experience</v>
      </c>
      <c r="AA19" s="7" t="str">
        <f t="shared" si="6"/>
        <v>Target Missed</v>
      </c>
    </row>
    <row r="20" spans="1:27" x14ac:dyDescent="0.3">
      <c r="A20" s="6" t="s">
        <v>90</v>
      </c>
      <c r="B20" s="3" t="s">
        <v>91</v>
      </c>
      <c r="C20" s="3" t="s">
        <v>51</v>
      </c>
      <c r="D20" s="3" t="s">
        <v>33</v>
      </c>
      <c r="E20" s="3" t="s">
        <v>24</v>
      </c>
      <c r="F20" s="3" t="s">
        <v>34</v>
      </c>
      <c r="G20" s="3" t="s">
        <v>42</v>
      </c>
      <c r="H20" s="3" t="s">
        <v>43</v>
      </c>
      <c r="I20" s="3">
        <v>10</v>
      </c>
      <c r="J20" s="3">
        <v>65000</v>
      </c>
      <c r="K20" s="3">
        <v>20</v>
      </c>
      <c r="L20" s="3">
        <v>520000</v>
      </c>
      <c r="M20" s="3">
        <v>-5447.07</v>
      </c>
      <c r="N20" s="3">
        <v>38</v>
      </c>
      <c r="O20" s="3">
        <v>3</v>
      </c>
      <c r="P20" s="3" t="s">
        <v>67</v>
      </c>
      <c r="Q20" s="3" t="s">
        <v>37</v>
      </c>
      <c r="R20" s="3">
        <v>2</v>
      </c>
      <c r="S20" s="3">
        <v>77469</v>
      </c>
      <c r="T20" s="3">
        <v>476870.19</v>
      </c>
      <c r="U20" s="3" t="str">
        <f t="shared" si="0"/>
        <v>Loss</v>
      </c>
      <c r="V20" s="3" t="str">
        <f t="shared" si="1"/>
        <v>High Value</v>
      </c>
      <c r="W20" s="3" t="str">
        <f t="shared" si="2"/>
        <v>Available</v>
      </c>
      <c r="X20" s="3" t="str">
        <f t="shared" si="3"/>
        <v>On Time</v>
      </c>
      <c r="Y20" s="3" t="str">
        <f t="shared" si="4"/>
        <v>Need Investigation</v>
      </c>
      <c r="Z20" s="3" t="str">
        <f t="shared" si="5"/>
        <v>Bad Experience</v>
      </c>
      <c r="AA20" s="7" t="str">
        <f t="shared" si="6"/>
        <v>Target Achieved</v>
      </c>
    </row>
    <row r="21" spans="1:27" x14ac:dyDescent="0.3">
      <c r="A21" s="6" t="s">
        <v>92</v>
      </c>
      <c r="B21" s="3" t="s">
        <v>93</v>
      </c>
      <c r="C21" s="3" t="s">
        <v>32</v>
      </c>
      <c r="D21" s="3" t="s">
        <v>23</v>
      </c>
      <c r="E21" s="3" t="s">
        <v>41</v>
      </c>
      <c r="F21" s="3" t="s">
        <v>34</v>
      </c>
      <c r="G21" s="3" t="s">
        <v>26</v>
      </c>
      <c r="H21" s="3" t="s">
        <v>27</v>
      </c>
      <c r="I21" s="3">
        <v>5</v>
      </c>
      <c r="J21" s="3">
        <v>45000</v>
      </c>
      <c r="K21" s="3">
        <v>15</v>
      </c>
      <c r="L21" s="3">
        <v>191250</v>
      </c>
      <c r="M21" s="3">
        <v>4887.8900000000003</v>
      </c>
      <c r="N21" s="3">
        <v>32</v>
      </c>
      <c r="O21" s="3">
        <v>5</v>
      </c>
      <c r="P21" s="3" t="s">
        <v>59</v>
      </c>
      <c r="Q21" s="3" t="s">
        <v>29</v>
      </c>
      <c r="R21" s="3">
        <v>5</v>
      </c>
      <c r="S21" s="3">
        <v>122385</v>
      </c>
      <c r="T21" s="3">
        <v>191035.76</v>
      </c>
      <c r="U21" s="3" t="str">
        <f t="shared" si="0"/>
        <v>Profitable</v>
      </c>
      <c r="V21" s="3" t="str">
        <f t="shared" si="1"/>
        <v>High Value</v>
      </c>
      <c r="W21" s="3" t="str">
        <f t="shared" si="2"/>
        <v>Available</v>
      </c>
      <c r="X21" s="3" t="str">
        <f t="shared" si="3"/>
        <v>On Time</v>
      </c>
      <c r="Y21" s="3" t="str">
        <f t="shared" si="4"/>
        <v>Closed</v>
      </c>
      <c r="Z21" s="3" t="str">
        <f t="shared" si="5"/>
        <v>Satisfied</v>
      </c>
      <c r="AA21" s="7" t="str">
        <f t="shared" si="6"/>
        <v>Target Achieved</v>
      </c>
    </row>
    <row r="22" spans="1:27" x14ac:dyDescent="0.3">
      <c r="A22" s="6" t="s">
        <v>94</v>
      </c>
      <c r="B22" s="3" t="s">
        <v>95</v>
      </c>
      <c r="C22" s="3" t="s">
        <v>56</v>
      </c>
      <c r="D22" s="3" t="s">
        <v>33</v>
      </c>
      <c r="E22" s="3" t="s">
        <v>48</v>
      </c>
      <c r="F22" s="3" t="s">
        <v>52</v>
      </c>
      <c r="G22" s="3" t="s">
        <v>26</v>
      </c>
      <c r="H22" s="3" t="s">
        <v>27</v>
      </c>
      <c r="I22" s="3">
        <v>5</v>
      </c>
      <c r="J22" s="3">
        <v>45000</v>
      </c>
      <c r="K22" s="3">
        <v>5</v>
      </c>
      <c r="L22" s="3">
        <v>213750</v>
      </c>
      <c r="M22" s="3">
        <v>34299.47</v>
      </c>
      <c r="N22" s="3">
        <v>7</v>
      </c>
      <c r="O22" s="3">
        <v>10</v>
      </c>
      <c r="P22" s="3" t="s">
        <v>28</v>
      </c>
      <c r="Q22" s="3" t="s">
        <v>37</v>
      </c>
      <c r="R22" s="3">
        <v>4</v>
      </c>
      <c r="S22" s="3">
        <v>23150</v>
      </c>
      <c r="T22" s="3">
        <v>233374.18</v>
      </c>
      <c r="U22" s="3" t="str">
        <f t="shared" si="0"/>
        <v>Profitable</v>
      </c>
      <c r="V22" s="3" t="str">
        <f t="shared" si="1"/>
        <v>High Value</v>
      </c>
      <c r="W22" s="3" t="str">
        <f t="shared" si="2"/>
        <v>Available</v>
      </c>
      <c r="X22" s="3" t="str">
        <f t="shared" si="3"/>
        <v>Late Delivery</v>
      </c>
      <c r="Y22" s="3" t="str">
        <f t="shared" si="4"/>
        <v>Need Investigation</v>
      </c>
      <c r="Z22" s="3" t="str">
        <f t="shared" si="5"/>
        <v>Satisfied</v>
      </c>
      <c r="AA22" s="7" t="str">
        <f t="shared" si="6"/>
        <v>Target Achieved</v>
      </c>
    </row>
    <row r="23" spans="1:27" x14ac:dyDescent="0.3">
      <c r="A23" s="6" t="s">
        <v>96</v>
      </c>
      <c r="B23" s="3" t="s">
        <v>65</v>
      </c>
      <c r="C23" s="3" t="s">
        <v>97</v>
      </c>
      <c r="D23" s="3" t="s">
        <v>33</v>
      </c>
      <c r="E23" s="3" t="s">
        <v>41</v>
      </c>
      <c r="F23" s="3" t="s">
        <v>25</v>
      </c>
      <c r="G23" s="3" t="s">
        <v>66</v>
      </c>
      <c r="H23" s="3" t="s">
        <v>27</v>
      </c>
      <c r="I23" s="3">
        <v>6</v>
      </c>
      <c r="J23" s="3">
        <v>8000</v>
      </c>
      <c r="K23" s="3">
        <v>5</v>
      </c>
      <c r="L23" s="3">
        <v>45600</v>
      </c>
      <c r="M23" s="3">
        <v>7280.44</v>
      </c>
      <c r="N23" s="3">
        <v>7</v>
      </c>
      <c r="O23" s="3">
        <v>4</v>
      </c>
      <c r="P23" s="3" t="s">
        <v>59</v>
      </c>
      <c r="Q23" s="3" t="s">
        <v>29</v>
      </c>
      <c r="R23" s="3">
        <v>2</v>
      </c>
      <c r="S23" s="3">
        <v>149728</v>
      </c>
      <c r="T23" s="3">
        <v>45999.06</v>
      </c>
      <c r="U23" s="3" t="str">
        <f t="shared" si="0"/>
        <v>Profitable</v>
      </c>
      <c r="V23" s="3" t="str">
        <f t="shared" si="1"/>
        <v>Normal</v>
      </c>
      <c r="W23" s="3" t="str">
        <f t="shared" si="2"/>
        <v>Available</v>
      </c>
      <c r="X23" s="3" t="str">
        <f t="shared" si="3"/>
        <v>On Time</v>
      </c>
      <c r="Y23" s="3" t="str">
        <f t="shared" si="4"/>
        <v>Closed</v>
      </c>
      <c r="Z23" s="3" t="str">
        <f t="shared" si="5"/>
        <v>Bad Experience</v>
      </c>
      <c r="AA23" s="7" t="str">
        <f t="shared" si="6"/>
        <v>Target Missed</v>
      </c>
    </row>
    <row r="24" spans="1:27" x14ac:dyDescent="0.3">
      <c r="A24" s="6" t="s">
        <v>98</v>
      </c>
      <c r="B24" s="3" t="s">
        <v>99</v>
      </c>
      <c r="C24" s="3" t="s">
        <v>77</v>
      </c>
      <c r="D24" s="3" t="s">
        <v>23</v>
      </c>
      <c r="E24" s="3" t="s">
        <v>24</v>
      </c>
      <c r="F24" s="3" t="s">
        <v>52</v>
      </c>
      <c r="G24" s="3" t="s">
        <v>26</v>
      </c>
      <c r="H24" s="3" t="s">
        <v>27</v>
      </c>
      <c r="I24" s="3">
        <v>5</v>
      </c>
      <c r="J24" s="3">
        <v>65000</v>
      </c>
      <c r="K24" s="3">
        <v>15</v>
      </c>
      <c r="L24" s="3">
        <v>276250</v>
      </c>
      <c r="M24" s="3">
        <v>66751.67</v>
      </c>
      <c r="N24" s="3">
        <v>67</v>
      </c>
      <c r="O24" s="3">
        <v>5</v>
      </c>
      <c r="P24" s="3" t="s">
        <v>59</v>
      </c>
      <c r="Q24" s="3" t="s">
        <v>29</v>
      </c>
      <c r="R24" s="3">
        <v>5</v>
      </c>
      <c r="S24" s="3">
        <v>94579</v>
      </c>
      <c r="T24" s="3">
        <v>313749.99</v>
      </c>
      <c r="U24" s="3" t="str">
        <f t="shared" si="0"/>
        <v>Profitable</v>
      </c>
      <c r="V24" s="3" t="str">
        <f t="shared" si="1"/>
        <v>High Value</v>
      </c>
      <c r="W24" s="3" t="str">
        <f t="shared" si="2"/>
        <v>Available</v>
      </c>
      <c r="X24" s="3" t="str">
        <f t="shared" si="3"/>
        <v>On Time</v>
      </c>
      <c r="Y24" s="3" t="str">
        <f t="shared" si="4"/>
        <v>Closed</v>
      </c>
      <c r="Z24" s="3" t="str">
        <f t="shared" si="5"/>
        <v>Satisfied</v>
      </c>
      <c r="AA24" s="7" t="str">
        <f t="shared" si="6"/>
        <v>Target Achieved</v>
      </c>
    </row>
    <row r="25" spans="1:27" x14ac:dyDescent="0.3">
      <c r="A25" s="6" t="s">
        <v>100</v>
      </c>
      <c r="B25" s="3" t="s">
        <v>101</v>
      </c>
      <c r="C25" s="3" t="s">
        <v>85</v>
      </c>
      <c r="D25" s="3" t="s">
        <v>23</v>
      </c>
      <c r="E25" s="3" t="s">
        <v>57</v>
      </c>
      <c r="F25" s="3" t="s">
        <v>58</v>
      </c>
      <c r="G25" s="3" t="s">
        <v>26</v>
      </c>
      <c r="H25" s="3" t="s">
        <v>27</v>
      </c>
      <c r="I25" s="3">
        <v>9</v>
      </c>
      <c r="J25" s="3">
        <v>65000</v>
      </c>
      <c r="K25" s="3">
        <v>10</v>
      </c>
      <c r="L25" s="3">
        <v>526500</v>
      </c>
      <c r="M25" s="3">
        <v>66234.98</v>
      </c>
      <c r="N25" s="3">
        <v>46</v>
      </c>
      <c r="O25" s="3">
        <v>9</v>
      </c>
      <c r="P25" s="3" t="s">
        <v>28</v>
      </c>
      <c r="Q25" s="3" t="s">
        <v>29</v>
      </c>
      <c r="R25" s="3">
        <v>4</v>
      </c>
      <c r="S25" s="3">
        <v>143639</v>
      </c>
      <c r="T25" s="3">
        <v>507590.40000000002</v>
      </c>
      <c r="U25" s="3" t="str">
        <f t="shared" si="0"/>
        <v>Profitable</v>
      </c>
      <c r="V25" s="3" t="str">
        <f t="shared" si="1"/>
        <v>High Value</v>
      </c>
      <c r="W25" s="3" t="str">
        <f t="shared" si="2"/>
        <v>Available</v>
      </c>
      <c r="X25" s="3" t="str">
        <f t="shared" si="3"/>
        <v>Late Delivery</v>
      </c>
      <c r="Y25" s="3" t="str">
        <f t="shared" si="4"/>
        <v>Closed</v>
      </c>
      <c r="Z25" s="3" t="str">
        <f t="shared" si="5"/>
        <v>Satisfied</v>
      </c>
      <c r="AA25" s="7" t="str">
        <f t="shared" si="6"/>
        <v>Target Achieved</v>
      </c>
    </row>
    <row r="26" spans="1:27" x14ac:dyDescent="0.3">
      <c r="A26" s="6" t="s">
        <v>102</v>
      </c>
      <c r="B26" s="3" t="s">
        <v>103</v>
      </c>
      <c r="C26" s="3" t="s">
        <v>77</v>
      </c>
      <c r="D26" s="3" t="s">
        <v>23</v>
      </c>
      <c r="E26" s="3" t="s">
        <v>24</v>
      </c>
      <c r="F26" s="3" t="s">
        <v>70</v>
      </c>
      <c r="G26" s="3" t="s">
        <v>80</v>
      </c>
      <c r="H26" s="3" t="s">
        <v>36</v>
      </c>
      <c r="I26" s="3">
        <v>4</v>
      </c>
      <c r="J26" s="3">
        <v>1200</v>
      </c>
      <c r="K26" s="3">
        <v>0</v>
      </c>
      <c r="L26" s="3">
        <v>4800</v>
      </c>
      <c r="M26" s="3">
        <v>1491.21</v>
      </c>
      <c r="N26" s="3">
        <v>28</v>
      </c>
      <c r="O26" s="3">
        <v>7</v>
      </c>
      <c r="P26" s="3" t="s">
        <v>67</v>
      </c>
      <c r="Q26" s="3" t="s">
        <v>37</v>
      </c>
      <c r="R26" s="3">
        <v>1</v>
      </c>
      <c r="S26" s="3">
        <v>45429</v>
      </c>
      <c r="T26" s="3">
        <v>5032.3999999999996</v>
      </c>
      <c r="U26" s="3" t="str">
        <f t="shared" si="0"/>
        <v>Profitable</v>
      </c>
      <c r="V26" s="3" t="str">
        <f t="shared" si="1"/>
        <v>Normal</v>
      </c>
      <c r="W26" s="3" t="str">
        <f t="shared" si="2"/>
        <v>Available</v>
      </c>
      <c r="X26" s="3" t="str">
        <f t="shared" si="3"/>
        <v>On Time</v>
      </c>
      <c r="Y26" s="3" t="str">
        <f t="shared" si="4"/>
        <v>Need Investigation</v>
      </c>
      <c r="Z26" s="3" t="str">
        <f t="shared" si="5"/>
        <v>Bad Experience</v>
      </c>
      <c r="AA26" s="7" t="str">
        <f t="shared" si="6"/>
        <v>Target Missed</v>
      </c>
    </row>
    <row r="27" spans="1:27" x14ac:dyDescent="0.3">
      <c r="A27" s="6" t="s">
        <v>104</v>
      </c>
      <c r="B27" s="3" t="s">
        <v>105</v>
      </c>
      <c r="C27" s="3" t="s">
        <v>79</v>
      </c>
      <c r="D27" s="3" t="s">
        <v>47</v>
      </c>
      <c r="E27" s="3" t="s">
        <v>48</v>
      </c>
      <c r="F27" s="3" t="s">
        <v>34</v>
      </c>
      <c r="G27" s="3" t="s">
        <v>42</v>
      </c>
      <c r="H27" s="3" t="s">
        <v>43</v>
      </c>
      <c r="I27" s="3">
        <v>5</v>
      </c>
      <c r="J27" s="3">
        <v>500</v>
      </c>
      <c r="K27" s="3">
        <v>0</v>
      </c>
      <c r="L27" s="3">
        <v>2500</v>
      </c>
      <c r="M27" s="3">
        <v>599.72</v>
      </c>
      <c r="N27" s="3">
        <v>11</v>
      </c>
      <c r="O27" s="3">
        <v>2</v>
      </c>
      <c r="P27" s="3" t="s">
        <v>28</v>
      </c>
      <c r="Q27" s="3" t="s">
        <v>37</v>
      </c>
      <c r="R27" s="3">
        <v>3</v>
      </c>
      <c r="S27" s="3">
        <v>48512</v>
      </c>
      <c r="T27" s="3">
        <v>2719.1</v>
      </c>
      <c r="U27" s="3" t="str">
        <f t="shared" si="0"/>
        <v>Profitable</v>
      </c>
      <c r="V27" s="3" t="str">
        <f t="shared" si="1"/>
        <v>Normal</v>
      </c>
      <c r="W27" s="3" t="str">
        <f t="shared" si="2"/>
        <v>Available</v>
      </c>
      <c r="X27" s="3" t="str">
        <f t="shared" si="3"/>
        <v>On Time</v>
      </c>
      <c r="Y27" s="3" t="str">
        <f t="shared" si="4"/>
        <v>Need Investigation</v>
      </c>
      <c r="Z27" s="3" t="str">
        <f t="shared" si="5"/>
        <v>Satisfied</v>
      </c>
      <c r="AA27" s="7" t="str">
        <f t="shared" si="6"/>
        <v>Target Missed</v>
      </c>
    </row>
    <row r="28" spans="1:27" x14ac:dyDescent="0.3">
      <c r="A28" s="6" t="s">
        <v>106</v>
      </c>
      <c r="B28" s="3" t="s">
        <v>105</v>
      </c>
      <c r="C28" s="3" t="s">
        <v>51</v>
      </c>
      <c r="D28" s="3" t="s">
        <v>23</v>
      </c>
      <c r="E28" s="3" t="s">
        <v>57</v>
      </c>
      <c r="F28" s="3" t="s">
        <v>25</v>
      </c>
      <c r="G28" s="3" t="s">
        <v>26</v>
      </c>
      <c r="H28" s="3" t="s">
        <v>27</v>
      </c>
      <c r="I28" s="3">
        <v>6</v>
      </c>
      <c r="J28" s="3">
        <v>15000</v>
      </c>
      <c r="K28" s="3">
        <v>5</v>
      </c>
      <c r="L28" s="3">
        <v>85500</v>
      </c>
      <c r="M28" s="3">
        <v>15768.3</v>
      </c>
      <c r="N28" s="3">
        <v>4</v>
      </c>
      <c r="O28" s="3">
        <v>1</v>
      </c>
      <c r="P28" s="3" t="s">
        <v>59</v>
      </c>
      <c r="Q28" s="3" t="s">
        <v>37</v>
      </c>
      <c r="R28" s="3">
        <v>5</v>
      </c>
      <c r="S28" s="3">
        <v>131477</v>
      </c>
      <c r="T28" s="3">
        <v>90164.43</v>
      </c>
      <c r="U28" s="3" t="str">
        <f t="shared" si="0"/>
        <v>Profitable</v>
      </c>
      <c r="V28" s="3" t="str">
        <f t="shared" si="1"/>
        <v>High Value</v>
      </c>
      <c r="W28" s="3" t="str">
        <f t="shared" si="2"/>
        <v>Available</v>
      </c>
      <c r="X28" s="3" t="str">
        <f t="shared" si="3"/>
        <v>On Time</v>
      </c>
      <c r="Y28" s="3" t="str">
        <f t="shared" si="4"/>
        <v>Need Investigation</v>
      </c>
      <c r="Z28" s="3" t="str">
        <f t="shared" si="5"/>
        <v>Satisfied</v>
      </c>
      <c r="AA28" s="7" t="str">
        <f t="shared" si="6"/>
        <v>Target Missed</v>
      </c>
    </row>
    <row r="29" spans="1:27" x14ac:dyDescent="0.3">
      <c r="A29" s="6" t="s">
        <v>107</v>
      </c>
      <c r="B29" s="3" t="s">
        <v>108</v>
      </c>
      <c r="C29" s="3" t="s">
        <v>22</v>
      </c>
      <c r="D29" s="3" t="s">
        <v>23</v>
      </c>
      <c r="E29" s="3" t="s">
        <v>57</v>
      </c>
      <c r="F29" s="3" t="s">
        <v>58</v>
      </c>
      <c r="G29" s="3" t="s">
        <v>53</v>
      </c>
      <c r="H29" s="3" t="s">
        <v>43</v>
      </c>
      <c r="I29" s="3">
        <v>7</v>
      </c>
      <c r="J29" s="3">
        <v>8000</v>
      </c>
      <c r="K29" s="3">
        <v>10</v>
      </c>
      <c r="L29" s="3">
        <v>50400</v>
      </c>
      <c r="M29" s="3">
        <v>-2262.5</v>
      </c>
      <c r="N29" s="3">
        <v>0</v>
      </c>
      <c r="O29" s="3">
        <v>7</v>
      </c>
      <c r="P29" s="3" t="s">
        <v>28</v>
      </c>
      <c r="Q29" s="3" t="s">
        <v>29</v>
      </c>
      <c r="R29" s="3">
        <v>2</v>
      </c>
      <c r="S29" s="3">
        <v>99353</v>
      </c>
      <c r="T29" s="3">
        <v>47719.85</v>
      </c>
      <c r="U29" s="3" t="str">
        <f t="shared" si="0"/>
        <v>Loss</v>
      </c>
      <c r="V29" s="3" t="str">
        <f t="shared" si="1"/>
        <v>High Value</v>
      </c>
      <c r="W29" s="3" t="str">
        <f t="shared" si="2"/>
        <v>Out of Stock</v>
      </c>
      <c r="X29" s="3" t="str">
        <f t="shared" si="3"/>
        <v>On Time</v>
      </c>
      <c r="Y29" s="3" t="str">
        <f t="shared" si="4"/>
        <v>Closed</v>
      </c>
      <c r="Z29" s="3" t="str">
        <f t="shared" si="5"/>
        <v>Bad Experience</v>
      </c>
      <c r="AA29" s="7" t="str">
        <f t="shared" si="6"/>
        <v>Target Missed</v>
      </c>
    </row>
    <row r="30" spans="1:27" x14ac:dyDescent="0.3">
      <c r="A30" s="6" t="s">
        <v>109</v>
      </c>
      <c r="B30" s="3" t="s">
        <v>110</v>
      </c>
      <c r="C30" s="3" t="s">
        <v>22</v>
      </c>
      <c r="D30" s="3" t="s">
        <v>23</v>
      </c>
      <c r="E30" s="3" t="s">
        <v>24</v>
      </c>
      <c r="F30" s="3" t="s">
        <v>70</v>
      </c>
      <c r="G30" s="3" t="s">
        <v>53</v>
      </c>
      <c r="H30" s="3" t="s">
        <v>43</v>
      </c>
      <c r="I30" s="3">
        <v>8</v>
      </c>
      <c r="J30" s="3">
        <v>500</v>
      </c>
      <c r="K30" s="3">
        <v>15</v>
      </c>
      <c r="L30" s="3">
        <v>3400</v>
      </c>
      <c r="M30" s="3">
        <v>0.1</v>
      </c>
      <c r="N30" s="3">
        <v>65</v>
      </c>
      <c r="O30" s="3">
        <v>2</v>
      </c>
      <c r="P30" s="3" t="s">
        <v>44</v>
      </c>
      <c r="Q30" s="3" t="s">
        <v>29</v>
      </c>
      <c r="R30" s="3">
        <v>1</v>
      </c>
      <c r="S30" s="3">
        <v>133638</v>
      </c>
      <c r="T30" s="3">
        <v>3643.81</v>
      </c>
      <c r="U30" s="3" t="str">
        <f t="shared" si="0"/>
        <v>Profitable</v>
      </c>
      <c r="V30" s="3" t="str">
        <f t="shared" si="1"/>
        <v>Normal</v>
      </c>
      <c r="W30" s="3" t="str">
        <f t="shared" si="2"/>
        <v>Available</v>
      </c>
      <c r="X30" s="3" t="str">
        <f t="shared" si="3"/>
        <v>On Time</v>
      </c>
      <c r="Y30" s="3" t="str">
        <f t="shared" si="4"/>
        <v>Closed</v>
      </c>
      <c r="Z30" s="3" t="str">
        <f t="shared" si="5"/>
        <v>Bad Experience</v>
      </c>
      <c r="AA30" s="7" t="str">
        <f t="shared" si="6"/>
        <v>Target Missed</v>
      </c>
    </row>
    <row r="31" spans="1:27" x14ac:dyDescent="0.3">
      <c r="A31" s="6" t="s">
        <v>111</v>
      </c>
      <c r="B31" s="3" t="s">
        <v>112</v>
      </c>
      <c r="C31" s="3" t="s">
        <v>51</v>
      </c>
      <c r="D31" s="3" t="s">
        <v>47</v>
      </c>
      <c r="E31" s="3" t="s">
        <v>24</v>
      </c>
      <c r="F31" s="3" t="s">
        <v>25</v>
      </c>
      <c r="G31" s="3" t="s">
        <v>35</v>
      </c>
      <c r="H31" s="3" t="s">
        <v>36</v>
      </c>
      <c r="I31" s="3">
        <v>2</v>
      </c>
      <c r="J31" s="3">
        <v>45000</v>
      </c>
      <c r="K31" s="3">
        <v>5</v>
      </c>
      <c r="L31" s="3">
        <v>85500</v>
      </c>
      <c r="M31" s="3">
        <v>20503.240000000002</v>
      </c>
      <c r="N31" s="3">
        <v>60</v>
      </c>
      <c r="O31" s="3">
        <v>1</v>
      </c>
      <c r="P31" s="3" t="s">
        <v>44</v>
      </c>
      <c r="Q31" s="3" t="s">
        <v>29</v>
      </c>
      <c r="R31" s="3">
        <v>1</v>
      </c>
      <c r="S31" s="3">
        <v>39652</v>
      </c>
      <c r="T31" s="3">
        <v>90343.98</v>
      </c>
      <c r="U31" s="3" t="str">
        <f t="shared" si="0"/>
        <v>Profitable</v>
      </c>
      <c r="V31" s="3" t="str">
        <f t="shared" si="1"/>
        <v>High Value</v>
      </c>
      <c r="W31" s="3" t="str">
        <f t="shared" si="2"/>
        <v>Available</v>
      </c>
      <c r="X31" s="3" t="str">
        <f t="shared" si="3"/>
        <v>On Time</v>
      </c>
      <c r="Y31" s="3" t="str">
        <f t="shared" si="4"/>
        <v>Closed</v>
      </c>
      <c r="Z31" s="3" t="str">
        <f t="shared" si="5"/>
        <v>Bad Experience</v>
      </c>
      <c r="AA31" s="7" t="str">
        <f t="shared" si="6"/>
        <v>Target Achieved</v>
      </c>
    </row>
    <row r="32" spans="1:27" x14ac:dyDescent="0.3">
      <c r="A32" s="6" t="s">
        <v>113</v>
      </c>
      <c r="B32" s="3" t="s">
        <v>114</v>
      </c>
      <c r="C32" s="3" t="s">
        <v>77</v>
      </c>
      <c r="D32" s="3" t="s">
        <v>33</v>
      </c>
      <c r="E32" s="3" t="s">
        <v>57</v>
      </c>
      <c r="F32" s="3" t="s">
        <v>34</v>
      </c>
      <c r="G32" s="3" t="s">
        <v>80</v>
      </c>
      <c r="H32" s="3" t="s">
        <v>36</v>
      </c>
      <c r="I32" s="3">
        <v>1</v>
      </c>
      <c r="J32" s="3">
        <v>45000</v>
      </c>
      <c r="K32" s="3">
        <v>10</v>
      </c>
      <c r="L32" s="3">
        <v>40500</v>
      </c>
      <c r="M32" s="3">
        <v>13451.25</v>
      </c>
      <c r="N32" s="3">
        <v>99</v>
      </c>
      <c r="O32" s="3">
        <v>10</v>
      </c>
      <c r="P32" s="3" t="s">
        <v>67</v>
      </c>
      <c r="Q32" s="3" t="s">
        <v>29</v>
      </c>
      <c r="R32" s="3">
        <v>4</v>
      </c>
      <c r="S32" s="3">
        <v>133203</v>
      </c>
      <c r="T32" s="3">
        <v>40774.160000000003</v>
      </c>
      <c r="U32" s="3" t="str">
        <f t="shared" si="0"/>
        <v>Profitable</v>
      </c>
      <c r="V32" s="3" t="str">
        <f t="shared" si="1"/>
        <v>Normal</v>
      </c>
      <c r="W32" s="3" t="str">
        <f t="shared" si="2"/>
        <v>Available</v>
      </c>
      <c r="X32" s="3" t="str">
        <f t="shared" si="3"/>
        <v>Late Delivery</v>
      </c>
      <c r="Y32" s="3" t="str">
        <f t="shared" si="4"/>
        <v>Closed</v>
      </c>
      <c r="Z32" s="3" t="str">
        <f t="shared" si="5"/>
        <v>Satisfied</v>
      </c>
      <c r="AA32" s="7" t="str">
        <f t="shared" si="6"/>
        <v>Target Missed</v>
      </c>
    </row>
    <row r="33" spans="1:27" x14ac:dyDescent="0.3">
      <c r="A33" s="6" t="s">
        <v>115</v>
      </c>
      <c r="B33" s="3" t="s">
        <v>50</v>
      </c>
      <c r="C33" s="3" t="s">
        <v>77</v>
      </c>
      <c r="D33" s="3" t="s">
        <v>33</v>
      </c>
      <c r="E33" s="3" t="s">
        <v>24</v>
      </c>
      <c r="F33" s="3" t="s">
        <v>70</v>
      </c>
      <c r="G33" s="3" t="s">
        <v>53</v>
      </c>
      <c r="H33" s="3" t="s">
        <v>43</v>
      </c>
      <c r="I33" s="3">
        <v>5</v>
      </c>
      <c r="J33" s="3">
        <v>3500</v>
      </c>
      <c r="K33" s="3">
        <v>20</v>
      </c>
      <c r="L33" s="3">
        <v>14000</v>
      </c>
      <c r="M33" s="3">
        <v>-305.06</v>
      </c>
      <c r="N33" s="3">
        <v>94</v>
      </c>
      <c r="O33" s="3">
        <v>6</v>
      </c>
      <c r="P33" s="3" t="s">
        <v>67</v>
      </c>
      <c r="Q33" s="3" t="s">
        <v>29</v>
      </c>
      <c r="R33" s="3">
        <v>1</v>
      </c>
      <c r="S33" s="3">
        <v>41754</v>
      </c>
      <c r="T33" s="3">
        <v>11516.25</v>
      </c>
      <c r="U33" s="3" t="str">
        <f t="shared" si="0"/>
        <v>Loss</v>
      </c>
      <c r="V33" s="3" t="str">
        <f t="shared" si="1"/>
        <v>Normal</v>
      </c>
      <c r="W33" s="3" t="str">
        <f t="shared" si="2"/>
        <v>Available</v>
      </c>
      <c r="X33" s="3" t="str">
        <f t="shared" si="3"/>
        <v>On Time</v>
      </c>
      <c r="Y33" s="3" t="str">
        <f t="shared" si="4"/>
        <v>Closed</v>
      </c>
      <c r="Z33" s="3" t="str">
        <f t="shared" si="5"/>
        <v>Bad Experience</v>
      </c>
      <c r="AA33" s="7" t="str">
        <f t="shared" si="6"/>
        <v>Target Missed</v>
      </c>
    </row>
    <row r="34" spans="1:27" x14ac:dyDescent="0.3">
      <c r="A34" s="6" t="s">
        <v>116</v>
      </c>
      <c r="B34" s="3" t="s">
        <v>117</v>
      </c>
      <c r="C34" s="3" t="s">
        <v>51</v>
      </c>
      <c r="D34" s="3" t="s">
        <v>47</v>
      </c>
      <c r="E34" s="3" t="s">
        <v>48</v>
      </c>
      <c r="F34" s="3" t="s">
        <v>70</v>
      </c>
      <c r="G34" s="3" t="s">
        <v>26</v>
      </c>
      <c r="H34" s="3" t="s">
        <v>27</v>
      </c>
      <c r="I34" s="3">
        <v>10</v>
      </c>
      <c r="J34" s="3">
        <v>45000</v>
      </c>
      <c r="K34" s="3">
        <v>20</v>
      </c>
      <c r="L34" s="3">
        <v>360000</v>
      </c>
      <c r="M34" s="3">
        <v>6498.18</v>
      </c>
      <c r="N34" s="3">
        <v>100</v>
      </c>
      <c r="O34" s="3">
        <v>7</v>
      </c>
      <c r="P34" s="3" t="s">
        <v>67</v>
      </c>
      <c r="Q34" s="3" t="s">
        <v>29</v>
      </c>
      <c r="R34" s="3">
        <v>2</v>
      </c>
      <c r="S34" s="3">
        <v>117623</v>
      </c>
      <c r="T34" s="3">
        <v>394047.61</v>
      </c>
      <c r="U34" s="3" t="str">
        <f t="shared" si="0"/>
        <v>Profitable</v>
      </c>
      <c r="V34" s="3" t="str">
        <f t="shared" si="1"/>
        <v>High Value</v>
      </c>
      <c r="W34" s="3" t="str">
        <f t="shared" si="2"/>
        <v>Available</v>
      </c>
      <c r="X34" s="3" t="str">
        <f t="shared" si="3"/>
        <v>On Time</v>
      </c>
      <c r="Y34" s="3" t="str">
        <f t="shared" si="4"/>
        <v>Closed</v>
      </c>
      <c r="Z34" s="3" t="str">
        <f t="shared" si="5"/>
        <v>Bad Experience</v>
      </c>
      <c r="AA34" s="7" t="str">
        <f t="shared" si="6"/>
        <v>Target Achieved</v>
      </c>
    </row>
    <row r="35" spans="1:27" x14ac:dyDescent="0.3">
      <c r="A35" s="6" t="s">
        <v>118</v>
      </c>
      <c r="B35" s="3" t="s">
        <v>119</v>
      </c>
      <c r="C35" s="3" t="s">
        <v>32</v>
      </c>
      <c r="D35" s="3" t="s">
        <v>33</v>
      </c>
      <c r="E35" s="3" t="s">
        <v>41</v>
      </c>
      <c r="F35" s="3" t="s">
        <v>25</v>
      </c>
      <c r="G35" s="3" t="s">
        <v>26</v>
      </c>
      <c r="H35" s="3" t="s">
        <v>27</v>
      </c>
      <c r="I35" s="3">
        <v>1</v>
      </c>
      <c r="J35" s="3">
        <v>3500</v>
      </c>
      <c r="K35" s="3">
        <v>10</v>
      </c>
      <c r="L35" s="3">
        <v>3150</v>
      </c>
      <c r="M35" s="3">
        <v>509.87</v>
      </c>
      <c r="N35" s="3">
        <v>89</v>
      </c>
      <c r="O35" s="3">
        <v>10</v>
      </c>
      <c r="P35" s="3" t="s">
        <v>28</v>
      </c>
      <c r="Q35" s="3" t="s">
        <v>29</v>
      </c>
      <c r="R35" s="3">
        <v>5</v>
      </c>
      <c r="S35" s="3">
        <v>29904</v>
      </c>
      <c r="T35" s="3">
        <v>2859.85</v>
      </c>
      <c r="U35" s="3" t="str">
        <f t="shared" si="0"/>
        <v>Profitable</v>
      </c>
      <c r="V35" s="3" t="str">
        <f t="shared" si="1"/>
        <v>Normal</v>
      </c>
      <c r="W35" s="3" t="str">
        <f t="shared" si="2"/>
        <v>Available</v>
      </c>
      <c r="X35" s="3" t="str">
        <f t="shared" si="3"/>
        <v>Late Delivery</v>
      </c>
      <c r="Y35" s="3" t="str">
        <f t="shared" si="4"/>
        <v>Closed</v>
      </c>
      <c r="Z35" s="3" t="str">
        <f t="shared" si="5"/>
        <v>Satisfied</v>
      </c>
      <c r="AA35" s="7" t="str">
        <f t="shared" si="6"/>
        <v>Target Missed</v>
      </c>
    </row>
    <row r="36" spans="1:27" x14ac:dyDescent="0.3">
      <c r="A36" s="6" t="s">
        <v>120</v>
      </c>
      <c r="B36" s="3" t="s">
        <v>121</v>
      </c>
      <c r="C36" s="3" t="s">
        <v>40</v>
      </c>
      <c r="D36" s="3" t="s">
        <v>33</v>
      </c>
      <c r="E36" s="3" t="s">
        <v>48</v>
      </c>
      <c r="F36" s="3" t="s">
        <v>34</v>
      </c>
      <c r="G36" s="3" t="s">
        <v>53</v>
      </c>
      <c r="H36" s="3" t="s">
        <v>43</v>
      </c>
      <c r="I36" s="3">
        <v>8</v>
      </c>
      <c r="J36" s="3">
        <v>45000</v>
      </c>
      <c r="K36" s="3">
        <v>5</v>
      </c>
      <c r="L36" s="3">
        <v>342000</v>
      </c>
      <c r="M36" s="3">
        <v>90433.11</v>
      </c>
      <c r="N36" s="3">
        <v>60</v>
      </c>
      <c r="O36" s="3">
        <v>3</v>
      </c>
      <c r="P36" s="3" t="s">
        <v>28</v>
      </c>
      <c r="Q36" s="3" t="s">
        <v>37</v>
      </c>
      <c r="R36" s="3">
        <v>1</v>
      </c>
      <c r="S36" s="3">
        <v>74842</v>
      </c>
      <c r="T36" s="3">
        <v>329549.21999999997</v>
      </c>
      <c r="U36" s="3" t="str">
        <f t="shared" si="0"/>
        <v>Profitable</v>
      </c>
      <c r="V36" s="3" t="str">
        <f t="shared" si="1"/>
        <v>High Value</v>
      </c>
      <c r="W36" s="3" t="str">
        <f t="shared" si="2"/>
        <v>Available</v>
      </c>
      <c r="X36" s="3" t="str">
        <f t="shared" si="3"/>
        <v>On Time</v>
      </c>
      <c r="Y36" s="3" t="str">
        <f t="shared" si="4"/>
        <v>Need Investigation</v>
      </c>
      <c r="Z36" s="3" t="str">
        <f t="shared" si="5"/>
        <v>Bad Experience</v>
      </c>
      <c r="AA36" s="7" t="str">
        <f t="shared" si="6"/>
        <v>Target Achieved</v>
      </c>
    </row>
    <row r="37" spans="1:27" x14ac:dyDescent="0.3">
      <c r="A37" s="6" t="s">
        <v>122</v>
      </c>
      <c r="B37" s="3" t="s">
        <v>123</v>
      </c>
      <c r="C37" s="3" t="s">
        <v>85</v>
      </c>
      <c r="D37" s="3" t="s">
        <v>23</v>
      </c>
      <c r="E37" s="3" t="s">
        <v>41</v>
      </c>
      <c r="F37" s="3" t="s">
        <v>34</v>
      </c>
      <c r="G37" s="3" t="s">
        <v>53</v>
      </c>
      <c r="H37" s="3" t="s">
        <v>43</v>
      </c>
      <c r="I37" s="3">
        <v>7</v>
      </c>
      <c r="J37" s="3">
        <v>45000</v>
      </c>
      <c r="K37" s="3">
        <v>20</v>
      </c>
      <c r="L37" s="3">
        <v>252000</v>
      </c>
      <c r="M37" s="3">
        <v>72242.14</v>
      </c>
      <c r="N37" s="3">
        <v>67</v>
      </c>
      <c r="O37" s="3">
        <v>6</v>
      </c>
      <c r="P37" s="3" t="s">
        <v>44</v>
      </c>
      <c r="Q37" s="3" t="s">
        <v>29</v>
      </c>
      <c r="R37" s="3">
        <v>1</v>
      </c>
      <c r="S37" s="3">
        <v>49967</v>
      </c>
      <c r="T37" s="3">
        <v>219729.33</v>
      </c>
      <c r="U37" s="3" t="str">
        <f t="shared" si="0"/>
        <v>Profitable</v>
      </c>
      <c r="V37" s="3" t="str">
        <f t="shared" si="1"/>
        <v>High Value</v>
      </c>
      <c r="W37" s="3" t="str">
        <f t="shared" si="2"/>
        <v>Available</v>
      </c>
      <c r="X37" s="3" t="str">
        <f t="shared" si="3"/>
        <v>On Time</v>
      </c>
      <c r="Y37" s="3" t="str">
        <f t="shared" si="4"/>
        <v>Closed</v>
      </c>
      <c r="Z37" s="3" t="str">
        <f t="shared" si="5"/>
        <v>Bad Experience</v>
      </c>
      <c r="AA37" s="7" t="str">
        <f t="shared" si="6"/>
        <v>Target Achieved</v>
      </c>
    </row>
    <row r="38" spans="1:27" x14ac:dyDescent="0.3">
      <c r="A38" s="6" t="s">
        <v>124</v>
      </c>
      <c r="B38" s="3" t="s">
        <v>125</v>
      </c>
      <c r="C38" s="3" t="s">
        <v>77</v>
      </c>
      <c r="D38" s="3" t="s">
        <v>23</v>
      </c>
      <c r="E38" s="3" t="s">
        <v>48</v>
      </c>
      <c r="F38" s="3" t="s">
        <v>25</v>
      </c>
      <c r="G38" s="3" t="s">
        <v>26</v>
      </c>
      <c r="H38" s="3" t="s">
        <v>27</v>
      </c>
      <c r="I38" s="3">
        <v>7</v>
      </c>
      <c r="J38" s="3">
        <v>45000</v>
      </c>
      <c r="K38" s="3">
        <v>5</v>
      </c>
      <c r="L38" s="3">
        <v>299250</v>
      </c>
      <c r="M38" s="3">
        <v>-3977.36</v>
      </c>
      <c r="N38" s="3">
        <v>60</v>
      </c>
      <c r="O38" s="3">
        <v>8</v>
      </c>
      <c r="P38" s="3" t="s">
        <v>59</v>
      </c>
      <c r="Q38" s="3" t="s">
        <v>37</v>
      </c>
      <c r="R38" s="3">
        <v>1</v>
      </c>
      <c r="S38" s="3">
        <v>86849</v>
      </c>
      <c r="T38" s="3">
        <v>335366.17</v>
      </c>
      <c r="U38" s="3" t="str">
        <f t="shared" si="0"/>
        <v>Loss</v>
      </c>
      <c r="V38" s="3" t="str">
        <f t="shared" si="1"/>
        <v>High Value</v>
      </c>
      <c r="W38" s="3" t="str">
        <f t="shared" si="2"/>
        <v>Available</v>
      </c>
      <c r="X38" s="3" t="str">
        <f t="shared" si="3"/>
        <v>Late Delivery</v>
      </c>
      <c r="Y38" s="3" t="str">
        <f t="shared" si="4"/>
        <v>Need Investigation</v>
      </c>
      <c r="Z38" s="3" t="str">
        <f t="shared" si="5"/>
        <v>Bad Experience</v>
      </c>
      <c r="AA38" s="7" t="str">
        <f t="shared" si="6"/>
        <v>Target Achieved</v>
      </c>
    </row>
    <row r="39" spans="1:27" x14ac:dyDescent="0.3">
      <c r="A39" s="6" t="s">
        <v>126</v>
      </c>
      <c r="B39" s="3" t="s">
        <v>61</v>
      </c>
      <c r="C39" s="3" t="s">
        <v>77</v>
      </c>
      <c r="D39" s="3" t="s">
        <v>33</v>
      </c>
      <c r="E39" s="3" t="s">
        <v>48</v>
      </c>
      <c r="F39" s="3" t="s">
        <v>70</v>
      </c>
      <c r="G39" s="3" t="s">
        <v>80</v>
      </c>
      <c r="H39" s="3" t="s">
        <v>36</v>
      </c>
      <c r="I39" s="3">
        <v>4</v>
      </c>
      <c r="J39" s="3">
        <v>15000</v>
      </c>
      <c r="K39" s="3">
        <v>20</v>
      </c>
      <c r="L39" s="3">
        <v>48000</v>
      </c>
      <c r="M39" s="3">
        <v>8450.57</v>
      </c>
      <c r="N39" s="3">
        <v>11</v>
      </c>
      <c r="O39" s="3">
        <v>1</v>
      </c>
      <c r="P39" s="3" t="s">
        <v>28</v>
      </c>
      <c r="Q39" s="3" t="s">
        <v>29</v>
      </c>
      <c r="R39" s="3">
        <v>5</v>
      </c>
      <c r="S39" s="3">
        <v>65265</v>
      </c>
      <c r="T39" s="3">
        <v>51474.15</v>
      </c>
      <c r="U39" s="3" t="str">
        <f t="shared" si="0"/>
        <v>Profitable</v>
      </c>
      <c r="V39" s="3" t="str">
        <f t="shared" si="1"/>
        <v>Normal</v>
      </c>
      <c r="W39" s="3" t="str">
        <f t="shared" si="2"/>
        <v>Available</v>
      </c>
      <c r="X39" s="3" t="str">
        <f t="shared" si="3"/>
        <v>On Time</v>
      </c>
      <c r="Y39" s="3" t="str">
        <f t="shared" si="4"/>
        <v>Closed</v>
      </c>
      <c r="Z39" s="3" t="str">
        <f t="shared" si="5"/>
        <v>Satisfied</v>
      </c>
      <c r="AA39" s="7" t="str">
        <f t="shared" si="6"/>
        <v>Target Missed</v>
      </c>
    </row>
    <row r="40" spans="1:27" x14ac:dyDescent="0.3">
      <c r="A40" s="6" t="s">
        <v>127</v>
      </c>
      <c r="B40" s="3" t="s">
        <v>128</v>
      </c>
      <c r="C40" s="3" t="s">
        <v>79</v>
      </c>
      <c r="D40" s="3" t="s">
        <v>23</v>
      </c>
      <c r="E40" s="3" t="s">
        <v>41</v>
      </c>
      <c r="F40" s="3" t="s">
        <v>25</v>
      </c>
      <c r="G40" s="3" t="s">
        <v>26</v>
      </c>
      <c r="H40" s="3" t="s">
        <v>27</v>
      </c>
      <c r="I40" s="3">
        <v>1</v>
      </c>
      <c r="J40" s="3">
        <v>8000</v>
      </c>
      <c r="K40" s="3">
        <v>10</v>
      </c>
      <c r="L40" s="3">
        <v>7200</v>
      </c>
      <c r="M40" s="3">
        <v>1538.42</v>
      </c>
      <c r="N40" s="3">
        <v>87</v>
      </c>
      <c r="O40" s="3">
        <v>10</v>
      </c>
      <c r="P40" s="3" t="s">
        <v>59</v>
      </c>
      <c r="Q40" s="3" t="s">
        <v>29</v>
      </c>
      <c r="R40" s="3">
        <v>2</v>
      </c>
      <c r="S40" s="3">
        <v>50957</v>
      </c>
      <c r="T40" s="3">
        <v>7027.61</v>
      </c>
      <c r="U40" s="3" t="str">
        <f t="shared" si="0"/>
        <v>Profitable</v>
      </c>
      <c r="V40" s="3" t="str">
        <f t="shared" si="1"/>
        <v>Normal</v>
      </c>
      <c r="W40" s="3" t="str">
        <f t="shared" si="2"/>
        <v>Available</v>
      </c>
      <c r="X40" s="3" t="str">
        <f t="shared" si="3"/>
        <v>Late Delivery</v>
      </c>
      <c r="Y40" s="3" t="str">
        <f t="shared" si="4"/>
        <v>Closed</v>
      </c>
      <c r="Z40" s="3" t="str">
        <f t="shared" si="5"/>
        <v>Bad Experience</v>
      </c>
      <c r="AA40" s="7" t="str">
        <f t="shared" si="6"/>
        <v>Target Missed</v>
      </c>
    </row>
    <row r="41" spans="1:27" x14ac:dyDescent="0.3">
      <c r="A41" s="6" t="s">
        <v>129</v>
      </c>
      <c r="B41" s="3" t="s">
        <v>130</v>
      </c>
      <c r="C41" s="3" t="s">
        <v>40</v>
      </c>
      <c r="D41" s="3" t="s">
        <v>47</v>
      </c>
      <c r="E41" s="3" t="s">
        <v>48</v>
      </c>
      <c r="F41" s="3" t="s">
        <v>58</v>
      </c>
      <c r="G41" s="3" t="s">
        <v>53</v>
      </c>
      <c r="H41" s="3" t="s">
        <v>43</v>
      </c>
      <c r="I41" s="3">
        <v>6</v>
      </c>
      <c r="J41" s="3">
        <v>3500</v>
      </c>
      <c r="K41" s="3">
        <v>10</v>
      </c>
      <c r="L41" s="3">
        <v>18900</v>
      </c>
      <c r="M41" s="3">
        <v>5426.08</v>
      </c>
      <c r="N41" s="3">
        <v>33</v>
      </c>
      <c r="O41" s="3">
        <v>10</v>
      </c>
      <c r="P41" s="3" t="s">
        <v>44</v>
      </c>
      <c r="Q41" s="3" t="s">
        <v>29</v>
      </c>
      <c r="R41" s="3">
        <v>3</v>
      </c>
      <c r="S41" s="3">
        <v>142260</v>
      </c>
      <c r="T41" s="3">
        <v>18375.349999999999</v>
      </c>
      <c r="U41" s="3" t="str">
        <f t="shared" si="0"/>
        <v>Profitable</v>
      </c>
      <c r="V41" s="3" t="str">
        <f t="shared" si="1"/>
        <v>Normal</v>
      </c>
      <c r="W41" s="3" t="str">
        <f t="shared" si="2"/>
        <v>Available</v>
      </c>
      <c r="X41" s="3" t="str">
        <f t="shared" si="3"/>
        <v>Late Delivery</v>
      </c>
      <c r="Y41" s="3" t="str">
        <f t="shared" si="4"/>
        <v>Closed</v>
      </c>
      <c r="Z41" s="3" t="str">
        <f t="shared" si="5"/>
        <v>Satisfied</v>
      </c>
      <c r="AA41" s="7" t="str">
        <f t="shared" si="6"/>
        <v>Target Missed</v>
      </c>
    </row>
    <row r="42" spans="1:27" x14ac:dyDescent="0.3">
      <c r="A42" s="6" t="s">
        <v>131</v>
      </c>
      <c r="B42" s="3" t="s">
        <v>132</v>
      </c>
      <c r="C42" s="3" t="s">
        <v>85</v>
      </c>
      <c r="D42" s="3" t="s">
        <v>23</v>
      </c>
      <c r="E42" s="3" t="s">
        <v>48</v>
      </c>
      <c r="F42" s="3" t="s">
        <v>70</v>
      </c>
      <c r="G42" s="3" t="s">
        <v>53</v>
      </c>
      <c r="H42" s="3" t="s">
        <v>43</v>
      </c>
      <c r="I42" s="3">
        <v>2</v>
      </c>
      <c r="J42" s="3">
        <v>1200</v>
      </c>
      <c r="K42" s="3">
        <v>0</v>
      </c>
      <c r="L42" s="3">
        <v>2400</v>
      </c>
      <c r="M42" s="3">
        <v>665.11</v>
      </c>
      <c r="N42" s="3">
        <v>96</v>
      </c>
      <c r="O42" s="3">
        <v>5</v>
      </c>
      <c r="P42" s="3" t="s">
        <v>59</v>
      </c>
      <c r="Q42" s="3" t="s">
        <v>37</v>
      </c>
      <c r="R42" s="3">
        <v>5</v>
      </c>
      <c r="S42" s="3">
        <v>87229</v>
      </c>
      <c r="T42" s="3">
        <v>2305.17</v>
      </c>
      <c r="U42" s="3" t="str">
        <f t="shared" si="0"/>
        <v>Profitable</v>
      </c>
      <c r="V42" s="3" t="str">
        <f t="shared" si="1"/>
        <v>Normal</v>
      </c>
      <c r="W42" s="3" t="str">
        <f t="shared" si="2"/>
        <v>Available</v>
      </c>
      <c r="X42" s="3" t="str">
        <f t="shared" si="3"/>
        <v>On Time</v>
      </c>
      <c r="Y42" s="3" t="str">
        <f t="shared" si="4"/>
        <v>Need Investigation</v>
      </c>
      <c r="Z42" s="3" t="str">
        <f t="shared" si="5"/>
        <v>Satisfied</v>
      </c>
      <c r="AA42" s="7" t="str">
        <f t="shared" si="6"/>
        <v>Target Missed</v>
      </c>
    </row>
    <row r="43" spans="1:27" x14ac:dyDescent="0.3">
      <c r="A43" s="6" t="s">
        <v>133</v>
      </c>
      <c r="B43" s="3" t="s">
        <v>134</v>
      </c>
      <c r="C43" s="3" t="s">
        <v>51</v>
      </c>
      <c r="D43" s="3" t="s">
        <v>23</v>
      </c>
      <c r="E43" s="3" t="s">
        <v>41</v>
      </c>
      <c r="F43" s="3" t="s">
        <v>58</v>
      </c>
      <c r="G43" s="3" t="s">
        <v>66</v>
      </c>
      <c r="H43" s="3" t="s">
        <v>27</v>
      </c>
      <c r="I43" s="3">
        <v>6</v>
      </c>
      <c r="J43" s="3">
        <v>8000</v>
      </c>
      <c r="K43" s="3">
        <v>20</v>
      </c>
      <c r="L43" s="3">
        <v>38400</v>
      </c>
      <c r="M43" s="3">
        <v>9753.4500000000007</v>
      </c>
      <c r="N43" s="3">
        <v>39</v>
      </c>
      <c r="O43" s="3">
        <v>10</v>
      </c>
      <c r="P43" s="3" t="s">
        <v>44</v>
      </c>
      <c r="Q43" s="3" t="s">
        <v>37</v>
      </c>
      <c r="R43" s="3">
        <v>5</v>
      </c>
      <c r="S43" s="3">
        <v>118560</v>
      </c>
      <c r="T43" s="3">
        <v>44269.48</v>
      </c>
      <c r="U43" s="3" t="str">
        <f t="shared" si="0"/>
        <v>Profitable</v>
      </c>
      <c r="V43" s="3" t="str">
        <f t="shared" si="1"/>
        <v>Normal</v>
      </c>
      <c r="W43" s="3" t="str">
        <f t="shared" si="2"/>
        <v>Available</v>
      </c>
      <c r="X43" s="3" t="str">
        <f t="shared" si="3"/>
        <v>Late Delivery</v>
      </c>
      <c r="Y43" s="3" t="str">
        <f t="shared" si="4"/>
        <v>Need Investigation</v>
      </c>
      <c r="Z43" s="3" t="str">
        <f t="shared" si="5"/>
        <v>Satisfied</v>
      </c>
      <c r="AA43" s="7" t="str">
        <f t="shared" si="6"/>
        <v>Target Missed</v>
      </c>
    </row>
    <row r="44" spans="1:27" x14ac:dyDescent="0.3">
      <c r="A44" s="6" t="s">
        <v>135</v>
      </c>
      <c r="B44" s="3" t="s">
        <v>31</v>
      </c>
      <c r="C44" s="3" t="s">
        <v>136</v>
      </c>
      <c r="D44" s="3" t="s">
        <v>23</v>
      </c>
      <c r="E44" s="3" t="s">
        <v>24</v>
      </c>
      <c r="F44" s="3" t="s">
        <v>25</v>
      </c>
      <c r="G44" s="3" t="s">
        <v>42</v>
      </c>
      <c r="H44" s="3" t="s">
        <v>43</v>
      </c>
      <c r="I44" s="3">
        <v>2</v>
      </c>
      <c r="J44" s="3">
        <v>1200</v>
      </c>
      <c r="K44" s="3">
        <v>10</v>
      </c>
      <c r="L44" s="3">
        <v>2160</v>
      </c>
      <c r="M44" s="3">
        <v>292.62</v>
      </c>
      <c r="N44" s="3">
        <v>15</v>
      </c>
      <c r="O44" s="3">
        <v>7</v>
      </c>
      <c r="P44" s="3" t="s">
        <v>44</v>
      </c>
      <c r="Q44" s="3" t="s">
        <v>29</v>
      </c>
      <c r="R44" s="3">
        <v>3</v>
      </c>
      <c r="S44" s="3">
        <v>87612</v>
      </c>
      <c r="T44" s="3">
        <v>2207.94</v>
      </c>
      <c r="U44" s="3" t="str">
        <f t="shared" si="0"/>
        <v>Profitable</v>
      </c>
      <c r="V44" s="3" t="str">
        <f t="shared" si="1"/>
        <v>Normal</v>
      </c>
      <c r="W44" s="3" t="str">
        <f t="shared" si="2"/>
        <v>Available</v>
      </c>
      <c r="X44" s="3" t="str">
        <f t="shared" si="3"/>
        <v>On Time</v>
      </c>
      <c r="Y44" s="3" t="str">
        <f t="shared" si="4"/>
        <v>Closed</v>
      </c>
      <c r="Z44" s="3" t="str">
        <f t="shared" si="5"/>
        <v>Satisfied</v>
      </c>
      <c r="AA44" s="7" t="str">
        <f t="shared" si="6"/>
        <v>Target Missed</v>
      </c>
    </row>
    <row r="45" spans="1:27" x14ac:dyDescent="0.3">
      <c r="A45" s="6" t="s">
        <v>137</v>
      </c>
      <c r="B45" s="3" t="s">
        <v>138</v>
      </c>
      <c r="C45" s="3" t="s">
        <v>77</v>
      </c>
      <c r="D45" s="3" t="s">
        <v>33</v>
      </c>
      <c r="E45" s="3" t="s">
        <v>41</v>
      </c>
      <c r="F45" s="3" t="s">
        <v>70</v>
      </c>
      <c r="G45" s="3" t="s">
        <v>66</v>
      </c>
      <c r="H45" s="3" t="s">
        <v>27</v>
      </c>
      <c r="I45" s="3">
        <v>7</v>
      </c>
      <c r="J45" s="3">
        <v>15000</v>
      </c>
      <c r="K45" s="3">
        <v>0</v>
      </c>
      <c r="L45" s="3">
        <v>105000</v>
      </c>
      <c r="M45" s="3">
        <v>555.34</v>
      </c>
      <c r="N45" s="3">
        <v>44</v>
      </c>
      <c r="O45" s="3">
        <v>5</v>
      </c>
      <c r="P45" s="3" t="s">
        <v>67</v>
      </c>
      <c r="Q45" s="3" t="s">
        <v>37</v>
      </c>
      <c r="R45" s="3">
        <v>2</v>
      </c>
      <c r="S45" s="3">
        <v>65464</v>
      </c>
      <c r="T45" s="3">
        <v>125208.66</v>
      </c>
      <c r="U45" s="3" t="str">
        <f t="shared" si="0"/>
        <v>Profitable</v>
      </c>
      <c r="V45" s="3" t="str">
        <f t="shared" si="1"/>
        <v>High Value</v>
      </c>
      <c r="W45" s="3" t="str">
        <f t="shared" si="2"/>
        <v>Available</v>
      </c>
      <c r="X45" s="3" t="str">
        <f t="shared" si="3"/>
        <v>On Time</v>
      </c>
      <c r="Y45" s="3" t="str">
        <f t="shared" si="4"/>
        <v>Need Investigation</v>
      </c>
      <c r="Z45" s="3" t="str">
        <f t="shared" si="5"/>
        <v>Bad Experience</v>
      </c>
      <c r="AA45" s="7" t="str">
        <f t="shared" si="6"/>
        <v>Target Achieved</v>
      </c>
    </row>
    <row r="46" spans="1:27" x14ac:dyDescent="0.3">
      <c r="A46" s="6" t="s">
        <v>139</v>
      </c>
      <c r="B46" s="3" t="s">
        <v>140</v>
      </c>
      <c r="C46" s="3" t="s">
        <v>85</v>
      </c>
      <c r="D46" s="3" t="s">
        <v>23</v>
      </c>
      <c r="E46" s="3" t="s">
        <v>48</v>
      </c>
      <c r="F46" s="3" t="s">
        <v>34</v>
      </c>
      <c r="G46" s="3" t="s">
        <v>80</v>
      </c>
      <c r="H46" s="3" t="s">
        <v>36</v>
      </c>
      <c r="I46" s="3">
        <v>7</v>
      </c>
      <c r="J46" s="3">
        <v>15000</v>
      </c>
      <c r="K46" s="3">
        <v>0</v>
      </c>
      <c r="L46" s="3">
        <v>105000</v>
      </c>
      <c r="M46" s="3">
        <v>22751.02</v>
      </c>
      <c r="N46" s="3">
        <v>15</v>
      </c>
      <c r="O46" s="3">
        <v>6</v>
      </c>
      <c r="P46" s="3" t="s">
        <v>67</v>
      </c>
      <c r="Q46" s="3" t="s">
        <v>29</v>
      </c>
      <c r="R46" s="3">
        <v>3</v>
      </c>
      <c r="S46" s="3">
        <v>91921</v>
      </c>
      <c r="T46" s="3">
        <v>90401.41</v>
      </c>
      <c r="U46" s="3" t="str">
        <f t="shared" si="0"/>
        <v>Profitable</v>
      </c>
      <c r="V46" s="3" t="str">
        <f t="shared" si="1"/>
        <v>High Value</v>
      </c>
      <c r="W46" s="3" t="str">
        <f t="shared" si="2"/>
        <v>Available</v>
      </c>
      <c r="X46" s="3" t="str">
        <f t="shared" si="3"/>
        <v>On Time</v>
      </c>
      <c r="Y46" s="3" t="str">
        <f t="shared" si="4"/>
        <v>Closed</v>
      </c>
      <c r="Z46" s="3" t="str">
        <f t="shared" si="5"/>
        <v>Satisfied</v>
      </c>
      <c r="AA46" s="7" t="str">
        <f t="shared" si="6"/>
        <v>Target Missed</v>
      </c>
    </row>
    <row r="47" spans="1:27" x14ac:dyDescent="0.3">
      <c r="A47" s="6" t="s">
        <v>141</v>
      </c>
      <c r="B47" s="3" t="s">
        <v>142</v>
      </c>
      <c r="C47" s="3" t="s">
        <v>51</v>
      </c>
      <c r="D47" s="3" t="s">
        <v>47</v>
      </c>
      <c r="E47" s="3" t="s">
        <v>57</v>
      </c>
      <c r="F47" s="3" t="s">
        <v>25</v>
      </c>
      <c r="G47" s="3" t="s">
        <v>26</v>
      </c>
      <c r="H47" s="3" t="s">
        <v>27</v>
      </c>
      <c r="I47" s="3">
        <v>3</v>
      </c>
      <c r="J47" s="3">
        <v>3500</v>
      </c>
      <c r="K47" s="3">
        <v>20</v>
      </c>
      <c r="L47" s="3">
        <v>8400</v>
      </c>
      <c r="M47" s="3">
        <v>1425.68</v>
      </c>
      <c r="N47" s="3">
        <v>58</v>
      </c>
      <c r="O47" s="3">
        <v>1</v>
      </c>
      <c r="P47" s="3" t="s">
        <v>28</v>
      </c>
      <c r="Q47" s="3" t="s">
        <v>37</v>
      </c>
      <c r="R47" s="3">
        <v>1</v>
      </c>
      <c r="S47" s="3">
        <v>27751</v>
      </c>
      <c r="T47" s="3">
        <v>8568.7900000000009</v>
      </c>
      <c r="U47" s="3" t="str">
        <f t="shared" si="0"/>
        <v>Profitable</v>
      </c>
      <c r="V47" s="3" t="str">
        <f t="shared" si="1"/>
        <v>Normal</v>
      </c>
      <c r="W47" s="3" t="str">
        <f t="shared" si="2"/>
        <v>Available</v>
      </c>
      <c r="X47" s="3" t="str">
        <f t="shared" si="3"/>
        <v>On Time</v>
      </c>
      <c r="Y47" s="3" t="str">
        <f t="shared" si="4"/>
        <v>Need Investigation</v>
      </c>
      <c r="Z47" s="3" t="str">
        <f t="shared" si="5"/>
        <v>Bad Experience</v>
      </c>
      <c r="AA47" s="7" t="str">
        <f t="shared" si="6"/>
        <v>Target Missed</v>
      </c>
    </row>
    <row r="48" spans="1:27" x14ac:dyDescent="0.3">
      <c r="A48" s="6" t="s">
        <v>143</v>
      </c>
      <c r="B48" s="3" t="s">
        <v>69</v>
      </c>
      <c r="C48" s="3" t="s">
        <v>136</v>
      </c>
      <c r="D48" s="3" t="s">
        <v>23</v>
      </c>
      <c r="E48" s="3" t="s">
        <v>48</v>
      </c>
      <c r="F48" s="3" t="s">
        <v>34</v>
      </c>
      <c r="G48" s="3" t="s">
        <v>35</v>
      </c>
      <c r="H48" s="3" t="s">
        <v>36</v>
      </c>
      <c r="I48" s="3">
        <v>1</v>
      </c>
      <c r="J48" s="3">
        <v>65000</v>
      </c>
      <c r="K48" s="3">
        <v>0</v>
      </c>
      <c r="L48" s="3">
        <v>65000</v>
      </c>
      <c r="M48" s="3">
        <v>1504.22</v>
      </c>
      <c r="N48" s="3">
        <v>61</v>
      </c>
      <c r="O48" s="3">
        <v>10</v>
      </c>
      <c r="P48" s="3" t="s">
        <v>28</v>
      </c>
      <c r="Q48" s="3" t="s">
        <v>29</v>
      </c>
      <c r="R48" s="3">
        <v>2</v>
      </c>
      <c r="S48" s="3">
        <v>12113</v>
      </c>
      <c r="T48" s="3">
        <v>68285.53</v>
      </c>
      <c r="U48" s="3" t="str">
        <f t="shared" si="0"/>
        <v>Profitable</v>
      </c>
      <c r="V48" s="3" t="str">
        <f t="shared" si="1"/>
        <v>High Value</v>
      </c>
      <c r="W48" s="3" t="str">
        <f t="shared" si="2"/>
        <v>Available</v>
      </c>
      <c r="X48" s="3" t="str">
        <f t="shared" si="3"/>
        <v>Late Delivery</v>
      </c>
      <c r="Y48" s="3" t="str">
        <f t="shared" si="4"/>
        <v>Closed</v>
      </c>
      <c r="Z48" s="3" t="str">
        <f t="shared" si="5"/>
        <v>Bad Experience</v>
      </c>
      <c r="AA48" s="7" t="str">
        <f t="shared" si="6"/>
        <v>Target Achieved</v>
      </c>
    </row>
    <row r="49" spans="1:27" x14ac:dyDescent="0.3">
      <c r="A49" s="6" t="s">
        <v>144</v>
      </c>
      <c r="B49" s="3" t="s">
        <v>145</v>
      </c>
      <c r="C49" s="3" t="s">
        <v>22</v>
      </c>
      <c r="D49" s="3" t="s">
        <v>33</v>
      </c>
      <c r="E49" s="3" t="s">
        <v>48</v>
      </c>
      <c r="F49" s="3" t="s">
        <v>70</v>
      </c>
      <c r="G49" s="3" t="s">
        <v>53</v>
      </c>
      <c r="H49" s="3" t="s">
        <v>43</v>
      </c>
      <c r="I49" s="3">
        <v>6</v>
      </c>
      <c r="J49" s="3">
        <v>8000</v>
      </c>
      <c r="K49" s="3">
        <v>15</v>
      </c>
      <c r="L49" s="3">
        <v>40800</v>
      </c>
      <c r="M49" s="3">
        <v>-504.62</v>
      </c>
      <c r="N49" s="3">
        <v>70</v>
      </c>
      <c r="O49" s="3">
        <v>10</v>
      </c>
      <c r="P49" s="3" t="s">
        <v>59</v>
      </c>
      <c r="Q49" s="3" t="s">
        <v>29</v>
      </c>
      <c r="R49" s="3">
        <v>2</v>
      </c>
      <c r="S49" s="3">
        <v>52926</v>
      </c>
      <c r="T49" s="3">
        <v>34881.1</v>
      </c>
      <c r="U49" s="3" t="str">
        <f t="shared" si="0"/>
        <v>Loss</v>
      </c>
      <c r="V49" s="3" t="str">
        <f t="shared" si="1"/>
        <v>Normal</v>
      </c>
      <c r="W49" s="3" t="str">
        <f t="shared" si="2"/>
        <v>Available</v>
      </c>
      <c r="X49" s="3" t="str">
        <f t="shared" si="3"/>
        <v>Late Delivery</v>
      </c>
      <c r="Y49" s="3" t="str">
        <f t="shared" si="4"/>
        <v>Closed</v>
      </c>
      <c r="Z49" s="3" t="str">
        <f t="shared" si="5"/>
        <v>Bad Experience</v>
      </c>
      <c r="AA49" s="7" t="str">
        <f t="shared" si="6"/>
        <v>Target Missed</v>
      </c>
    </row>
    <row r="50" spans="1:27" x14ac:dyDescent="0.3">
      <c r="A50" s="6" t="s">
        <v>146</v>
      </c>
      <c r="B50" s="3" t="s">
        <v>147</v>
      </c>
      <c r="C50" s="3" t="s">
        <v>51</v>
      </c>
      <c r="D50" s="3" t="s">
        <v>23</v>
      </c>
      <c r="E50" s="3" t="s">
        <v>24</v>
      </c>
      <c r="F50" s="3" t="s">
        <v>34</v>
      </c>
      <c r="G50" s="3" t="s">
        <v>66</v>
      </c>
      <c r="H50" s="3" t="s">
        <v>27</v>
      </c>
      <c r="I50" s="3">
        <v>5</v>
      </c>
      <c r="J50" s="3">
        <v>500</v>
      </c>
      <c r="K50" s="3">
        <v>0</v>
      </c>
      <c r="L50" s="3">
        <v>2500</v>
      </c>
      <c r="M50" s="3">
        <v>428.84</v>
      </c>
      <c r="N50" s="3">
        <v>39</v>
      </c>
      <c r="O50" s="3">
        <v>4</v>
      </c>
      <c r="P50" s="3" t="s">
        <v>28</v>
      </c>
      <c r="Q50" s="3" t="s">
        <v>29</v>
      </c>
      <c r="R50" s="3">
        <v>4</v>
      </c>
      <c r="S50" s="3">
        <v>66587</v>
      </c>
      <c r="T50" s="3">
        <v>2753.49</v>
      </c>
      <c r="U50" s="3" t="str">
        <f t="shared" si="0"/>
        <v>Profitable</v>
      </c>
      <c r="V50" s="3" t="str">
        <f t="shared" si="1"/>
        <v>Normal</v>
      </c>
      <c r="W50" s="3" t="str">
        <f t="shared" si="2"/>
        <v>Available</v>
      </c>
      <c r="X50" s="3" t="str">
        <f t="shared" si="3"/>
        <v>On Time</v>
      </c>
      <c r="Y50" s="3" t="str">
        <f t="shared" si="4"/>
        <v>Closed</v>
      </c>
      <c r="Z50" s="3" t="str">
        <f t="shared" si="5"/>
        <v>Satisfied</v>
      </c>
      <c r="AA50" s="7" t="str">
        <f t="shared" si="6"/>
        <v>Target Missed</v>
      </c>
    </row>
    <row r="51" spans="1:27" ht="15" thickBot="1" x14ac:dyDescent="0.35">
      <c r="A51" s="8" t="s">
        <v>148</v>
      </c>
      <c r="B51" s="9" t="s">
        <v>31</v>
      </c>
      <c r="C51" s="9" t="s">
        <v>32</v>
      </c>
      <c r="D51" s="9" t="s">
        <v>47</v>
      </c>
      <c r="E51" s="9" t="s">
        <v>57</v>
      </c>
      <c r="F51" s="9" t="s">
        <v>52</v>
      </c>
      <c r="G51" s="9" t="s">
        <v>42</v>
      </c>
      <c r="H51" s="9" t="s">
        <v>43</v>
      </c>
      <c r="I51" s="9">
        <v>5</v>
      </c>
      <c r="J51" s="9">
        <v>65000</v>
      </c>
      <c r="K51" s="9">
        <v>5</v>
      </c>
      <c r="L51" s="9">
        <v>308750</v>
      </c>
      <c r="M51" s="9">
        <v>8887.48</v>
      </c>
      <c r="N51" s="9">
        <v>62</v>
      </c>
      <c r="O51" s="9">
        <v>4</v>
      </c>
      <c r="P51" s="9" t="s">
        <v>44</v>
      </c>
      <c r="Q51" s="9" t="s">
        <v>37</v>
      </c>
      <c r="R51" s="9">
        <v>1</v>
      </c>
      <c r="S51" s="9">
        <v>147908</v>
      </c>
      <c r="T51" s="9">
        <v>359698.57</v>
      </c>
      <c r="U51" s="9" t="str">
        <f t="shared" si="0"/>
        <v>Profitable</v>
      </c>
      <c r="V51" s="9" t="str">
        <f t="shared" si="1"/>
        <v>High Value</v>
      </c>
      <c r="W51" s="9" t="str">
        <f t="shared" si="2"/>
        <v>Available</v>
      </c>
      <c r="X51" s="9" t="str">
        <f t="shared" si="3"/>
        <v>On Time</v>
      </c>
      <c r="Y51" s="9" t="str">
        <f t="shared" si="4"/>
        <v>Need Investigation</v>
      </c>
      <c r="Z51" s="9" t="str">
        <f t="shared" si="5"/>
        <v>Bad Experience</v>
      </c>
      <c r="AA51" s="10" t="str">
        <f t="shared" si="6"/>
        <v>Target Achieved</v>
      </c>
    </row>
  </sheetData>
  <pageMargins left="0.25" right="0.25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60F4-3209-45FA-ADF5-2A40E9BD4C2A}">
  <dimension ref="A1:AH51"/>
  <sheetViews>
    <sheetView tabSelected="1" topLeftCell="S1" workbookViewId="0">
      <selection activeCell="Z2" sqref="Z2:Z51"/>
    </sheetView>
  </sheetViews>
  <sheetFormatPr defaultRowHeight="14.4" x14ac:dyDescent="0.3"/>
  <cols>
    <col min="1" max="1" width="8.6640625" bestFit="1" customWidth="1"/>
    <col min="2" max="2" width="10.6640625" customWidth="1"/>
    <col min="3" max="4" width="8.44140625" bestFit="1" customWidth="1"/>
    <col min="5" max="5" width="6.77734375" customWidth="1"/>
    <col min="6" max="6" width="11" customWidth="1"/>
    <col min="7" max="7" width="9.21875" customWidth="1"/>
    <col min="8" max="8" width="13.109375" customWidth="1"/>
    <col min="9" max="9" width="8.33203125" bestFit="1" customWidth="1"/>
    <col min="10" max="10" width="6" bestFit="1" customWidth="1"/>
    <col min="11" max="11" width="10.77734375" bestFit="1" customWidth="1"/>
    <col min="12" max="12" width="7" bestFit="1" customWidth="1"/>
    <col min="13" max="13" width="10" bestFit="1" customWidth="1"/>
    <col min="14" max="14" width="7.88671875" bestFit="1" customWidth="1"/>
    <col min="15" max="15" width="7" bestFit="1" customWidth="1"/>
    <col min="16" max="16" width="14.6640625" bestFit="1" customWidth="1"/>
    <col min="17" max="17" width="8.77734375" bestFit="1" customWidth="1"/>
    <col min="18" max="18" width="8.44140625" bestFit="1" customWidth="1"/>
    <col min="19" max="19" width="7" bestFit="1" customWidth="1"/>
    <col min="20" max="20" width="11.5546875" bestFit="1" customWidth="1"/>
    <col min="21" max="21" width="15.77734375" customWidth="1"/>
    <col min="22" max="22" width="8.88671875" customWidth="1"/>
    <col min="23" max="23" width="7.21875" customWidth="1"/>
    <col min="24" max="24" width="9" customWidth="1"/>
    <col min="25" max="25" width="10.6640625" customWidth="1"/>
    <col min="26" max="26" width="9.88671875" customWidth="1"/>
    <col min="27" max="27" width="12.6640625" customWidth="1"/>
    <col min="28" max="28" width="18.44140625" customWidth="1"/>
    <col min="29" max="29" width="18.6640625" customWidth="1"/>
    <col min="30" max="30" width="21.77734375" customWidth="1"/>
    <col min="31" max="31" width="16" customWidth="1"/>
    <col min="32" max="32" width="13.77734375" customWidth="1"/>
    <col min="33" max="33" width="21.21875" customWidth="1"/>
    <col min="34" max="34" width="16.5546875" customWidth="1"/>
  </cols>
  <sheetData>
    <row r="1" spans="1:34" s="5" customFormat="1" ht="40.799999999999997" customHeight="1" x14ac:dyDescent="0.3">
      <c r="A1" s="22" t="s">
        <v>0</v>
      </c>
      <c r="B1" s="22" t="s">
        <v>1</v>
      </c>
      <c r="C1" s="23" t="s">
        <v>2</v>
      </c>
      <c r="D1" s="23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3" t="s">
        <v>9</v>
      </c>
      <c r="K1" s="22" t="s">
        <v>10</v>
      </c>
      <c r="L1" s="22" t="s">
        <v>11</v>
      </c>
      <c r="M1" s="22" t="s">
        <v>12</v>
      </c>
      <c r="N1" s="23" t="s">
        <v>13</v>
      </c>
      <c r="O1" s="23" t="s">
        <v>14</v>
      </c>
      <c r="P1" s="22" t="s">
        <v>15</v>
      </c>
      <c r="Q1" s="22" t="s">
        <v>16</v>
      </c>
      <c r="R1" s="23" t="s">
        <v>17</v>
      </c>
      <c r="S1" s="22" t="s">
        <v>18</v>
      </c>
      <c r="T1" s="22" t="s">
        <v>19</v>
      </c>
      <c r="U1" s="24" t="s">
        <v>155</v>
      </c>
      <c r="V1" s="24" t="s">
        <v>156</v>
      </c>
      <c r="W1" s="24" t="s">
        <v>157</v>
      </c>
      <c r="X1" s="24" t="s">
        <v>158</v>
      </c>
      <c r="Y1" s="24" t="s">
        <v>159</v>
      </c>
      <c r="Z1" s="24" t="s">
        <v>160</v>
      </c>
      <c r="AA1" s="24" t="s">
        <v>161</v>
      </c>
      <c r="AB1" s="24" t="s">
        <v>162</v>
      </c>
      <c r="AC1" s="24" t="s">
        <v>163</v>
      </c>
      <c r="AD1" s="24" t="s">
        <v>164</v>
      </c>
      <c r="AE1" s="24" t="s">
        <v>165</v>
      </c>
      <c r="AF1" s="24" t="s">
        <v>166</v>
      </c>
      <c r="AG1" s="24" t="s">
        <v>167</v>
      </c>
      <c r="AH1" s="24" t="s">
        <v>168</v>
      </c>
    </row>
    <row r="2" spans="1:34" x14ac:dyDescent="0.3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>
        <v>4</v>
      </c>
      <c r="J2" s="3">
        <v>500</v>
      </c>
      <c r="K2" s="3">
        <v>15</v>
      </c>
      <c r="L2" s="3">
        <v>1700</v>
      </c>
      <c r="M2" s="3">
        <v>51.99</v>
      </c>
      <c r="N2" s="3">
        <v>91</v>
      </c>
      <c r="O2" s="3">
        <v>5</v>
      </c>
      <c r="P2" s="3" t="s">
        <v>28</v>
      </c>
      <c r="Q2" s="3" t="s">
        <v>29</v>
      </c>
      <c r="R2" s="3">
        <v>2</v>
      </c>
      <c r="S2" s="3">
        <v>132243</v>
      </c>
      <c r="T2" s="3">
        <v>2015.5</v>
      </c>
      <c r="U2" s="3" t="str">
        <f>IF(T2&gt;=S2,"Target Achieved","Target Missed")</f>
        <v>Target Missed</v>
      </c>
      <c r="V2" s="3" t="str">
        <f>IF(AND(M2&gt;10000,L2&gt;50000),"Yes","No")</f>
        <v>No</v>
      </c>
      <c r="W2" s="3" t="str">
        <f>IF(AND(U2="Target Achieved",R2&gt;=2),"Yes","No")</f>
        <v>No</v>
      </c>
      <c r="X2" s="3" t="str">
        <f>IF(AND(N2&lt;10,L2&gt;50000),"Urgent","Not Now")</f>
        <v>Not Now</v>
      </c>
      <c r="Y2" s="3" t="str">
        <f>IF(AND(D2="Premium",L2&gt;40000),"Reward","No Reward")</f>
        <v>No Reward</v>
      </c>
      <c r="Z2" s="3" t="str">
        <f>IF(AND(O2&lt;=3,Q2="No"),"Yes","No")</f>
        <v>No</v>
      </c>
      <c r="AA2" s="3" t="str">
        <f>IF(OR(Q2="Yes",R2&lt;=2),"High","Low")</f>
        <v>High</v>
      </c>
      <c r="AB2" s="3" t="str">
        <f>IF(OR(H2="Electronics",J2&gt;50000),"Expensive","Not")</f>
        <v>Expensive</v>
      </c>
      <c r="AC2" s="3" t="str">
        <f>IF(OR(D2="VIP",L2&gt;100000),"VIP","No")</f>
        <v>VIP</v>
      </c>
      <c r="AD2" s="3" t="str">
        <f>IF(OR(M2&gt;15000,L2&gt;75000),"Yes","No")</f>
        <v>No</v>
      </c>
      <c r="AE2" s="3" t="str">
        <f t="shared" ref="AE2:AE33" si="0">IF(NOT(D2="Premium"),"Non Premium","Premium")</f>
        <v>Non Premium</v>
      </c>
      <c r="AF2" s="3" t="str">
        <f>IF(NOT(Q2="Yes"),"Non Returned","Returned")</f>
        <v>Non Returned</v>
      </c>
      <c r="AG2" s="3" t="str">
        <f>IF(NOT(U2="Target Achieved"),"Need Improvement","Not Need")</f>
        <v>Need Improvement</v>
      </c>
      <c r="AH2" s="3" t="str">
        <f>IF(NOT(H2="Electronics"),"Non Electronics","Electronics")</f>
        <v>Electronics</v>
      </c>
    </row>
    <row r="3" spans="1:34" x14ac:dyDescent="0.3">
      <c r="A3" s="3" t="s">
        <v>30</v>
      </c>
      <c r="B3" s="3" t="s">
        <v>31</v>
      </c>
      <c r="C3" s="3" t="s">
        <v>32</v>
      </c>
      <c r="D3" s="3" t="s">
        <v>33</v>
      </c>
      <c r="E3" s="3" t="s">
        <v>24</v>
      </c>
      <c r="F3" s="3" t="s">
        <v>34</v>
      </c>
      <c r="G3" s="3" t="s">
        <v>35</v>
      </c>
      <c r="H3" s="3" t="s">
        <v>36</v>
      </c>
      <c r="I3" s="3">
        <v>4</v>
      </c>
      <c r="J3" s="3">
        <v>500</v>
      </c>
      <c r="K3" s="3">
        <v>10</v>
      </c>
      <c r="L3" s="3">
        <v>1800</v>
      </c>
      <c r="M3" s="3">
        <v>487.97</v>
      </c>
      <c r="N3" s="3">
        <v>64</v>
      </c>
      <c r="O3" s="3">
        <v>7</v>
      </c>
      <c r="P3" s="3" t="s">
        <v>28</v>
      </c>
      <c r="Q3" s="3" t="s">
        <v>37</v>
      </c>
      <c r="R3" s="3">
        <v>4</v>
      </c>
      <c r="S3" s="3">
        <v>104471</v>
      </c>
      <c r="T3" s="3">
        <v>2019.21</v>
      </c>
      <c r="U3" s="3" t="str">
        <f t="shared" ref="U3:U51" si="1">IF(T3&gt;=S3,"Target Achieved","Target Missed")</f>
        <v>Target Missed</v>
      </c>
      <c r="V3" s="3" t="str">
        <f t="shared" ref="V3:V51" si="2">IF(AND(M3&gt;10000,L3&gt;50000),"Yes","No")</f>
        <v>No</v>
      </c>
      <c r="W3" s="3" t="str">
        <f t="shared" ref="W3:W51" si="3">IF(AND(U3="Target Achieved",R3&gt;=2),"Yes","No")</f>
        <v>No</v>
      </c>
      <c r="X3" s="3" t="str">
        <f t="shared" ref="X3:X51" si="4">IF(AND(N3&lt;10,L3&gt;50000),"Urgent","Not Now")</f>
        <v>Not Now</v>
      </c>
      <c r="Y3" s="3" t="str">
        <f t="shared" ref="Y3:Y51" si="5">IF(AND(D3="Premium",L3&gt;40000),"Reward","No Reward")</f>
        <v>No Reward</v>
      </c>
      <c r="Z3" s="3" t="str">
        <f t="shared" ref="Z3:Z51" si="6">IF(AND(O3&lt;=3,Q3="No"),"Yes","No")</f>
        <v>No</v>
      </c>
      <c r="AA3" s="3" t="str">
        <f t="shared" ref="AA3:AA51" si="7">IF(OR(Q3="Yes",R3&lt;=2),"High","Low")</f>
        <v>High</v>
      </c>
      <c r="AB3" s="3" t="str">
        <f t="shared" ref="AB3:AB51" si="8">IF(OR(H3="Electronics",J3&gt;50000),"Expensive","Not")</f>
        <v>Not</v>
      </c>
      <c r="AC3" s="3" t="str">
        <f t="shared" ref="AC3:AC51" si="9">IF(OR(D3="VIP",L3&gt;100000),"VIP","No")</f>
        <v>No</v>
      </c>
      <c r="AD3" s="3" t="str">
        <f t="shared" ref="AD3:AD51" si="10">IF(OR(M3&gt;15000,L3&gt;75000),"Yes","No")</f>
        <v>No</v>
      </c>
      <c r="AE3" s="3" t="str">
        <f t="shared" si="0"/>
        <v>Non Premium</v>
      </c>
      <c r="AF3" s="3" t="str">
        <f t="shared" ref="AF3:AF51" si="11">IF(NOT(Q3="Yes"),"Non Returned","Returned")</f>
        <v>Returned</v>
      </c>
      <c r="AG3" s="3" t="str">
        <f t="shared" ref="AG3:AG51" si="12">IF(NOT(U3="Target Achieved"),"Need Improvement","Not Need")</f>
        <v>Need Improvement</v>
      </c>
      <c r="AH3" s="3" t="str">
        <f t="shared" ref="AH3:AH51" si="13">IF(NOT(H3="Electronics"),"Non Electronics","Electronics")</f>
        <v>Non Electronics</v>
      </c>
    </row>
    <row r="4" spans="1:34" x14ac:dyDescent="0.3">
      <c r="A4" s="3" t="s">
        <v>38</v>
      </c>
      <c r="B4" s="3" t="s">
        <v>39</v>
      </c>
      <c r="C4" s="3" t="s">
        <v>40</v>
      </c>
      <c r="D4" s="3" t="s">
        <v>23</v>
      </c>
      <c r="E4" s="3" t="s">
        <v>41</v>
      </c>
      <c r="F4" s="3" t="s">
        <v>34</v>
      </c>
      <c r="G4" s="3" t="s">
        <v>42</v>
      </c>
      <c r="H4" s="3" t="s">
        <v>43</v>
      </c>
      <c r="I4" s="3">
        <v>10</v>
      </c>
      <c r="J4" s="3">
        <v>1200</v>
      </c>
      <c r="K4" s="3">
        <v>20</v>
      </c>
      <c r="L4" s="3">
        <v>9600</v>
      </c>
      <c r="M4" s="3">
        <v>-169.53</v>
      </c>
      <c r="N4" s="3">
        <v>88</v>
      </c>
      <c r="O4" s="3">
        <v>5</v>
      </c>
      <c r="P4" s="3" t="s">
        <v>44</v>
      </c>
      <c r="Q4" s="3" t="s">
        <v>29</v>
      </c>
      <c r="R4" s="3">
        <v>3</v>
      </c>
      <c r="S4" s="3">
        <v>10899</v>
      </c>
      <c r="T4" s="3">
        <v>7827.1</v>
      </c>
      <c r="U4" s="3" t="str">
        <f t="shared" si="1"/>
        <v>Target Missed</v>
      </c>
      <c r="V4" s="3" t="str">
        <f t="shared" si="2"/>
        <v>No</v>
      </c>
      <c r="W4" s="3" t="str">
        <f t="shared" si="3"/>
        <v>No</v>
      </c>
      <c r="X4" s="3" t="str">
        <f t="shared" si="4"/>
        <v>Not Now</v>
      </c>
      <c r="Y4" s="3" t="str">
        <f t="shared" si="5"/>
        <v>No Reward</v>
      </c>
      <c r="Z4" s="3" t="str">
        <f t="shared" si="6"/>
        <v>No</v>
      </c>
      <c r="AA4" s="3" t="str">
        <f t="shared" si="7"/>
        <v>Low</v>
      </c>
      <c r="AB4" s="3" t="str">
        <f t="shared" si="8"/>
        <v>Not</v>
      </c>
      <c r="AC4" s="3" t="str">
        <f t="shared" si="9"/>
        <v>VIP</v>
      </c>
      <c r="AD4" s="3" t="str">
        <f t="shared" si="10"/>
        <v>No</v>
      </c>
      <c r="AE4" s="3" t="str">
        <f t="shared" si="0"/>
        <v>Non Premium</v>
      </c>
      <c r="AF4" s="3" t="str">
        <f t="shared" si="11"/>
        <v>Non Returned</v>
      </c>
      <c r="AG4" s="3" t="str">
        <f t="shared" si="12"/>
        <v>Need Improvement</v>
      </c>
      <c r="AH4" s="3" t="str">
        <f t="shared" si="13"/>
        <v>Non Electronics</v>
      </c>
    </row>
    <row r="5" spans="1:34" x14ac:dyDescent="0.3">
      <c r="A5" s="3" t="s">
        <v>45</v>
      </c>
      <c r="B5" s="3" t="s">
        <v>46</v>
      </c>
      <c r="C5" s="3" t="s">
        <v>22</v>
      </c>
      <c r="D5" s="3" t="s">
        <v>47</v>
      </c>
      <c r="E5" s="3" t="s">
        <v>48</v>
      </c>
      <c r="F5" s="3" t="s">
        <v>34</v>
      </c>
      <c r="G5" s="3" t="s">
        <v>35</v>
      </c>
      <c r="H5" s="3" t="s">
        <v>36</v>
      </c>
      <c r="I5" s="3">
        <v>1</v>
      </c>
      <c r="J5" s="3">
        <v>45000</v>
      </c>
      <c r="K5" s="3">
        <v>20</v>
      </c>
      <c r="L5" s="3">
        <v>36000</v>
      </c>
      <c r="M5" s="3">
        <v>1792.12</v>
      </c>
      <c r="N5" s="3">
        <v>62</v>
      </c>
      <c r="O5" s="3">
        <v>4</v>
      </c>
      <c r="P5" s="3" t="s">
        <v>28</v>
      </c>
      <c r="Q5" s="3" t="s">
        <v>29</v>
      </c>
      <c r="R5" s="3">
        <v>5</v>
      </c>
      <c r="S5" s="3">
        <v>131058</v>
      </c>
      <c r="T5" s="3">
        <v>41969.91</v>
      </c>
      <c r="U5" s="3" t="str">
        <f t="shared" si="1"/>
        <v>Target Missed</v>
      </c>
      <c r="V5" s="3" t="str">
        <f t="shared" si="2"/>
        <v>No</v>
      </c>
      <c r="W5" s="3" t="str">
        <f t="shared" si="3"/>
        <v>No</v>
      </c>
      <c r="X5" s="3" t="str">
        <f t="shared" si="4"/>
        <v>Not Now</v>
      </c>
      <c r="Y5" s="3" t="str">
        <f t="shared" si="5"/>
        <v>No Reward</v>
      </c>
      <c r="Z5" s="3" t="str">
        <f t="shared" si="6"/>
        <v>No</v>
      </c>
      <c r="AA5" s="3" t="str">
        <f t="shared" si="7"/>
        <v>Low</v>
      </c>
      <c r="AB5" s="3" t="str">
        <f t="shared" si="8"/>
        <v>Not</v>
      </c>
      <c r="AC5" s="3" t="str">
        <f t="shared" si="9"/>
        <v>No</v>
      </c>
      <c r="AD5" s="3" t="str">
        <f t="shared" si="10"/>
        <v>No</v>
      </c>
      <c r="AE5" s="3" t="str">
        <f t="shared" si="0"/>
        <v>Premium</v>
      </c>
      <c r="AF5" s="3" t="str">
        <f t="shared" si="11"/>
        <v>Non Returned</v>
      </c>
      <c r="AG5" s="3" t="str">
        <f t="shared" si="12"/>
        <v>Need Improvement</v>
      </c>
      <c r="AH5" s="3" t="str">
        <f t="shared" si="13"/>
        <v>Non Electronics</v>
      </c>
    </row>
    <row r="6" spans="1:34" x14ac:dyDescent="0.3">
      <c r="A6" s="3" t="s">
        <v>49</v>
      </c>
      <c r="B6" s="3" t="s">
        <v>50</v>
      </c>
      <c r="C6" s="3" t="s">
        <v>51</v>
      </c>
      <c r="D6" s="3" t="s">
        <v>47</v>
      </c>
      <c r="E6" s="3" t="s">
        <v>24</v>
      </c>
      <c r="F6" s="3" t="s">
        <v>52</v>
      </c>
      <c r="G6" s="3" t="s">
        <v>53</v>
      </c>
      <c r="H6" s="3" t="s">
        <v>43</v>
      </c>
      <c r="I6" s="3">
        <v>8</v>
      </c>
      <c r="J6" s="3">
        <v>1200</v>
      </c>
      <c r="K6" s="3">
        <v>5</v>
      </c>
      <c r="L6" s="3">
        <v>9120</v>
      </c>
      <c r="M6" s="3">
        <v>349.33</v>
      </c>
      <c r="N6" s="3">
        <v>69</v>
      </c>
      <c r="O6" s="3">
        <v>1</v>
      </c>
      <c r="P6" s="3" t="s">
        <v>44</v>
      </c>
      <c r="Q6" s="3" t="s">
        <v>29</v>
      </c>
      <c r="R6" s="3">
        <v>2</v>
      </c>
      <c r="S6" s="3">
        <v>119588</v>
      </c>
      <c r="T6" s="3">
        <v>7299.86</v>
      </c>
      <c r="U6" s="3" t="str">
        <f t="shared" si="1"/>
        <v>Target Missed</v>
      </c>
      <c r="V6" s="3" t="str">
        <f t="shared" si="2"/>
        <v>No</v>
      </c>
      <c r="W6" s="3" t="str">
        <f t="shared" si="3"/>
        <v>No</v>
      </c>
      <c r="X6" s="3" t="str">
        <f t="shared" si="4"/>
        <v>Not Now</v>
      </c>
      <c r="Y6" s="3" t="str">
        <f t="shared" si="5"/>
        <v>No Reward</v>
      </c>
      <c r="Z6" s="3" t="str">
        <f t="shared" si="6"/>
        <v>Yes</v>
      </c>
      <c r="AA6" s="3" t="str">
        <f t="shared" si="7"/>
        <v>High</v>
      </c>
      <c r="AB6" s="3" t="str">
        <f t="shared" si="8"/>
        <v>Not</v>
      </c>
      <c r="AC6" s="3" t="str">
        <f t="shared" si="9"/>
        <v>No</v>
      </c>
      <c r="AD6" s="3" t="str">
        <f t="shared" si="10"/>
        <v>No</v>
      </c>
      <c r="AE6" s="3" t="str">
        <f t="shared" si="0"/>
        <v>Premium</v>
      </c>
      <c r="AF6" s="3" t="str">
        <f t="shared" si="11"/>
        <v>Non Returned</v>
      </c>
      <c r="AG6" s="3" t="str">
        <f t="shared" si="12"/>
        <v>Need Improvement</v>
      </c>
      <c r="AH6" s="3" t="str">
        <f t="shared" si="13"/>
        <v>Non Electronics</v>
      </c>
    </row>
    <row r="7" spans="1:34" x14ac:dyDescent="0.3">
      <c r="A7" s="3" t="s">
        <v>54</v>
      </c>
      <c r="B7" s="3" t="s">
        <v>55</v>
      </c>
      <c r="C7" s="3" t="s">
        <v>56</v>
      </c>
      <c r="D7" s="3" t="s">
        <v>47</v>
      </c>
      <c r="E7" s="3" t="s">
        <v>57</v>
      </c>
      <c r="F7" s="3" t="s">
        <v>58</v>
      </c>
      <c r="G7" s="3" t="s">
        <v>35</v>
      </c>
      <c r="H7" s="3" t="s">
        <v>36</v>
      </c>
      <c r="I7" s="3">
        <v>1</v>
      </c>
      <c r="J7" s="3">
        <v>8000</v>
      </c>
      <c r="K7" s="3">
        <v>5</v>
      </c>
      <c r="L7" s="3">
        <v>7600</v>
      </c>
      <c r="M7" s="3">
        <v>604.42999999999995</v>
      </c>
      <c r="N7" s="3">
        <v>99</v>
      </c>
      <c r="O7" s="3">
        <v>5</v>
      </c>
      <c r="P7" s="3" t="s">
        <v>59</v>
      </c>
      <c r="Q7" s="3" t="s">
        <v>29</v>
      </c>
      <c r="R7" s="3">
        <v>3</v>
      </c>
      <c r="S7" s="3">
        <v>132166</v>
      </c>
      <c r="T7" s="3">
        <v>8696.07</v>
      </c>
      <c r="U7" s="3" t="str">
        <f t="shared" si="1"/>
        <v>Target Missed</v>
      </c>
      <c r="V7" s="3" t="str">
        <f t="shared" si="2"/>
        <v>No</v>
      </c>
      <c r="W7" s="3" t="str">
        <f t="shared" si="3"/>
        <v>No</v>
      </c>
      <c r="X7" s="3" t="str">
        <f t="shared" si="4"/>
        <v>Not Now</v>
      </c>
      <c r="Y7" s="3" t="str">
        <f t="shared" si="5"/>
        <v>No Reward</v>
      </c>
      <c r="Z7" s="3" t="str">
        <f t="shared" si="6"/>
        <v>No</v>
      </c>
      <c r="AA7" s="3" t="str">
        <f t="shared" si="7"/>
        <v>Low</v>
      </c>
      <c r="AB7" s="3" t="str">
        <f t="shared" si="8"/>
        <v>Not</v>
      </c>
      <c r="AC7" s="3" t="str">
        <f t="shared" si="9"/>
        <v>No</v>
      </c>
      <c r="AD7" s="3" t="str">
        <f t="shared" si="10"/>
        <v>No</v>
      </c>
      <c r="AE7" s="3" t="str">
        <f t="shared" si="0"/>
        <v>Premium</v>
      </c>
      <c r="AF7" s="3" t="str">
        <f t="shared" si="11"/>
        <v>Non Returned</v>
      </c>
      <c r="AG7" s="3" t="str">
        <f t="shared" si="12"/>
        <v>Need Improvement</v>
      </c>
      <c r="AH7" s="3" t="str">
        <f t="shared" si="13"/>
        <v>Non Electronics</v>
      </c>
    </row>
    <row r="8" spans="1:34" x14ac:dyDescent="0.3">
      <c r="A8" s="3" t="s">
        <v>60</v>
      </c>
      <c r="B8" s="3" t="s">
        <v>61</v>
      </c>
      <c r="C8" s="3" t="s">
        <v>32</v>
      </c>
      <c r="D8" s="3" t="s">
        <v>33</v>
      </c>
      <c r="E8" s="3" t="s">
        <v>41</v>
      </c>
      <c r="F8" s="3" t="s">
        <v>34</v>
      </c>
      <c r="G8" s="3" t="s">
        <v>35</v>
      </c>
      <c r="H8" s="3" t="s">
        <v>36</v>
      </c>
      <c r="I8" s="3">
        <v>2</v>
      </c>
      <c r="J8" s="3">
        <v>65000</v>
      </c>
      <c r="K8" s="3">
        <v>10</v>
      </c>
      <c r="L8" s="3">
        <v>117000</v>
      </c>
      <c r="M8" s="3">
        <v>27229.17</v>
      </c>
      <c r="N8" s="3">
        <v>43</v>
      </c>
      <c r="O8" s="3">
        <v>1</v>
      </c>
      <c r="P8" s="3" t="s">
        <v>59</v>
      </c>
      <c r="Q8" s="3" t="s">
        <v>29</v>
      </c>
      <c r="R8" s="3">
        <v>1</v>
      </c>
      <c r="S8" s="3">
        <v>149850</v>
      </c>
      <c r="T8" s="3">
        <v>128230.79</v>
      </c>
      <c r="U8" s="3" t="str">
        <f t="shared" si="1"/>
        <v>Target Missed</v>
      </c>
      <c r="V8" s="3" t="str">
        <f t="shared" si="2"/>
        <v>Yes</v>
      </c>
      <c r="W8" s="3" t="str">
        <f t="shared" si="3"/>
        <v>No</v>
      </c>
      <c r="X8" s="3" t="str">
        <f t="shared" si="4"/>
        <v>Not Now</v>
      </c>
      <c r="Y8" s="3" t="str">
        <f t="shared" si="5"/>
        <v>No Reward</v>
      </c>
      <c r="Z8" s="3" t="str">
        <f t="shared" si="6"/>
        <v>Yes</v>
      </c>
      <c r="AA8" s="3" t="str">
        <f t="shared" si="7"/>
        <v>High</v>
      </c>
      <c r="AB8" s="3" t="str">
        <f t="shared" si="8"/>
        <v>Expensive</v>
      </c>
      <c r="AC8" s="3" t="str">
        <f t="shared" si="9"/>
        <v>VIP</v>
      </c>
      <c r="AD8" s="3" t="str">
        <f t="shared" si="10"/>
        <v>Yes</v>
      </c>
      <c r="AE8" s="3" t="str">
        <f t="shared" si="0"/>
        <v>Non Premium</v>
      </c>
      <c r="AF8" s="3" t="str">
        <f t="shared" si="11"/>
        <v>Non Returned</v>
      </c>
      <c r="AG8" s="3" t="str">
        <f t="shared" si="12"/>
        <v>Need Improvement</v>
      </c>
      <c r="AH8" s="3" t="str">
        <f t="shared" si="13"/>
        <v>Non Electronics</v>
      </c>
    </row>
    <row r="9" spans="1:34" x14ac:dyDescent="0.3">
      <c r="A9" s="3" t="s">
        <v>62</v>
      </c>
      <c r="B9" s="3" t="s">
        <v>63</v>
      </c>
      <c r="C9" s="3" t="s">
        <v>40</v>
      </c>
      <c r="D9" s="3" t="s">
        <v>23</v>
      </c>
      <c r="E9" s="3" t="s">
        <v>24</v>
      </c>
      <c r="F9" s="3" t="s">
        <v>52</v>
      </c>
      <c r="G9" s="3" t="s">
        <v>35</v>
      </c>
      <c r="H9" s="3" t="s">
        <v>36</v>
      </c>
      <c r="I9" s="3">
        <v>2</v>
      </c>
      <c r="J9" s="3">
        <v>3500</v>
      </c>
      <c r="K9" s="3">
        <v>15</v>
      </c>
      <c r="L9" s="3">
        <v>5950</v>
      </c>
      <c r="M9" s="3">
        <v>1094.46</v>
      </c>
      <c r="N9" s="3">
        <v>50</v>
      </c>
      <c r="O9" s="3">
        <v>5</v>
      </c>
      <c r="P9" s="3" t="s">
        <v>28</v>
      </c>
      <c r="Q9" s="3" t="s">
        <v>29</v>
      </c>
      <c r="R9" s="3">
        <v>4</v>
      </c>
      <c r="S9" s="3">
        <v>84194</v>
      </c>
      <c r="T9" s="3">
        <v>4805.29</v>
      </c>
      <c r="U9" s="3" t="str">
        <f t="shared" si="1"/>
        <v>Target Missed</v>
      </c>
      <c r="V9" s="3" t="str">
        <f t="shared" si="2"/>
        <v>No</v>
      </c>
      <c r="W9" s="3" t="str">
        <f t="shared" si="3"/>
        <v>No</v>
      </c>
      <c r="X9" s="3" t="str">
        <f t="shared" si="4"/>
        <v>Not Now</v>
      </c>
      <c r="Y9" s="3" t="str">
        <f t="shared" si="5"/>
        <v>No Reward</v>
      </c>
      <c r="Z9" s="3" t="str">
        <f t="shared" si="6"/>
        <v>No</v>
      </c>
      <c r="AA9" s="3" t="str">
        <f t="shared" si="7"/>
        <v>Low</v>
      </c>
      <c r="AB9" s="3" t="str">
        <f t="shared" si="8"/>
        <v>Not</v>
      </c>
      <c r="AC9" s="3" t="str">
        <f t="shared" si="9"/>
        <v>VIP</v>
      </c>
      <c r="AD9" s="3" t="str">
        <f t="shared" si="10"/>
        <v>No</v>
      </c>
      <c r="AE9" s="3" t="str">
        <f t="shared" si="0"/>
        <v>Non Premium</v>
      </c>
      <c r="AF9" s="3" t="str">
        <f t="shared" si="11"/>
        <v>Non Returned</v>
      </c>
      <c r="AG9" s="3" t="str">
        <f t="shared" si="12"/>
        <v>Need Improvement</v>
      </c>
      <c r="AH9" s="3" t="str">
        <f t="shared" si="13"/>
        <v>Non Electronics</v>
      </c>
    </row>
    <row r="10" spans="1:34" x14ac:dyDescent="0.3">
      <c r="A10" s="3" t="s">
        <v>64</v>
      </c>
      <c r="B10" s="3" t="s">
        <v>65</v>
      </c>
      <c r="C10" s="3" t="s">
        <v>40</v>
      </c>
      <c r="D10" s="3" t="s">
        <v>47</v>
      </c>
      <c r="E10" s="3" t="s">
        <v>48</v>
      </c>
      <c r="F10" s="3" t="s">
        <v>52</v>
      </c>
      <c r="G10" s="3" t="s">
        <v>66</v>
      </c>
      <c r="H10" s="3" t="s">
        <v>27</v>
      </c>
      <c r="I10" s="3">
        <v>7</v>
      </c>
      <c r="J10" s="3">
        <v>8000</v>
      </c>
      <c r="K10" s="3">
        <v>15</v>
      </c>
      <c r="L10" s="3">
        <v>47600</v>
      </c>
      <c r="M10" s="3">
        <v>314.55</v>
      </c>
      <c r="N10" s="3">
        <v>2</v>
      </c>
      <c r="O10" s="3">
        <v>5</v>
      </c>
      <c r="P10" s="3" t="s">
        <v>67</v>
      </c>
      <c r="Q10" s="3" t="s">
        <v>37</v>
      </c>
      <c r="R10" s="3">
        <v>3</v>
      </c>
      <c r="S10" s="3">
        <v>79719</v>
      </c>
      <c r="T10" s="3">
        <v>39771.78</v>
      </c>
      <c r="U10" s="3" t="str">
        <f t="shared" si="1"/>
        <v>Target Missed</v>
      </c>
      <c r="V10" s="3" t="str">
        <f t="shared" si="2"/>
        <v>No</v>
      </c>
      <c r="W10" s="3" t="str">
        <f t="shared" si="3"/>
        <v>No</v>
      </c>
      <c r="X10" s="3" t="str">
        <f t="shared" si="4"/>
        <v>Not Now</v>
      </c>
      <c r="Y10" s="3" t="str">
        <f t="shared" si="5"/>
        <v>Reward</v>
      </c>
      <c r="Z10" s="3" t="str">
        <f t="shared" si="6"/>
        <v>No</v>
      </c>
      <c r="AA10" s="3" t="str">
        <f t="shared" si="7"/>
        <v>High</v>
      </c>
      <c r="AB10" s="3" t="str">
        <f t="shared" si="8"/>
        <v>Expensive</v>
      </c>
      <c r="AC10" s="3" t="str">
        <f t="shared" si="9"/>
        <v>No</v>
      </c>
      <c r="AD10" s="3" t="str">
        <f t="shared" si="10"/>
        <v>No</v>
      </c>
      <c r="AE10" s="3" t="str">
        <f t="shared" si="0"/>
        <v>Premium</v>
      </c>
      <c r="AF10" s="3" t="str">
        <f t="shared" si="11"/>
        <v>Returned</v>
      </c>
      <c r="AG10" s="3" t="str">
        <f t="shared" si="12"/>
        <v>Need Improvement</v>
      </c>
      <c r="AH10" s="3" t="str">
        <f t="shared" si="13"/>
        <v>Electronics</v>
      </c>
    </row>
    <row r="11" spans="1:34" x14ac:dyDescent="0.3">
      <c r="A11" s="3" t="s">
        <v>68</v>
      </c>
      <c r="B11" s="3" t="s">
        <v>69</v>
      </c>
      <c r="C11" s="3" t="s">
        <v>22</v>
      </c>
      <c r="D11" s="3" t="s">
        <v>47</v>
      </c>
      <c r="E11" s="3" t="s">
        <v>24</v>
      </c>
      <c r="F11" s="3" t="s">
        <v>70</v>
      </c>
      <c r="G11" s="3" t="s">
        <v>66</v>
      </c>
      <c r="H11" s="3" t="s">
        <v>27</v>
      </c>
      <c r="I11" s="3">
        <v>6</v>
      </c>
      <c r="J11" s="3">
        <v>15000</v>
      </c>
      <c r="K11" s="3">
        <v>15</v>
      </c>
      <c r="L11" s="3">
        <v>76500</v>
      </c>
      <c r="M11" s="3">
        <v>26298.31</v>
      </c>
      <c r="N11" s="3">
        <v>12</v>
      </c>
      <c r="O11" s="3">
        <v>2</v>
      </c>
      <c r="P11" s="3" t="s">
        <v>28</v>
      </c>
      <c r="Q11" s="3" t="s">
        <v>29</v>
      </c>
      <c r="R11" s="3">
        <v>1</v>
      </c>
      <c r="S11" s="3">
        <v>134669</v>
      </c>
      <c r="T11" s="3">
        <v>79515.14</v>
      </c>
      <c r="U11" s="3" t="str">
        <f t="shared" si="1"/>
        <v>Target Missed</v>
      </c>
      <c r="V11" s="3" t="str">
        <f t="shared" si="2"/>
        <v>Yes</v>
      </c>
      <c r="W11" s="3" t="str">
        <f t="shared" si="3"/>
        <v>No</v>
      </c>
      <c r="X11" s="3" t="str">
        <f t="shared" si="4"/>
        <v>Not Now</v>
      </c>
      <c r="Y11" s="3" t="str">
        <f t="shared" si="5"/>
        <v>Reward</v>
      </c>
      <c r="Z11" s="3" t="str">
        <f t="shared" si="6"/>
        <v>Yes</v>
      </c>
      <c r="AA11" s="3" t="str">
        <f t="shared" si="7"/>
        <v>High</v>
      </c>
      <c r="AB11" s="3" t="str">
        <f t="shared" si="8"/>
        <v>Expensive</v>
      </c>
      <c r="AC11" s="3" t="str">
        <f t="shared" si="9"/>
        <v>No</v>
      </c>
      <c r="AD11" s="3" t="str">
        <f t="shared" si="10"/>
        <v>Yes</v>
      </c>
      <c r="AE11" s="3" t="str">
        <f t="shared" si="0"/>
        <v>Premium</v>
      </c>
      <c r="AF11" s="3" t="str">
        <f t="shared" si="11"/>
        <v>Non Returned</v>
      </c>
      <c r="AG11" s="3" t="str">
        <f t="shared" si="12"/>
        <v>Need Improvement</v>
      </c>
      <c r="AH11" s="3" t="str">
        <f t="shared" si="13"/>
        <v>Electronics</v>
      </c>
    </row>
    <row r="12" spans="1:34" x14ac:dyDescent="0.3">
      <c r="A12" s="3" t="s">
        <v>71</v>
      </c>
      <c r="B12" s="3" t="s">
        <v>72</v>
      </c>
      <c r="C12" s="3" t="s">
        <v>40</v>
      </c>
      <c r="D12" s="3" t="s">
        <v>47</v>
      </c>
      <c r="E12" s="3" t="s">
        <v>41</v>
      </c>
      <c r="F12" s="3" t="s">
        <v>52</v>
      </c>
      <c r="G12" s="3" t="s">
        <v>66</v>
      </c>
      <c r="H12" s="3" t="s">
        <v>27</v>
      </c>
      <c r="I12" s="3">
        <v>4</v>
      </c>
      <c r="J12" s="3">
        <v>1200</v>
      </c>
      <c r="K12" s="3">
        <v>20</v>
      </c>
      <c r="L12" s="3">
        <v>3840</v>
      </c>
      <c r="M12" s="3">
        <v>1238.3599999999999</v>
      </c>
      <c r="N12" s="3">
        <v>53</v>
      </c>
      <c r="O12" s="3">
        <v>5</v>
      </c>
      <c r="P12" s="3" t="s">
        <v>67</v>
      </c>
      <c r="Q12" s="3" t="s">
        <v>37</v>
      </c>
      <c r="R12" s="3">
        <v>1</v>
      </c>
      <c r="S12" s="3">
        <v>18666</v>
      </c>
      <c r="T12" s="3">
        <v>3814.81</v>
      </c>
      <c r="U12" s="3" t="str">
        <f t="shared" si="1"/>
        <v>Target Missed</v>
      </c>
      <c r="V12" s="3" t="str">
        <f t="shared" si="2"/>
        <v>No</v>
      </c>
      <c r="W12" s="3" t="str">
        <f t="shared" si="3"/>
        <v>No</v>
      </c>
      <c r="X12" s="3" t="str">
        <f t="shared" si="4"/>
        <v>Not Now</v>
      </c>
      <c r="Y12" s="3" t="str">
        <f t="shared" si="5"/>
        <v>No Reward</v>
      </c>
      <c r="Z12" s="3" t="str">
        <f t="shared" si="6"/>
        <v>No</v>
      </c>
      <c r="AA12" s="3" t="str">
        <f t="shared" si="7"/>
        <v>High</v>
      </c>
      <c r="AB12" s="3" t="str">
        <f t="shared" si="8"/>
        <v>Expensive</v>
      </c>
      <c r="AC12" s="3" t="str">
        <f t="shared" si="9"/>
        <v>No</v>
      </c>
      <c r="AD12" s="3" t="str">
        <f t="shared" si="10"/>
        <v>No</v>
      </c>
      <c r="AE12" s="3" t="str">
        <f t="shared" si="0"/>
        <v>Premium</v>
      </c>
      <c r="AF12" s="3" t="str">
        <f t="shared" si="11"/>
        <v>Returned</v>
      </c>
      <c r="AG12" s="3" t="str">
        <f t="shared" si="12"/>
        <v>Need Improvement</v>
      </c>
      <c r="AH12" s="3" t="str">
        <f t="shared" si="13"/>
        <v>Electronics</v>
      </c>
    </row>
    <row r="13" spans="1:34" x14ac:dyDescent="0.3">
      <c r="A13" s="3" t="s">
        <v>73</v>
      </c>
      <c r="B13" s="3" t="s">
        <v>74</v>
      </c>
      <c r="C13" s="3" t="s">
        <v>32</v>
      </c>
      <c r="D13" s="3" t="s">
        <v>33</v>
      </c>
      <c r="E13" s="3" t="s">
        <v>57</v>
      </c>
      <c r="F13" s="3" t="s">
        <v>34</v>
      </c>
      <c r="G13" s="3" t="s">
        <v>26</v>
      </c>
      <c r="H13" s="3" t="s">
        <v>27</v>
      </c>
      <c r="I13" s="3">
        <v>2</v>
      </c>
      <c r="J13" s="3">
        <v>15000</v>
      </c>
      <c r="K13" s="3">
        <v>20</v>
      </c>
      <c r="L13" s="3">
        <v>24000</v>
      </c>
      <c r="M13" s="3">
        <v>8213.57</v>
      </c>
      <c r="N13" s="3">
        <v>21</v>
      </c>
      <c r="O13" s="3">
        <v>8</v>
      </c>
      <c r="P13" s="3" t="s">
        <v>44</v>
      </c>
      <c r="Q13" s="3" t="s">
        <v>37</v>
      </c>
      <c r="R13" s="3">
        <v>1</v>
      </c>
      <c r="S13" s="3">
        <v>50024</v>
      </c>
      <c r="T13" s="3">
        <v>20129.91</v>
      </c>
      <c r="U13" s="3" t="str">
        <f t="shared" si="1"/>
        <v>Target Missed</v>
      </c>
      <c r="V13" s="3" t="str">
        <f t="shared" si="2"/>
        <v>No</v>
      </c>
      <c r="W13" s="3" t="str">
        <f t="shared" si="3"/>
        <v>No</v>
      </c>
      <c r="X13" s="3" t="str">
        <f t="shared" si="4"/>
        <v>Not Now</v>
      </c>
      <c r="Y13" s="3" t="str">
        <f t="shared" si="5"/>
        <v>No Reward</v>
      </c>
      <c r="Z13" s="3" t="str">
        <f t="shared" si="6"/>
        <v>No</v>
      </c>
      <c r="AA13" s="3" t="str">
        <f t="shared" si="7"/>
        <v>High</v>
      </c>
      <c r="AB13" s="3" t="str">
        <f t="shared" si="8"/>
        <v>Expensive</v>
      </c>
      <c r="AC13" s="3" t="str">
        <f t="shared" si="9"/>
        <v>No</v>
      </c>
      <c r="AD13" s="3" t="str">
        <f t="shared" si="10"/>
        <v>No</v>
      </c>
      <c r="AE13" s="3" t="str">
        <f t="shared" si="0"/>
        <v>Non Premium</v>
      </c>
      <c r="AF13" s="3" t="str">
        <f t="shared" si="11"/>
        <v>Returned</v>
      </c>
      <c r="AG13" s="3" t="str">
        <f t="shared" si="12"/>
        <v>Need Improvement</v>
      </c>
      <c r="AH13" s="3" t="str">
        <f t="shared" si="13"/>
        <v>Electronics</v>
      </c>
    </row>
    <row r="14" spans="1:34" x14ac:dyDescent="0.3">
      <c r="A14" s="3" t="s">
        <v>75</v>
      </c>
      <c r="B14" s="3" t="s">
        <v>76</v>
      </c>
      <c r="C14" s="3" t="s">
        <v>77</v>
      </c>
      <c r="D14" s="3" t="s">
        <v>23</v>
      </c>
      <c r="E14" s="3" t="s">
        <v>57</v>
      </c>
      <c r="F14" s="3" t="s">
        <v>70</v>
      </c>
      <c r="G14" s="3" t="s">
        <v>66</v>
      </c>
      <c r="H14" s="3" t="s">
        <v>27</v>
      </c>
      <c r="I14" s="3">
        <v>9</v>
      </c>
      <c r="J14" s="3">
        <v>3500</v>
      </c>
      <c r="K14" s="3">
        <v>20</v>
      </c>
      <c r="L14" s="3">
        <v>25200</v>
      </c>
      <c r="M14" s="3">
        <v>437.3</v>
      </c>
      <c r="N14" s="3">
        <v>70</v>
      </c>
      <c r="O14" s="3">
        <v>1</v>
      </c>
      <c r="P14" s="3" t="s">
        <v>28</v>
      </c>
      <c r="Q14" s="3" t="s">
        <v>37</v>
      </c>
      <c r="R14" s="3">
        <v>3</v>
      </c>
      <c r="S14" s="3">
        <v>44189</v>
      </c>
      <c r="T14" s="3">
        <v>29089.43</v>
      </c>
      <c r="U14" s="3" t="str">
        <f t="shared" si="1"/>
        <v>Target Missed</v>
      </c>
      <c r="V14" s="3" t="str">
        <f t="shared" si="2"/>
        <v>No</v>
      </c>
      <c r="W14" s="3" t="str">
        <f t="shared" si="3"/>
        <v>No</v>
      </c>
      <c r="X14" s="3" t="str">
        <f t="shared" si="4"/>
        <v>Not Now</v>
      </c>
      <c r="Y14" s="3" t="str">
        <f t="shared" si="5"/>
        <v>No Reward</v>
      </c>
      <c r="Z14" s="3" t="str">
        <f t="shared" si="6"/>
        <v>No</v>
      </c>
      <c r="AA14" s="3" t="str">
        <f t="shared" si="7"/>
        <v>High</v>
      </c>
      <c r="AB14" s="3" t="str">
        <f t="shared" si="8"/>
        <v>Expensive</v>
      </c>
      <c r="AC14" s="3" t="str">
        <f t="shared" si="9"/>
        <v>VIP</v>
      </c>
      <c r="AD14" s="3" t="str">
        <f t="shared" si="10"/>
        <v>No</v>
      </c>
      <c r="AE14" s="3" t="str">
        <f t="shared" si="0"/>
        <v>Non Premium</v>
      </c>
      <c r="AF14" s="3" t="str">
        <f t="shared" si="11"/>
        <v>Returned</v>
      </c>
      <c r="AG14" s="3" t="str">
        <f t="shared" si="12"/>
        <v>Need Improvement</v>
      </c>
      <c r="AH14" s="3" t="str">
        <f t="shared" si="13"/>
        <v>Electronics</v>
      </c>
    </row>
    <row r="15" spans="1:34" x14ac:dyDescent="0.3">
      <c r="A15" s="3" t="s">
        <v>78</v>
      </c>
      <c r="B15" s="3" t="s">
        <v>74</v>
      </c>
      <c r="C15" s="3" t="s">
        <v>79</v>
      </c>
      <c r="D15" s="3" t="s">
        <v>23</v>
      </c>
      <c r="E15" s="3" t="s">
        <v>57</v>
      </c>
      <c r="F15" s="3" t="s">
        <v>52</v>
      </c>
      <c r="G15" s="3" t="s">
        <v>80</v>
      </c>
      <c r="H15" s="3" t="s">
        <v>36</v>
      </c>
      <c r="I15" s="3">
        <v>10</v>
      </c>
      <c r="J15" s="3">
        <v>65000</v>
      </c>
      <c r="K15" s="3">
        <v>15</v>
      </c>
      <c r="L15" s="3">
        <v>552500</v>
      </c>
      <c r="M15" s="3">
        <v>107781.23</v>
      </c>
      <c r="N15" s="3">
        <v>47</v>
      </c>
      <c r="O15" s="3">
        <v>1</v>
      </c>
      <c r="P15" s="3" t="s">
        <v>28</v>
      </c>
      <c r="Q15" s="3" t="s">
        <v>29</v>
      </c>
      <c r="R15" s="3">
        <v>1</v>
      </c>
      <c r="S15" s="3">
        <v>71563</v>
      </c>
      <c r="T15" s="3">
        <v>488233.7</v>
      </c>
      <c r="U15" s="3" t="str">
        <f t="shared" si="1"/>
        <v>Target Achieved</v>
      </c>
      <c r="V15" s="3" t="str">
        <f t="shared" si="2"/>
        <v>Yes</v>
      </c>
      <c r="W15" s="3" t="str">
        <f t="shared" si="3"/>
        <v>No</v>
      </c>
      <c r="X15" s="3" t="str">
        <f t="shared" si="4"/>
        <v>Not Now</v>
      </c>
      <c r="Y15" s="3" t="str">
        <f t="shared" si="5"/>
        <v>No Reward</v>
      </c>
      <c r="Z15" s="3" t="str">
        <f t="shared" si="6"/>
        <v>Yes</v>
      </c>
      <c r="AA15" s="3" t="str">
        <f t="shared" si="7"/>
        <v>High</v>
      </c>
      <c r="AB15" s="3" t="str">
        <f t="shared" si="8"/>
        <v>Expensive</v>
      </c>
      <c r="AC15" s="3" t="str">
        <f t="shared" si="9"/>
        <v>VIP</v>
      </c>
      <c r="AD15" s="3" t="str">
        <f t="shared" si="10"/>
        <v>Yes</v>
      </c>
      <c r="AE15" s="3" t="str">
        <f t="shared" si="0"/>
        <v>Non Premium</v>
      </c>
      <c r="AF15" s="3" t="str">
        <f t="shared" si="11"/>
        <v>Non Returned</v>
      </c>
      <c r="AG15" s="3" t="str">
        <f t="shared" si="12"/>
        <v>Not Need</v>
      </c>
      <c r="AH15" s="3" t="str">
        <f t="shared" si="13"/>
        <v>Non Electronics</v>
      </c>
    </row>
    <row r="16" spans="1:34" x14ac:dyDescent="0.3">
      <c r="A16" s="3" t="s">
        <v>81</v>
      </c>
      <c r="B16" s="3" t="s">
        <v>82</v>
      </c>
      <c r="C16" s="3" t="s">
        <v>32</v>
      </c>
      <c r="D16" s="3" t="s">
        <v>47</v>
      </c>
      <c r="E16" s="3" t="s">
        <v>57</v>
      </c>
      <c r="F16" s="3" t="s">
        <v>70</v>
      </c>
      <c r="G16" s="3" t="s">
        <v>80</v>
      </c>
      <c r="H16" s="3" t="s">
        <v>36</v>
      </c>
      <c r="I16" s="3">
        <v>4</v>
      </c>
      <c r="J16" s="3">
        <v>8000</v>
      </c>
      <c r="K16" s="3">
        <v>5</v>
      </c>
      <c r="L16" s="3">
        <v>30400</v>
      </c>
      <c r="M16" s="3">
        <v>1141.05</v>
      </c>
      <c r="N16" s="3">
        <v>89</v>
      </c>
      <c r="O16" s="3">
        <v>5</v>
      </c>
      <c r="P16" s="3" t="s">
        <v>44</v>
      </c>
      <c r="Q16" s="3" t="s">
        <v>37</v>
      </c>
      <c r="R16" s="3">
        <v>3</v>
      </c>
      <c r="S16" s="3">
        <v>45147</v>
      </c>
      <c r="T16" s="3">
        <v>27310.69</v>
      </c>
      <c r="U16" s="3" t="str">
        <f t="shared" si="1"/>
        <v>Target Missed</v>
      </c>
      <c r="V16" s="3" t="str">
        <f t="shared" si="2"/>
        <v>No</v>
      </c>
      <c r="W16" s="3" t="str">
        <f t="shared" si="3"/>
        <v>No</v>
      </c>
      <c r="X16" s="3" t="str">
        <f t="shared" si="4"/>
        <v>Not Now</v>
      </c>
      <c r="Y16" s="3" t="str">
        <f t="shared" si="5"/>
        <v>No Reward</v>
      </c>
      <c r="Z16" s="3" t="str">
        <f t="shared" si="6"/>
        <v>No</v>
      </c>
      <c r="AA16" s="3" t="str">
        <f t="shared" si="7"/>
        <v>High</v>
      </c>
      <c r="AB16" s="3" t="str">
        <f t="shared" si="8"/>
        <v>Not</v>
      </c>
      <c r="AC16" s="3" t="str">
        <f t="shared" si="9"/>
        <v>No</v>
      </c>
      <c r="AD16" s="3" t="str">
        <f t="shared" si="10"/>
        <v>No</v>
      </c>
      <c r="AE16" s="3" t="str">
        <f t="shared" si="0"/>
        <v>Premium</v>
      </c>
      <c r="AF16" s="3" t="str">
        <f t="shared" si="11"/>
        <v>Returned</v>
      </c>
      <c r="AG16" s="3" t="str">
        <f t="shared" si="12"/>
        <v>Need Improvement</v>
      </c>
      <c r="AH16" s="3" t="str">
        <f t="shared" si="13"/>
        <v>Non Electronics</v>
      </c>
    </row>
    <row r="17" spans="1:34" x14ac:dyDescent="0.3">
      <c r="A17" s="3" t="s">
        <v>83</v>
      </c>
      <c r="B17" s="3" t="s">
        <v>84</v>
      </c>
      <c r="C17" s="3" t="s">
        <v>85</v>
      </c>
      <c r="D17" s="3" t="s">
        <v>23</v>
      </c>
      <c r="E17" s="3" t="s">
        <v>48</v>
      </c>
      <c r="F17" s="3" t="s">
        <v>34</v>
      </c>
      <c r="G17" s="3" t="s">
        <v>66</v>
      </c>
      <c r="H17" s="3" t="s">
        <v>27</v>
      </c>
      <c r="I17" s="3">
        <v>2</v>
      </c>
      <c r="J17" s="3">
        <v>500</v>
      </c>
      <c r="K17" s="3">
        <v>10</v>
      </c>
      <c r="L17" s="3">
        <v>900</v>
      </c>
      <c r="M17" s="3">
        <v>202.34</v>
      </c>
      <c r="N17" s="3">
        <v>3</v>
      </c>
      <c r="O17" s="3">
        <v>2</v>
      </c>
      <c r="P17" s="3" t="s">
        <v>67</v>
      </c>
      <c r="Q17" s="3" t="s">
        <v>37</v>
      </c>
      <c r="R17" s="3">
        <v>4</v>
      </c>
      <c r="S17" s="3">
        <v>28722</v>
      </c>
      <c r="T17" s="3">
        <v>1051.6400000000001</v>
      </c>
      <c r="U17" s="3" t="str">
        <f t="shared" si="1"/>
        <v>Target Missed</v>
      </c>
      <c r="V17" s="3" t="str">
        <f t="shared" si="2"/>
        <v>No</v>
      </c>
      <c r="W17" s="3" t="str">
        <f t="shared" si="3"/>
        <v>No</v>
      </c>
      <c r="X17" s="3" t="str">
        <f t="shared" si="4"/>
        <v>Not Now</v>
      </c>
      <c r="Y17" s="3" t="str">
        <f t="shared" si="5"/>
        <v>No Reward</v>
      </c>
      <c r="Z17" s="3" t="str">
        <f t="shared" si="6"/>
        <v>No</v>
      </c>
      <c r="AA17" s="3" t="str">
        <f t="shared" si="7"/>
        <v>High</v>
      </c>
      <c r="AB17" s="3" t="str">
        <f t="shared" si="8"/>
        <v>Expensive</v>
      </c>
      <c r="AC17" s="3" t="str">
        <f t="shared" si="9"/>
        <v>VIP</v>
      </c>
      <c r="AD17" s="3" t="str">
        <f t="shared" si="10"/>
        <v>No</v>
      </c>
      <c r="AE17" s="3" t="str">
        <f t="shared" si="0"/>
        <v>Non Premium</v>
      </c>
      <c r="AF17" s="3" t="str">
        <f t="shared" si="11"/>
        <v>Returned</v>
      </c>
      <c r="AG17" s="3" t="str">
        <f t="shared" si="12"/>
        <v>Need Improvement</v>
      </c>
      <c r="AH17" s="3" t="str">
        <f t="shared" si="13"/>
        <v>Electronics</v>
      </c>
    </row>
    <row r="18" spans="1:34" x14ac:dyDescent="0.3">
      <c r="A18" s="3" t="s">
        <v>86</v>
      </c>
      <c r="B18" s="3" t="s">
        <v>87</v>
      </c>
      <c r="C18" s="3" t="s">
        <v>77</v>
      </c>
      <c r="D18" s="3" t="s">
        <v>47</v>
      </c>
      <c r="E18" s="3" t="s">
        <v>24</v>
      </c>
      <c r="F18" s="3" t="s">
        <v>34</v>
      </c>
      <c r="G18" s="3" t="s">
        <v>53</v>
      </c>
      <c r="H18" s="3" t="s">
        <v>43</v>
      </c>
      <c r="I18" s="3">
        <v>2</v>
      </c>
      <c r="J18" s="3">
        <v>65000</v>
      </c>
      <c r="K18" s="3">
        <v>15</v>
      </c>
      <c r="L18" s="3">
        <v>110500</v>
      </c>
      <c r="M18" s="3">
        <v>2356.96</v>
      </c>
      <c r="N18" s="3">
        <v>13</v>
      </c>
      <c r="O18" s="3">
        <v>1</v>
      </c>
      <c r="P18" s="3" t="s">
        <v>67</v>
      </c>
      <c r="Q18" s="3" t="s">
        <v>29</v>
      </c>
      <c r="R18" s="3">
        <v>4</v>
      </c>
      <c r="S18" s="3">
        <v>74450</v>
      </c>
      <c r="T18" s="3">
        <v>94516.06</v>
      </c>
      <c r="U18" s="3" t="str">
        <f t="shared" si="1"/>
        <v>Target Achieved</v>
      </c>
      <c r="V18" s="3" t="str">
        <f t="shared" si="2"/>
        <v>No</v>
      </c>
      <c r="W18" s="3" t="str">
        <f t="shared" si="3"/>
        <v>Yes</v>
      </c>
      <c r="X18" s="3" t="str">
        <f t="shared" si="4"/>
        <v>Not Now</v>
      </c>
      <c r="Y18" s="3" t="str">
        <f t="shared" si="5"/>
        <v>Reward</v>
      </c>
      <c r="Z18" s="3" t="str">
        <f t="shared" si="6"/>
        <v>Yes</v>
      </c>
      <c r="AA18" s="3" t="str">
        <f t="shared" si="7"/>
        <v>Low</v>
      </c>
      <c r="AB18" s="3" t="str">
        <f t="shared" si="8"/>
        <v>Expensive</v>
      </c>
      <c r="AC18" s="3" t="str">
        <f t="shared" si="9"/>
        <v>VIP</v>
      </c>
      <c r="AD18" s="3" t="str">
        <f t="shared" si="10"/>
        <v>Yes</v>
      </c>
      <c r="AE18" s="3" t="str">
        <f t="shared" si="0"/>
        <v>Premium</v>
      </c>
      <c r="AF18" s="3" t="str">
        <f t="shared" si="11"/>
        <v>Non Returned</v>
      </c>
      <c r="AG18" s="3" t="str">
        <f t="shared" si="12"/>
        <v>Not Need</v>
      </c>
      <c r="AH18" s="3" t="str">
        <f t="shared" si="13"/>
        <v>Non Electronics</v>
      </c>
    </row>
    <row r="19" spans="1:34" x14ac:dyDescent="0.3">
      <c r="A19" s="3" t="s">
        <v>88</v>
      </c>
      <c r="B19" s="3" t="s">
        <v>89</v>
      </c>
      <c r="C19" s="3" t="s">
        <v>79</v>
      </c>
      <c r="D19" s="3" t="s">
        <v>33</v>
      </c>
      <c r="E19" s="3" t="s">
        <v>57</v>
      </c>
      <c r="F19" s="3" t="s">
        <v>52</v>
      </c>
      <c r="G19" s="3" t="s">
        <v>42</v>
      </c>
      <c r="H19" s="3" t="s">
        <v>43</v>
      </c>
      <c r="I19" s="3">
        <v>4</v>
      </c>
      <c r="J19" s="3">
        <v>8000</v>
      </c>
      <c r="K19" s="3">
        <v>10</v>
      </c>
      <c r="L19" s="3">
        <v>28800</v>
      </c>
      <c r="M19" s="3">
        <v>7737.61</v>
      </c>
      <c r="N19" s="3">
        <v>85</v>
      </c>
      <c r="O19" s="3">
        <v>3</v>
      </c>
      <c r="P19" s="3" t="s">
        <v>67</v>
      </c>
      <c r="Q19" s="3" t="s">
        <v>37</v>
      </c>
      <c r="R19" s="3">
        <v>1</v>
      </c>
      <c r="S19" s="3">
        <v>43805</v>
      </c>
      <c r="T19" s="3">
        <v>29524.89</v>
      </c>
      <c r="U19" s="3" t="str">
        <f t="shared" si="1"/>
        <v>Target Missed</v>
      </c>
      <c r="V19" s="3" t="str">
        <f t="shared" si="2"/>
        <v>No</v>
      </c>
      <c r="W19" s="3" t="str">
        <f t="shared" si="3"/>
        <v>No</v>
      </c>
      <c r="X19" s="3" t="str">
        <f t="shared" si="4"/>
        <v>Not Now</v>
      </c>
      <c r="Y19" s="3" t="str">
        <f t="shared" si="5"/>
        <v>No Reward</v>
      </c>
      <c r="Z19" s="3" t="str">
        <f t="shared" si="6"/>
        <v>No</v>
      </c>
      <c r="AA19" s="3" t="str">
        <f t="shared" si="7"/>
        <v>High</v>
      </c>
      <c r="AB19" s="3" t="str">
        <f t="shared" si="8"/>
        <v>Not</v>
      </c>
      <c r="AC19" s="3" t="str">
        <f t="shared" si="9"/>
        <v>No</v>
      </c>
      <c r="AD19" s="3" t="str">
        <f t="shared" si="10"/>
        <v>No</v>
      </c>
      <c r="AE19" s="3" t="str">
        <f t="shared" si="0"/>
        <v>Non Premium</v>
      </c>
      <c r="AF19" s="3" t="str">
        <f t="shared" si="11"/>
        <v>Returned</v>
      </c>
      <c r="AG19" s="3" t="str">
        <f t="shared" si="12"/>
        <v>Need Improvement</v>
      </c>
      <c r="AH19" s="3" t="str">
        <f t="shared" si="13"/>
        <v>Non Electronics</v>
      </c>
    </row>
    <row r="20" spans="1:34" x14ac:dyDescent="0.3">
      <c r="A20" s="3" t="s">
        <v>90</v>
      </c>
      <c r="B20" s="3" t="s">
        <v>91</v>
      </c>
      <c r="C20" s="3" t="s">
        <v>51</v>
      </c>
      <c r="D20" s="3" t="s">
        <v>33</v>
      </c>
      <c r="E20" s="3" t="s">
        <v>24</v>
      </c>
      <c r="F20" s="3" t="s">
        <v>34</v>
      </c>
      <c r="G20" s="3" t="s">
        <v>42</v>
      </c>
      <c r="H20" s="3" t="s">
        <v>43</v>
      </c>
      <c r="I20" s="3">
        <v>10</v>
      </c>
      <c r="J20" s="3">
        <v>65000</v>
      </c>
      <c r="K20" s="3">
        <v>20</v>
      </c>
      <c r="L20" s="3">
        <v>520000</v>
      </c>
      <c r="M20" s="3">
        <v>-5447.07</v>
      </c>
      <c r="N20" s="3">
        <v>38</v>
      </c>
      <c r="O20" s="3">
        <v>3</v>
      </c>
      <c r="P20" s="3" t="s">
        <v>67</v>
      </c>
      <c r="Q20" s="3" t="s">
        <v>37</v>
      </c>
      <c r="R20" s="3">
        <v>2</v>
      </c>
      <c r="S20" s="3">
        <v>77469</v>
      </c>
      <c r="T20" s="3">
        <v>476870.19</v>
      </c>
      <c r="U20" s="3" t="str">
        <f t="shared" si="1"/>
        <v>Target Achieved</v>
      </c>
      <c r="V20" s="3" t="str">
        <f t="shared" si="2"/>
        <v>No</v>
      </c>
      <c r="W20" s="3" t="str">
        <f t="shared" si="3"/>
        <v>Yes</v>
      </c>
      <c r="X20" s="3" t="str">
        <f t="shared" si="4"/>
        <v>Not Now</v>
      </c>
      <c r="Y20" s="3" t="str">
        <f t="shared" si="5"/>
        <v>No Reward</v>
      </c>
      <c r="Z20" s="3" t="str">
        <f t="shared" si="6"/>
        <v>No</v>
      </c>
      <c r="AA20" s="3" t="str">
        <f t="shared" si="7"/>
        <v>High</v>
      </c>
      <c r="AB20" s="3" t="str">
        <f t="shared" si="8"/>
        <v>Expensive</v>
      </c>
      <c r="AC20" s="3" t="str">
        <f t="shared" si="9"/>
        <v>VIP</v>
      </c>
      <c r="AD20" s="3" t="str">
        <f t="shared" si="10"/>
        <v>Yes</v>
      </c>
      <c r="AE20" s="3" t="str">
        <f t="shared" si="0"/>
        <v>Non Premium</v>
      </c>
      <c r="AF20" s="3" t="str">
        <f t="shared" si="11"/>
        <v>Returned</v>
      </c>
      <c r="AG20" s="3" t="str">
        <f t="shared" si="12"/>
        <v>Not Need</v>
      </c>
      <c r="AH20" s="3" t="str">
        <f t="shared" si="13"/>
        <v>Non Electronics</v>
      </c>
    </row>
    <row r="21" spans="1:34" x14ac:dyDescent="0.3">
      <c r="A21" s="3" t="s">
        <v>92</v>
      </c>
      <c r="B21" s="3" t="s">
        <v>93</v>
      </c>
      <c r="C21" s="3" t="s">
        <v>32</v>
      </c>
      <c r="D21" s="3" t="s">
        <v>23</v>
      </c>
      <c r="E21" s="3" t="s">
        <v>41</v>
      </c>
      <c r="F21" s="3" t="s">
        <v>34</v>
      </c>
      <c r="G21" s="3" t="s">
        <v>26</v>
      </c>
      <c r="H21" s="3" t="s">
        <v>27</v>
      </c>
      <c r="I21" s="3">
        <v>5</v>
      </c>
      <c r="J21" s="3">
        <v>45000</v>
      </c>
      <c r="K21" s="3">
        <v>15</v>
      </c>
      <c r="L21" s="3">
        <v>191250</v>
      </c>
      <c r="M21" s="3">
        <v>4887.8900000000003</v>
      </c>
      <c r="N21" s="3">
        <v>32</v>
      </c>
      <c r="O21" s="3">
        <v>5</v>
      </c>
      <c r="P21" s="3" t="s">
        <v>59</v>
      </c>
      <c r="Q21" s="3" t="s">
        <v>29</v>
      </c>
      <c r="R21" s="3">
        <v>5</v>
      </c>
      <c r="S21" s="3">
        <v>122385</v>
      </c>
      <c r="T21" s="3">
        <v>191035.76</v>
      </c>
      <c r="U21" s="3" t="str">
        <f t="shared" si="1"/>
        <v>Target Achieved</v>
      </c>
      <c r="V21" s="3" t="str">
        <f t="shared" si="2"/>
        <v>No</v>
      </c>
      <c r="W21" s="3" t="str">
        <f t="shared" si="3"/>
        <v>Yes</v>
      </c>
      <c r="X21" s="3" t="str">
        <f t="shared" si="4"/>
        <v>Not Now</v>
      </c>
      <c r="Y21" s="3" t="str">
        <f t="shared" si="5"/>
        <v>No Reward</v>
      </c>
      <c r="Z21" s="3" t="str">
        <f t="shared" si="6"/>
        <v>No</v>
      </c>
      <c r="AA21" s="3" t="str">
        <f t="shared" si="7"/>
        <v>Low</v>
      </c>
      <c r="AB21" s="3" t="str">
        <f t="shared" si="8"/>
        <v>Expensive</v>
      </c>
      <c r="AC21" s="3" t="str">
        <f t="shared" si="9"/>
        <v>VIP</v>
      </c>
      <c r="AD21" s="3" t="str">
        <f t="shared" si="10"/>
        <v>Yes</v>
      </c>
      <c r="AE21" s="3" t="str">
        <f t="shared" si="0"/>
        <v>Non Premium</v>
      </c>
      <c r="AF21" s="3" t="str">
        <f t="shared" si="11"/>
        <v>Non Returned</v>
      </c>
      <c r="AG21" s="3" t="str">
        <f t="shared" si="12"/>
        <v>Not Need</v>
      </c>
      <c r="AH21" s="3" t="str">
        <f t="shared" si="13"/>
        <v>Electronics</v>
      </c>
    </row>
    <row r="22" spans="1:34" x14ac:dyDescent="0.3">
      <c r="A22" s="3" t="s">
        <v>94</v>
      </c>
      <c r="B22" s="3" t="s">
        <v>95</v>
      </c>
      <c r="C22" s="3" t="s">
        <v>56</v>
      </c>
      <c r="D22" s="3" t="s">
        <v>33</v>
      </c>
      <c r="E22" s="3" t="s">
        <v>48</v>
      </c>
      <c r="F22" s="3" t="s">
        <v>52</v>
      </c>
      <c r="G22" s="3" t="s">
        <v>26</v>
      </c>
      <c r="H22" s="3" t="s">
        <v>27</v>
      </c>
      <c r="I22" s="3">
        <v>5</v>
      </c>
      <c r="J22" s="3">
        <v>45000</v>
      </c>
      <c r="K22" s="3">
        <v>5</v>
      </c>
      <c r="L22" s="3">
        <v>213750</v>
      </c>
      <c r="M22" s="3">
        <v>34299.47</v>
      </c>
      <c r="N22" s="3">
        <v>7</v>
      </c>
      <c r="O22" s="3">
        <v>10</v>
      </c>
      <c r="P22" s="3" t="s">
        <v>28</v>
      </c>
      <c r="Q22" s="3" t="s">
        <v>37</v>
      </c>
      <c r="R22" s="3">
        <v>4</v>
      </c>
      <c r="S22" s="3">
        <v>23150</v>
      </c>
      <c r="T22" s="3">
        <v>233374.18</v>
      </c>
      <c r="U22" s="3" t="str">
        <f t="shared" si="1"/>
        <v>Target Achieved</v>
      </c>
      <c r="V22" s="3" t="str">
        <f t="shared" si="2"/>
        <v>Yes</v>
      </c>
      <c r="W22" s="3" t="str">
        <f t="shared" si="3"/>
        <v>Yes</v>
      </c>
      <c r="X22" s="3" t="str">
        <f t="shared" si="4"/>
        <v>Urgent</v>
      </c>
      <c r="Y22" s="3" t="str">
        <f t="shared" si="5"/>
        <v>No Reward</v>
      </c>
      <c r="Z22" s="3" t="str">
        <f t="shared" si="6"/>
        <v>No</v>
      </c>
      <c r="AA22" s="3" t="str">
        <f t="shared" si="7"/>
        <v>High</v>
      </c>
      <c r="AB22" s="3" t="str">
        <f t="shared" si="8"/>
        <v>Expensive</v>
      </c>
      <c r="AC22" s="3" t="str">
        <f t="shared" si="9"/>
        <v>VIP</v>
      </c>
      <c r="AD22" s="3" t="str">
        <f t="shared" si="10"/>
        <v>Yes</v>
      </c>
      <c r="AE22" s="3" t="str">
        <f t="shared" si="0"/>
        <v>Non Premium</v>
      </c>
      <c r="AF22" s="3" t="str">
        <f t="shared" si="11"/>
        <v>Returned</v>
      </c>
      <c r="AG22" s="3" t="str">
        <f t="shared" si="12"/>
        <v>Not Need</v>
      </c>
      <c r="AH22" s="3" t="str">
        <f t="shared" si="13"/>
        <v>Electronics</v>
      </c>
    </row>
    <row r="23" spans="1:34" x14ac:dyDescent="0.3">
      <c r="A23" s="3" t="s">
        <v>96</v>
      </c>
      <c r="B23" s="3" t="s">
        <v>65</v>
      </c>
      <c r="C23" s="3" t="s">
        <v>97</v>
      </c>
      <c r="D23" s="3" t="s">
        <v>33</v>
      </c>
      <c r="E23" s="3" t="s">
        <v>41</v>
      </c>
      <c r="F23" s="3" t="s">
        <v>25</v>
      </c>
      <c r="G23" s="3" t="s">
        <v>66</v>
      </c>
      <c r="H23" s="3" t="s">
        <v>27</v>
      </c>
      <c r="I23" s="3">
        <v>6</v>
      </c>
      <c r="J23" s="3">
        <v>8000</v>
      </c>
      <c r="K23" s="3">
        <v>5</v>
      </c>
      <c r="L23" s="3">
        <v>45600</v>
      </c>
      <c r="M23" s="3">
        <v>7280.44</v>
      </c>
      <c r="N23" s="3">
        <v>7</v>
      </c>
      <c r="O23" s="3">
        <v>4</v>
      </c>
      <c r="P23" s="3" t="s">
        <v>59</v>
      </c>
      <c r="Q23" s="3" t="s">
        <v>29</v>
      </c>
      <c r="R23" s="3">
        <v>2</v>
      </c>
      <c r="S23" s="3">
        <v>149728</v>
      </c>
      <c r="T23" s="3">
        <v>45999.06</v>
      </c>
      <c r="U23" s="3" t="str">
        <f t="shared" si="1"/>
        <v>Target Missed</v>
      </c>
      <c r="V23" s="3" t="str">
        <f t="shared" si="2"/>
        <v>No</v>
      </c>
      <c r="W23" s="3" t="str">
        <f t="shared" si="3"/>
        <v>No</v>
      </c>
      <c r="X23" s="3" t="str">
        <f t="shared" si="4"/>
        <v>Not Now</v>
      </c>
      <c r="Y23" s="3" t="str">
        <f t="shared" si="5"/>
        <v>No Reward</v>
      </c>
      <c r="Z23" s="3" t="str">
        <f t="shared" si="6"/>
        <v>No</v>
      </c>
      <c r="AA23" s="3" t="str">
        <f t="shared" si="7"/>
        <v>High</v>
      </c>
      <c r="AB23" s="3" t="str">
        <f t="shared" si="8"/>
        <v>Expensive</v>
      </c>
      <c r="AC23" s="3" t="str">
        <f t="shared" si="9"/>
        <v>No</v>
      </c>
      <c r="AD23" s="3" t="str">
        <f t="shared" si="10"/>
        <v>No</v>
      </c>
      <c r="AE23" s="3" t="str">
        <f t="shared" si="0"/>
        <v>Non Premium</v>
      </c>
      <c r="AF23" s="3" t="str">
        <f t="shared" si="11"/>
        <v>Non Returned</v>
      </c>
      <c r="AG23" s="3" t="str">
        <f t="shared" si="12"/>
        <v>Need Improvement</v>
      </c>
      <c r="AH23" s="3" t="str">
        <f t="shared" si="13"/>
        <v>Electronics</v>
      </c>
    </row>
    <row r="24" spans="1:34" x14ac:dyDescent="0.3">
      <c r="A24" s="3" t="s">
        <v>98</v>
      </c>
      <c r="B24" s="3" t="s">
        <v>99</v>
      </c>
      <c r="C24" s="3" t="s">
        <v>77</v>
      </c>
      <c r="D24" s="3" t="s">
        <v>23</v>
      </c>
      <c r="E24" s="3" t="s">
        <v>24</v>
      </c>
      <c r="F24" s="3" t="s">
        <v>52</v>
      </c>
      <c r="G24" s="3" t="s">
        <v>26</v>
      </c>
      <c r="H24" s="3" t="s">
        <v>27</v>
      </c>
      <c r="I24" s="3">
        <v>5</v>
      </c>
      <c r="J24" s="3">
        <v>65000</v>
      </c>
      <c r="K24" s="3">
        <v>15</v>
      </c>
      <c r="L24" s="3">
        <v>276250</v>
      </c>
      <c r="M24" s="3">
        <v>66751.67</v>
      </c>
      <c r="N24" s="3">
        <v>67</v>
      </c>
      <c r="O24" s="3">
        <v>5</v>
      </c>
      <c r="P24" s="3" t="s">
        <v>59</v>
      </c>
      <c r="Q24" s="3" t="s">
        <v>29</v>
      </c>
      <c r="R24" s="3">
        <v>5</v>
      </c>
      <c r="S24" s="3">
        <v>94579</v>
      </c>
      <c r="T24" s="3">
        <v>313749.99</v>
      </c>
      <c r="U24" s="3" t="str">
        <f t="shared" si="1"/>
        <v>Target Achieved</v>
      </c>
      <c r="V24" s="3" t="str">
        <f t="shared" si="2"/>
        <v>Yes</v>
      </c>
      <c r="W24" s="3" t="str">
        <f t="shared" si="3"/>
        <v>Yes</v>
      </c>
      <c r="X24" s="3" t="str">
        <f t="shared" si="4"/>
        <v>Not Now</v>
      </c>
      <c r="Y24" s="3" t="str">
        <f t="shared" si="5"/>
        <v>No Reward</v>
      </c>
      <c r="Z24" s="3" t="str">
        <f t="shared" si="6"/>
        <v>No</v>
      </c>
      <c r="AA24" s="3" t="str">
        <f t="shared" si="7"/>
        <v>Low</v>
      </c>
      <c r="AB24" s="3" t="str">
        <f t="shared" si="8"/>
        <v>Expensive</v>
      </c>
      <c r="AC24" s="3" t="str">
        <f t="shared" si="9"/>
        <v>VIP</v>
      </c>
      <c r="AD24" s="3" t="str">
        <f t="shared" si="10"/>
        <v>Yes</v>
      </c>
      <c r="AE24" s="3" t="str">
        <f t="shared" si="0"/>
        <v>Non Premium</v>
      </c>
      <c r="AF24" s="3" t="str">
        <f t="shared" si="11"/>
        <v>Non Returned</v>
      </c>
      <c r="AG24" s="3" t="str">
        <f t="shared" si="12"/>
        <v>Not Need</v>
      </c>
      <c r="AH24" s="3" t="str">
        <f t="shared" si="13"/>
        <v>Electronics</v>
      </c>
    </row>
    <row r="25" spans="1:34" x14ac:dyDescent="0.3">
      <c r="A25" s="3" t="s">
        <v>100</v>
      </c>
      <c r="B25" s="3" t="s">
        <v>101</v>
      </c>
      <c r="C25" s="3" t="s">
        <v>85</v>
      </c>
      <c r="D25" s="3" t="s">
        <v>23</v>
      </c>
      <c r="E25" s="3" t="s">
        <v>57</v>
      </c>
      <c r="F25" s="3" t="s">
        <v>58</v>
      </c>
      <c r="G25" s="3" t="s">
        <v>26</v>
      </c>
      <c r="H25" s="3" t="s">
        <v>27</v>
      </c>
      <c r="I25" s="3">
        <v>9</v>
      </c>
      <c r="J25" s="3">
        <v>65000</v>
      </c>
      <c r="K25" s="3">
        <v>10</v>
      </c>
      <c r="L25" s="3">
        <v>526500</v>
      </c>
      <c r="M25" s="3">
        <v>66234.98</v>
      </c>
      <c r="N25" s="3">
        <v>46</v>
      </c>
      <c r="O25" s="3">
        <v>9</v>
      </c>
      <c r="P25" s="3" t="s">
        <v>28</v>
      </c>
      <c r="Q25" s="3" t="s">
        <v>29</v>
      </c>
      <c r="R25" s="3">
        <v>4</v>
      </c>
      <c r="S25" s="3">
        <v>143639</v>
      </c>
      <c r="T25" s="3">
        <v>507590.40000000002</v>
      </c>
      <c r="U25" s="3" t="str">
        <f t="shared" si="1"/>
        <v>Target Achieved</v>
      </c>
      <c r="V25" s="3" t="str">
        <f t="shared" si="2"/>
        <v>Yes</v>
      </c>
      <c r="W25" s="3" t="str">
        <f t="shared" si="3"/>
        <v>Yes</v>
      </c>
      <c r="X25" s="3" t="str">
        <f t="shared" si="4"/>
        <v>Not Now</v>
      </c>
      <c r="Y25" s="3" t="str">
        <f t="shared" si="5"/>
        <v>No Reward</v>
      </c>
      <c r="Z25" s="3" t="str">
        <f t="shared" si="6"/>
        <v>No</v>
      </c>
      <c r="AA25" s="3" t="str">
        <f t="shared" si="7"/>
        <v>Low</v>
      </c>
      <c r="AB25" s="3" t="str">
        <f t="shared" si="8"/>
        <v>Expensive</v>
      </c>
      <c r="AC25" s="3" t="str">
        <f t="shared" si="9"/>
        <v>VIP</v>
      </c>
      <c r="AD25" s="3" t="str">
        <f t="shared" si="10"/>
        <v>Yes</v>
      </c>
      <c r="AE25" s="3" t="str">
        <f t="shared" si="0"/>
        <v>Non Premium</v>
      </c>
      <c r="AF25" s="3" t="str">
        <f t="shared" si="11"/>
        <v>Non Returned</v>
      </c>
      <c r="AG25" s="3" t="str">
        <f t="shared" si="12"/>
        <v>Not Need</v>
      </c>
      <c r="AH25" s="3" t="str">
        <f t="shared" si="13"/>
        <v>Electronics</v>
      </c>
    </row>
    <row r="26" spans="1:34" x14ac:dyDescent="0.3">
      <c r="A26" s="3" t="s">
        <v>102</v>
      </c>
      <c r="B26" s="3" t="s">
        <v>103</v>
      </c>
      <c r="C26" s="3" t="s">
        <v>77</v>
      </c>
      <c r="D26" s="3" t="s">
        <v>23</v>
      </c>
      <c r="E26" s="3" t="s">
        <v>24</v>
      </c>
      <c r="F26" s="3" t="s">
        <v>70</v>
      </c>
      <c r="G26" s="3" t="s">
        <v>80</v>
      </c>
      <c r="H26" s="3" t="s">
        <v>36</v>
      </c>
      <c r="I26" s="3">
        <v>4</v>
      </c>
      <c r="J26" s="3">
        <v>1200</v>
      </c>
      <c r="K26" s="3">
        <v>0</v>
      </c>
      <c r="L26" s="3">
        <v>4800</v>
      </c>
      <c r="M26" s="3">
        <v>1491.21</v>
      </c>
      <c r="N26" s="3">
        <v>28</v>
      </c>
      <c r="O26" s="3">
        <v>7</v>
      </c>
      <c r="P26" s="3" t="s">
        <v>67</v>
      </c>
      <c r="Q26" s="3" t="s">
        <v>37</v>
      </c>
      <c r="R26" s="3">
        <v>1</v>
      </c>
      <c r="S26" s="3">
        <v>45429</v>
      </c>
      <c r="T26" s="3">
        <v>5032.3999999999996</v>
      </c>
      <c r="U26" s="3" t="str">
        <f t="shared" si="1"/>
        <v>Target Missed</v>
      </c>
      <c r="V26" s="3" t="str">
        <f t="shared" si="2"/>
        <v>No</v>
      </c>
      <c r="W26" s="3" t="str">
        <f t="shared" si="3"/>
        <v>No</v>
      </c>
      <c r="X26" s="3" t="str">
        <f t="shared" si="4"/>
        <v>Not Now</v>
      </c>
      <c r="Y26" s="3" t="str">
        <f t="shared" si="5"/>
        <v>No Reward</v>
      </c>
      <c r="Z26" s="3" t="str">
        <f t="shared" si="6"/>
        <v>No</v>
      </c>
      <c r="AA26" s="3" t="str">
        <f t="shared" si="7"/>
        <v>High</v>
      </c>
      <c r="AB26" s="3" t="str">
        <f t="shared" si="8"/>
        <v>Not</v>
      </c>
      <c r="AC26" s="3" t="str">
        <f t="shared" si="9"/>
        <v>VIP</v>
      </c>
      <c r="AD26" s="3" t="str">
        <f t="shared" si="10"/>
        <v>No</v>
      </c>
      <c r="AE26" s="3" t="str">
        <f t="shared" si="0"/>
        <v>Non Premium</v>
      </c>
      <c r="AF26" s="3" t="str">
        <f t="shared" si="11"/>
        <v>Returned</v>
      </c>
      <c r="AG26" s="3" t="str">
        <f t="shared" si="12"/>
        <v>Need Improvement</v>
      </c>
      <c r="AH26" s="3" t="str">
        <f t="shared" si="13"/>
        <v>Non Electronics</v>
      </c>
    </row>
    <row r="27" spans="1:34" x14ac:dyDescent="0.3">
      <c r="A27" s="3" t="s">
        <v>104</v>
      </c>
      <c r="B27" s="3" t="s">
        <v>105</v>
      </c>
      <c r="C27" s="3" t="s">
        <v>79</v>
      </c>
      <c r="D27" s="3" t="s">
        <v>47</v>
      </c>
      <c r="E27" s="3" t="s">
        <v>48</v>
      </c>
      <c r="F27" s="3" t="s">
        <v>34</v>
      </c>
      <c r="G27" s="3" t="s">
        <v>42</v>
      </c>
      <c r="H27" s="3" t="s">
        <v>43</v>
      </c>
      <c r="I27" s="3">
        <v>5</v>
      </c>
      <c r="J27" s="3">
        <v>500</v>
      </c>
      <c r="K27" s="3">
        <v>0</v>
      </c>
      <c r="L27" s="3">
        <v>2500</v>
      </c>
      <c r="M27" s="3">
        <v>599.72</v>
      </c>
      <c r="N27" s="3">
        <v>11</v>
      </c>
      <c r="O27" s="3">
        <v>2</v>
      </c>
      <c r="P27" s="3" t="s">
        <v>28</v>
      </c>
      <c r="Q27" s="3" t="s">
        <v>37</v>
      </c>
      <c r="R27" s="3">
        <v>3</v>
      </c>
      <c r="S27" s="3">
        <v>48512</v>
      </c>
      <c r="T27" s="3">
        <v>2719.1</v>
      </c>
      <c r="U27" s="3" t="str">
        <f t="shared" si="1"/>
        <v>Target Missed</v>
      </c>
      <c r="V27" s="3" t="str">
        <f t="shared" si="2"/>
        <v>No</v>
      </c>
      <c r="W27" s="3" t="str">
        <f t="shared" si="3"/>
        <v>No</v>
      </c>
      <c r="X27" s="3" t="str">
        <f t="shared" si="4"/>
        <v>Not Now</v>
      </c>
      <c r="Y27" s="3" t="str">
        <f t="shared" si="5"/>
        <v>No Reward</v>
      </c>
      <c r="Z27" s="3" t="str">
        <f t="shared" si="6"/>
        <v>No</v>
      </c>
      <c r="AA27" s="3" t="str">
        <f t="shared" si="7"/>
        <v>High</v>
      </c>
      <c r="AB27" s="3" t="str">
        <f t="shared" si="8"/>
        <v>Not</v>
      </c>
      <c r="AC27" s="3" t="str">
        <f t="shared" si="9"/>
        <v>No</v>
      </c>
      <c r="AD27" s="3" t="str">
        <f t="shared" si="10"/>
        <v>No</v>
      </c>
      <c r="AE27" s="3" t="str">
        <f t="shared" si="0"/>
        <v>Premium</v>
      </c>
      <c r="AF27" s="3" t="str">
        <f t="shared" si="11"/>
        <v>Returned</v>
      </c>
      <c r="AG27" s="3" t="str">
        <f t="shared" si="12"/>
        <v>Need Improvement</v>
      </c>
      <c r="AH27" s="3" t="str">
        <f t="shared" si="13"/>
        <v>Non Electronics</v>
      </c>
    </row>
    <row r="28" spans="1:34" x14ac:dyDescent="0.3">
      <c r="A28" s="3" t="s">
        <v>106</v>
      </c>
      <c r="B28" s="3" t="s">
        <v>105</v>
      </c>
      <c r="C28" s="3" t="s">
        <v>51</v>
      </c>
      <c r="D28" s="3" t="s">
        <v>23</v>
      </c>
      <c r="E28" s="3" t="s">
        <v>57</v>
      </c>
      <c r="F28" s="3" t="s">
        <v>25</v>
      </c>
      <c r="G28" s="3" t="s">
        <v>26</v>
      </c>
      <c r="H28" s="3" t="s">
        <v>27</v>
      </c>
      <c r="I28" s="3">
        <v>6</v>
      </c>
      <c r="J28" s="3">
        <v>15000</v>
      </c>
      <c r="K28" s="3">
        <v>5</v>
      </c>
      <c r="L28" s="3">
        <v>85500</v>
      </c>
      <c r="M28" s="3">
        <v>15768.3</v>
      </c>
      <c r="N28" s="3">
        <v>4</v>
      </c>
      <c r="O28" s="3">
        <v>1</v>
      </c>
      <c r="P28" s="3" t="s">
        <v>59</v>
      </c>
      <c r="Q28" s="3" t="s">
        <v>37</v>
      </c>
      <c r="R28" s="3">
        <v>5</v>
      </c>
      <c r="S28" s="3">
        <v>131477</v>
      </c>
      <c r="T28" s="3">
        <v>90164.43</v>
      </c>
      <c r="U28" s="3" t="str">
        <f t="shared" si="1"/>
        <v>Target Missed</v>
      </c>
      <c r="V28" s="3" t="str">
        <f t="shared" si="2"/>
        <v>Yes</v>
      </c>
      <c r="W28" s="3" t="str">
        <f t="shared" si="3"/>
        <v>No</v>
      </c>
      <c r="X28" s="3" t="str">
        <f t="shared" si="4"/>
        <v>Urgent</v>
      </c>
      <c r="Y28" s="3" t="str">
        <f t="shared" si="5"/>
        <v>No Reward</v>
      </c>
      <c r="Z28" s="3" t="str">
        <f t="shared" si="6"/>
        <v>No</v>
      </c>
      <c r="AA28" s="3" t="str">
        <f t="shared" si="7"/>
        <v>High</v>
      </c>
      <c r="AB28" s="3" t="str">
        <f t="shared" si="8"/>
        <v>Expensive</v>
      </c>
      <c r="AC28" s="3" t="str">
        <f t="shared" si="9"/>
        <v>VIP</v>
      </c>
      <c r="AD28" s="3" t="str">
        <f t="shared" si="10"/>
        <v>Yes</v>
      </c>
      <c r="AE28" s="3" t="str">
        <f t="shared" si="0"/>
        <v>Non Premium</v>
      </c>
      <c r="AF28" s="3" t="str">
        <f t="shared" si="11"/>
        <v>Returned</v>
      </c>
      <c r="AG28" s="3" t="str">
        <f t="shared" si="12"/>
        <v>Need Improvement</v>
      </c>
      <c r="AH28" s="3" t="str">
        <f t="shared" si="13"/>
        <v>Electronics</v>
      </c>
    </row>
    <row r="29" spans="1:34" x14ac:dyDescent="0.3">
      <c r="A29" s="3" t="s">
        <v>107</v>
      </c>
      <c r="B29" s="3" t="s">
        <v>108</v>
      </c>
      <c r="C29" s="3" t="s">
        <v>22</v>
      </c>
      <c r="D29" s="3" t="s">
        <v>23</v>
      </c>
      <c r="E29" s="3" t="s">
        <v>57</v>
      </c>
      <c r="F29" s="3" t="s">
        <v>58</v>
      </c>
      <c r="G29" s="3" t="s">
        <v>53</v>
      </c>
      <c r="H29" s="3" t="s">
        <v>43</v>
      </c>
      <c r="I29" s="3">
        <v>7</v>
      </c>
      <c r="J29" s="3">
        <v>8000</v>
      </c>
      <c r="K29" s="3">
        <v>10</v>
      </c>
      <c r="L29" s="3">
        <v>50400</v>
      </c>
      <c r="M29" s="3">
        <v>-2262.5</v>
      </c>
      <c r="N29" s="3">
        <v>3</v>
      </c>
      <c r="O29" s="3">
        <v>7</v>
      </c>
      <c r="P29" s="3" t="s">
        <v>28</v>
      </c>
      <c r="Q29" s="3" t="s">
        <v>29</v>
      </c>
      <c r="R29" s="3">
        <v>2</v>
      </c>
      <c r="S29" s="3">
        <v>99353</v>
      </c>
      <c r="T29" s="3">
        <v>47719.85</v>
      </c>
      <c r="U29" s="3" t="str">
        <f t="shared" si="1"/>
        <v>Target Missed</v>
      </c>
      <c r="V29" s="3" t="str">
        <f t="shared" si="2"/>
        <v>No</v>
      </c>
      <c r="W29" s="3" t="str">
        <f t="shared" si="3"/>
        <v>No</v>
      </c>
      <c r="X29" s="3" t="str">
        <f t="shared" si="4"/>
        <v>Urgent</v>
      </c>
      <c r="Y29" s="3" t="str">
        <f t="shared" si="5"/>
        <v>No Reward</v>
      </c>
      <c r="Z29" s="3" t="str">
        <f t="shared" si="6"/>
        <v>No</v>
      </c>
      <c r="AA29" s="3" t="str">
        <f t="shared" si="7"/>
        <v>High</v>
      </c>
      <c r="AB29" s="3" t="str">
        <f t="shared" si="8"/>
        <v>Not</v>
      </c>
      <c r="AC29" s="3" t="str">
        <f t="shared" si="9"/>
        <v>VIP</v>
      </c>
      <c r="AD29" s="3" t="str">
        <f t="shared" si="10"/>
        <v>No</v>
      </c>
      <c r="AE29" s="3" t="str">
        <f t="shared" si="0"/>
        <v>Non Premium</v>
      </c>
      <c r="AF29" s="3" t="str">
        <f t="shared" si="11"/>
        <v>Non Returned</v>
      </c>
      <c r="AG29" s="3" t="str">
        <f t="shared" si="12"/>
        <v>Need Improvement</v>
      </c>
      <c r="AH29" s="3" t="str">
        <f t="shared" si="13"/>
        <v>Non Electronics</v>
      </c>
    </row>
    <row r="30" spans="1:34" x14ac:dyDescent="0.3">
      <c r="A30" s="3" t="s">
        <v>109</v>
      </c>
      <c r="B30" s="3" t="s">
        <v>110</v>
      </c>
      <c r="C30" s="3" t="s">
        <v>22</v>
      </c>
      <c r="D30" s="3" t="s">
        <v>23</v>
      </c>
      <c r="E30" s="3" t="s">
        <v>24</v>
      </c>
      <c r="F30" s="3" t="s">
        <v>70</v>
      </c>
      <c r="G30" s="3" t="s">
        <v>53</v>
      </c>
      <c r="H30" s="3" t="s">
        <v>43</v>
      </c>
      <c r="I30" s="3">
        <v>8</v>
      </c>
      <c r="J30" s="3">
        <v>500</v>
      </c>
      <c r="K30" s="3">
        <v>15</v>
      </c>
      <c r="L30" s="3">
        <v>3400</v>
      </c>
      <c r="M30" s="3">
        <v>0.1</v>
      </c>
      <c r="N30" s="3">
        <v>65</v>
      </c>
      <c r="O30" s="3">
        <v>2</v>
      </c>
      <c r="P30" s="3" t="s">
        <v>44</v>
      </c>
      <c r="Q30" s="3" t="s">
        <v>29</v>
      </c>
      <c r="R30" s="3">
        <v>1</v>
      </c>
      <c r="S30" s="3">
        <v>133638</v>
      </c>
      <c r="T30" s="3">
        <v>3643.81</v>
      </c>
      <c r="U30" s="3" t="str">
        <f t="shared" si="1"/>
        <v>Target Missed</v>
      </c>
      <c r="V30" s="3" t="str">
        <f t="shared" si="2"/>
        <v>No</v>
      </c>
      <c r="W30" s="3" t="str">
        <f t="shared" si="3"/>
        <v>No</v>
      </c>
      <c r="X30" s="3" t="str">
        <f t="shared" si="4"/>
        <v>Not Now</v>
      </c>
      <c r="Y30" s="3" t="str">
        <f t="shared" si="5"/>
        <v>No Reward</v>
      </c>
      <c r="Z30" s="3" t="str">
        <f t="shared" si="6"/>
        <v>Yes</v>
      </c>
      <c r="AA30" s="3" t="str">
        <f t="shared" si="7"/>
        <v>High</v>
      </c>
      <c r="AB30" s="3" t="str">
        <f t="shared" si="8"/>
        <v>Not</v>
      </c>
      <c r="AC30" s="3" t="str">
        <f t="shared" si="9"/>
        <v>VIP</v>
      </c>
      <c r="AD30" s="3" t="str">
        <f t="shared" si="10"/>
        <v>No</v>
      </c>
      <c r="AE30" s="3" t="str">
        <f t="shared" si="0"/>
        <v>Non Premium</v>
      </c>
      <c r="AF30" s="3" t="str">
        <f t="shared" si="11"/>
        <v>Non Returned</v>
      </c>
      <c r="AG30" s="3" t="str">
        <f t="shared" si="12"/>
        <v>Need Improvement</v>
      </c>
      <c r="AH30" s="3" t="str">
        <f t="shared" si="13"/>
        <v>Non Electronics</v>
      </c>
    </row>
    <row r="31" spans="1:34" x14ac:dyDescent="0.3">
      <c r="A31" s="3" t="s">
        <v>111</v>
      </c>
      <c r="B31" s="3" t="s">
        <v>112</v>
      </c>
      <c r="C31" s="3" t="s">
        <v>51</v>
      </c>
      <c r="D31" s="3" t="s">
        <v>47</v>
      </c>
      <c r="E31" s="3" t="s">
        <v>24</v>
      </c>
      <c r="F31" s="3" t="s">
        <v>25</v>
      </c>
      <c r="G31" s="3" t="s">
        <v>35</v>
      </c>
      <c r="H31" s="3" t="s">
        <v>36</v>
      </c>
      <c r="I31" s="3">
        <v>2</v>
      </c>
      <c r="J31" s="3">
        <v>45000</v>
      </c>
      <c r="K31" s="3">
        <v>5</v>
      </c>
      <c r="L31" s="3">
        <v>85500</v>
      </c>
      <c r="M31" s="3">
        <v>20503.240000000002</v>
      </c>
      <c r="N31" s="3">
        <v>60</v>
      </c>
      <c r="O31" s="3">
        <v>1</v>
      </c>
      <c r="P31" s="3" t="s">
        <v>44</v>
      </c>
      <c r="Q31" s="3" t="s">
        <v>29</v>
      </c>
      <c r="R31" s="3">
        <v>1</v>
      </c>
      <c r="S31" s="3">
        <v>39652</v>
      </c>
      <c r="T31" s="3">
        <v>90343.98</v>
      </c>
      <c r="U31" s="3" t="str">
        <f t="shared" si="1"/>
        <v>Target Achieved</v>
      </c>
      <c r="V31" s="3" t="str">
        <f t="shared" si="2"/>
        <v>Yes</v>
      </c>
      <c r="W31" s="3" t="str">
        <f t="shared" si="3"/>
        <v>No</v>
      </c>
      <c r="X31" s="3" t="str">
        <f t="shared" si="4"/>
        <v>Not Now</v>
      </c>
      <c r="Y31" s="3" t="str">
        <f t="shared" si="5"/>
        <v>Reward</v>
      </c>
      <c r="Z31" s="3" t="str">
        <f t="shared" si="6"/>
        <v>Yes</v>
      </c>
      <c r="AA31" s="3" t="str">
        <f t="shared" si="7"/>
        <v>High</v>
      </c>
      <c r="AB31" s="3" t="str">
        <f t="shared" si="8"/>
        <v>Not</v>
      </c>
      <c r="AC31" s="3" t="str">
        <f t="shared" si="9"/>
        <v>No</v>
      </c>
      <c r="AD31" s="3" t="str">
        <f t="shared" si="10"/>
        <v>Yes</v>
      </c>
      <c r="AE31" s="3" t="str">
        <f t="shared" si="0"/>
        <v>Premium</v>
      </c>
      <c r="AF31" s="3" t="str">
        <f t="shared" si="11"/>
        <v>Non Returned</v>
      </c>
      <c r="AG31" s="3" t="str">
        <f t="shared" si="12"/>
        <v>Not Need</v>
      </c>
      <c r="AH31" s="3" t="str">
        <f t="shared" si="13"/>
        <v>Non Electronics</v>
      </c>
    </row>
    <row r="32" spans="1:34" x14ac:dyDescent="0.3">
      <c r="A32" s="3" t="s">
        <v>113</v>
      </c>
      <c r="B32" s="3" t="s">
        <v>114</v>
      </c>
      <c r="C32" s="3" t="s">
        <v>77</v>
      </c>
      <c r="D32" s="3" t="s">
        <v>33</v>
      </c>
      <c r="E32" s="3" t="s">
        <v>57</v>
      </c>
      <c r="F32" s="3" t="s">
        <v>34</v>
      </c>
      <c r="G32" s="3" t="s">
        <v>80</v>
      </c>
      <c r="H32" s="3" t="s">
        <v>36</v>
      </c>
      <c r="I32" s="3">
        <v>1</v>
      </c>
      <c r="J32" s="3">
        <v>45000</v>
      </c>
      <c r="K32" s="3">
        <v>10</v>
      </c>
      <c r="L32" s="3">
        <v>40500</v>
      </c>
      <c r="M32" s="3">
        <v>13451.25</v>
      </c>
      <c r="N32" s="3">
        <v>99</v>
      </c>
      <c r="O32" s="3">
        <v>10</v>
      </c>
      <c r="P32" s="3" t="s">
        <v>67</v>
      </c>
      <c r="Q32" s="3" t="s">
        <v>29</v>
      </c>
      <c r="R32" s="3">
        <v>4</v>
      </c>
      <c r="S32" s="3">
        <v>133203</v>
      </c>
      <c r="T32" s="3">
        <v>40774.160000000003</v>
      </c>
      <c r="U32" s="3" t="str">
        <f t="shared" si="1"/>
        <v>Target Missed</v>
      </c>
      <c r="V32" s="3" t="str">
        <f t="shared" si="2"/>
        <v>No</v>
      </c>
      <c r="W32" s="3" t="str">
        <f t="shared" si="3"/>
        <v>No</v>
      </c>
      <c r="X32" s="3" t="str">
        <f t="shared" si="4"/>
        <v>Not Now</v>
      </c>
      <c r="Y32" s="3" t="str">
        <f t="shared" si="5"/>
        <v>No Reward</v>
      </c>
      <c r="Z32" s="3" t="str">
        <f t="shared" si="6"/>
        <v>No</v>
      </c>
      <c r="AA32" s="3" t="str">
        <f t="shared" si="7"/>
        <v>Low</v>
      </c>
      <c r="AB32" s="3" t="str">
        <f t="shared" si="8"/>
        <v>Not</v>
      </c>
      <c r="AC32" s="3" t="str">
        <f t="shared" si="9"/>
        <v>No</v>
      </c>
      <c r="AD32" s="3" t="str">
        <f t="shared" si="10"/>
        <v>No</v>
      </c>
      <c r="AE32" s="3" t="str">
        <f t="shared" si="0"/>
        <v>Non Premium</v>
      </c>
      <c r="AF32" s="3" t="str">
        <f t="shared" si="11"/>
        <v>Non Returned</v>
      </c>
      <c r="AG32" s="3" t="str">
        <f t="shared" si="12"/>
        <v>Need Improvement</v>
      </c>
      <c r="AH32" s="3" t="str">
        <f t="shared" si="13"/>
        <v>Non Electronics</v>
      </c>
    </row>
    <row r="33" spans="1:34" x14ac:dyDescent="0.3">
      <c r="A33" s="3" t="s">
        <v>115</v>
      </c>
      <c r="B33" s="3" t="s">
        <v>50</v>
      </c>
      <c r="C33" s="3" t="s">
        <v>77</v>
      </c>
      <c r="D33" s="3" t="s">
        <v>33</v>
      </c>
      <c r="E33" s="3" t="s">
        <v>24</v>
      </c>
      <c r="F33" s="3" t="s">
        <v>70</v>
      </c>
      <c r="G33" s="3" t="s">
        <v>53</v>
      </c>
      <c r="H33" s="3" t="s">
        <v>43</v>
      </c>
      <c r="I33" s="3">
        <v>5</v>
      </c>
      <c r="J33" s="3">
        <v>3500</v>
      </c>
      <c r="K33" s="3">
        <v>20</v>
      </c>
      <c r="L33" s="3">
        <v>14000</v>
      </c>
      <c r="M33" s="3">
        <v>-305.06</v>
      </c>
      <c r="N33" s="3">
        <v>94</v>
      </c>
      <c r="O33" s="3">
        <v>6</v>
      </c>
      <c r="P33" s="3" t="s">
        <v>67</v>
      </c>
      <c r="Q33" s="3" t="s">
        <v>29</v>
      </c>
      <c r="R33" s="3">
        <v>1</v>
      </c>
      <c r="S33" s="3">
        <v>41754</v>
      </c>
      <c r="T33" s="3">
        <v>11516.25</v>
      </c>
      <c r="U33" s="3" t="str">
        <f t="shared" si="1"/>
        <v>Target Missed</v>
      </c>
      <c r="V33" s="3" t="str">
        <f t="shared" si="2"/>
        <v>No</v>
      </c>
      <c r="W33" s="3" t="str">
        <f t="shared" si="3"/>
        <v>No</v>
      </c>
      <c r="X33" s="3" t="str">
        <f t="shared" si="4"/>
        <v>Not Now</v>
      </c>
      <c r="Y33" s="3" t="str">
        <f t="shared" si="5"/>
        <v>No Reward</v>
      </c>
      <c r="Z33" s="3" t="str">
        <f t="shared" si="6"/>
        <v>No</v>
      </c>
      <c r="AA33" s="3" t="str">
        <f t="shared" si="7"/>
        <v>High</v>
      </c>
      <c r="AB33" s="3" t="str">
        <f t="shared" si="8"/>
        <v>Not</v>
      </c>
      <c r="AC33" s="3" t="str">
        <f t="shared" si="9"/>
        <v>No</v>
      </c>
      <c r="AD33" s="3" t="str">
        <f t="shared" si="10"/>
        <v>No</v>
      </c>
      <c r="AE33" s="3" t="str">
        <f t="shared" si="0"/>
        <v>Non Premium</v>
      </c>
      <c r="AF33" s="3" t="str">
        <f t="shared" si="11"/>
        <v>Non Returned</v>
      </c>
      <c r="AG33" s="3" t="str">
        <f t="shared" si="12"/>
        <v>Need Improvement</v>
      </c>
      <c r="AH33" s="3" t="str">
        <f t="shared" si="13"/>
        <v>Non Electronics</v>
      </c>
    </row>
    <row r="34" spans="1:34" x14ac:dyDescent="0.3">
      <c r="A34" s="3" t="s">
        <v>116</v>
      </c>
      <c r="B34" s="3" t="s">
        <v>117</v>
      </c>
      <c r="C34" s="3" t="s">
        <v>51</v>
      </c>
      <c r="D34" s="3" t="s">
        <v>47</v>
      </c>
      <c r="E34" s="3" t="s">
        <v>48</v>
      </c>
      <c r="F34" s="3" t="s">
        <v>70</v>
      </c>
      <c r="G34" s="3" t="s">
        <v>26</v>
      </c>
      <c r="H34" s="3" t="s">
        <v>27</v>
      </c>
      <c r="I34" s="3">
        <v>10</v>
      </c>
      <c r="J34" s="3">
        <v>45000</v>
      </c>
      <c r="K34" s="3">
        <v>20</v>
      </c>
      <c r="L34" s="3">
        <v>360000</v>
      </c>
      <c r="M34" s="3">
        <v>6498.18</v>
      </c>
      <c r="N34" s="3">
        <v>100</v>
      </c>
      <c r="O34" s="3">
        <v>7</v>
      </c>
      <c r="P34" s="3" t="s">
        <v>67</v>
      </c>
      <c r="Q34" s="3" t="s">
        <v>29</v>
      </c>
      <c r="R34" s="3">
        <v>2</v>
      </c>
      <c r="S34" s="3">
        <v>117623</v>
      </c>
      <c r="T34" s="3">
        <v>394047.61</v>
      </c>
      <c r="U34" s="3" t="str">
        <f t="shared" si="1"/>
        <v>Target Achieved</v>
      </c>
      <c r="V34" s="3" t="str">
        <f t="shared" si="2"/>
        <v>No</v>
      </c>
      <c r="W34" s="3" t="str">
        <f t="shared" si="3"/>
        <v>Yes</v>
      </c>
      <c r="X34" s="3" t="str">
        <f t="shared" si="4"/>
        <v>Not Now</v>
      </c>
      <c r="Y34" s="3" t="str">
        <f t="shared" si="5"/>
        <v>Reward</v>
      </c>
      <c r="Z34" s="3" t="str">
        <f t="shared" si="6"/>
        <v>No</v>
      </c>
      <c r="AA34" s="3" t="str">
        <f t="shared" si="7"/>
        <v>High</v>
      </c>
      <c r="AB34" s="3" t="str">
        <f t="shared" si="8"/>
        <v>Expensive</v>
      </c>
      <c r="AC34" s="3" t="str">
        <f t="shared" si="9"/>
        <v>VIP</v>
      </c>
      <c r="AD34" s="3" t="str">
        <f t="shared" si="10"/>
        <v>Yes</v>
      </c>
      <c r="AE34" s="3" t="str">
        <f t="shared" ref="AE34:AE51" si="14">IF(NOT(D34="Premium"),"Non Premium","Premium")</f>
        <v>Premium</v>
      </c>
      <c r="AF34" s="3" t="str">
        <f t="shared" si="11"/>
        <v>Non Returned</v>
      </c>
      <c r="AG34" s="3" t="str">
        <f t="shared" si="12"/>
        <v>Not Need</v>
      </c>
      <c r="AH34" s="3" t="str">
        <f t="shared" si="13"/>
        <v>Electronics</v>
      </c>
    </row>
    <row r="35" spans="1:34" x14ac:dyDescent="0.3">
      <c r="A35" s="3" t="s">
        <v>118</v>
      </c>
      <c r="B35" s="3" t="s">
        <v>119</v>
      </c>
      <c r="C35" s="3" t="s">
        <v>32</v>
      </c>
      <c r="D35" s="3" t="s">
        <v>33</v>
      </c>
      <c r="E35" s="3" t="s">
        <v>41</v>
      </c>
      <c r="F35" s="3" t="s">
        <v>25</v>
      </c>
      <c r="G35" s="3" t="s">
        <v>26</v>
      </c>
      <c r="H35" s="3" t="s">
        <v>27</v>
      </c>
      <c r="I35" s="3">
        <v>1</v>
      </c>
      <c r="J35" s="3">
        <v>3500</v>
      </c>
      <c r="K35" s="3">
        <v>10</v>
      </c>
      <c r="L35" s="3">
        <v>3150</v>
      </c>
      <c r="M35" s="3">
        <v>509.87</v>
      </c>
      <c r="N35" s="3">
        <v>89</v>
      </c>
      <c r="O35" s="3">
        <v>10</v>
      </c>
      <c r="P35" s="3" t="s">
        <v>28</v>
      </c>
      <c r="Q35" s="3" t="s">
        <v>29</v>
      </c>
      <c r="R35" s="3">
        <v>5</v>
      </c>
      <c r="S35" s="3">
        <v>29904</v>
      </c>
      <c r="T35" s="3">
        <v>2859.85</v>
      </c>
      <c r="U35" s="3" t="str">
        <f t="shared" si="1"/>
        <v>Target Missed</v>
      </c>
      <c r="V35" s="3" t="str">
        <f t="shared" si="2"/>
        <v>No</v>
      </c>
      <c r="W35" s="3" t="str">
        <f t="shared" si="3"/>
        <v>No</v>
      </c>
      <c r="X35" s="3" t="str">
        <f t="shared" si="4"/>
        <v>Not Now</v>
      </c>
      <c r="Y35" s="3" t="str">
        <f t="shared" si="5"/>
        <v>No Reward</v>
      </c>
      <c r="Z35" s="3" t="str">
        <f t="shared" si="6"/>
        <v>No</v>
      </c>
      <c r="AA35" s="3" t="str">
        <f t="shared" si="7"/>
        <v>Low</v>
      </c>
      <c r="AB35" s="3" t="str">
        <f t="shared" si="8"/>
        <v>Expensive</v>
      </c>
      <c r="AC35" s="3" t="str">
        <f t="shared" si="9"/>
        <v>No</v>
      </c>
      <c r="AD35" s="3" t="str">
        <f t="shared" si="10"/>
        <v>No</v>
      </c>
      <c r="AE35" s="3" t="str">
        <f t="shared" si="14"/>
        <v>Non Premium</v>
      </c>
      <c r="AF35" s="3" t="str">
        <f t="shared" si="11"/>
        <v>Non Returned</v>
      </c>
      <c r="AG35" s="3" t="str">
        <f t="shared" si="12"/>
        <v>Need Improvement</v>
      </c>
      <c r="AH35" s="3" t="str">
        <f t="shared" si="13"/>
        <v>Electronics</v>
      </c>
    </row>
    <row r="36" spans="1:34" x14ac:dyDescent="0.3">
      <c r="A36" s="3" t="s">
        <v>120</v>
      </c>
      <c r="B36" s="3" t="s">
        <v>121</v>
      </c>
      <c r="C36" s="3" t="s">
        <v>40</v>
      </c>
      <c r="D36" s="3" t="s">
        <v>33</v>
      </c>
      <c r="E36" s="3" t="s">
        <v>48</v>
      </c>
      <c r="F36" s="3" t="s">
        <v>34</v>
      </c>
      <c r="G36" s="3" t="s">
        <v>53</v>
      </c>
      <c r="H36" s="3" t="s">
        <v>43</v>
      </c>
      <c r="I36" s="3">
        <v>8</v>
      </c>
      <c r="J36" s="3">
        <v>45000</v>
      </c>
      <c r="K36" s="3">
        <v>5</v>
      </c>
      <c r="L36" s="3">
        <v>342000</v>
      </c>
      <c r="M36" s="3">
        <v>90433.11</v>
      </c>
      <c r="N36" s="3">
        <v>60</v>
      </c>
      <c r="O36" s="3">
        <v>3</v>
      </c>
      <c r="P36" s="3" t="s">
        <v>28</v>
      </c>
      <c r="Q36" s="3" t="s">
        <v>37</v>
      </c>
      <c r="R36" s="3">
        <v>1</v>
      </c>
      <c r="S36" s="3">
        <v>74842</v>
      </c>
      <c r="T36" s="3">
        <v>329549.21999999997</v>
      </c>
      <c r="U36" s="3" t="str">
        <f t="shared" si="1"/>
        <v>Target Achieved</v>
      </c>
      <c r="V36" s="3" t="str">
        <f t="shared" si="2"/>
        <v>Yes</v>
      </c>
      <c r="W36" s="3" t="str">
        <f t="shared" si="3"/>
        <v>No</v>
      </c>
      <c r="X36" s="3" t="str">
        <f t="shared" si="4"/>
        <v>Not Now</v>
      </c>
      <c r="Y36" s="3" t="str">
        <f t="shared" si="5"/>
        <v>No Reward</v>
      </c>
      <c r="Z36" s="3" t="str">
        <f t="shared" si="6"/>
        <v>No</v>
      </c>
      <c r="AA36" s="3" t="str">
        <f t="shared" si="7"/>
        <v>High</v>
      </c>
      <c r="AB36" s="3" t="str">
        <f t="shared" si="8"/>
        <v>Not</v>
      </c>
      <c r="AC36" s="3" t="str">
        <f t="shared" si="9"/>
        <v>VIP</v>
      </c>
      <c r="AD36" s="3" t="str">
        <f t="shared" si="10"/>
        <v>Yes</v>
      </c>
      <c r="AE36" s="3" t="str">
        <f t="shared" si="14"/>
        <v>Non Premium</v>
      </c>
      <c r="AF36" s="3" t="str">
        <f t="shared" si="11"/>
        <v>Returned</v>
      </c>
      <c r="AG36" s="3" t="str">
        <f t="shared" si="12"/>
        <v>Not Need</v>
      </c>
      <c r="AH36" s="3" t="str">
        <f t="shared" si="13"/>
        <v>Non Electronics</v>
      </c>
    </row>
    <row r="37" spans="1:34" x14ac:dyDescent="0.3">
      <c r="A37" s="3" t="s">
        <v>122</v>
      </c>
      <c r="B37" s="3" t="s">
        <v>123</v>
      </c>
      <c r="C37" s="3" t="s">
        <v>85</v>
      </c>
      <c r="D37" s="3" t="s">
        <v>23</v>
      </c>
      <c r="E37" s="3" t="s">
        <v>41</v>
      </c>
      <c r="F37" s="3" t="s">
        <v>34</v>
      </c>
      <c r="G37" s="3" t="s">
        <v>53</v>
      </c>
      <c r="H37" s="3" t="s">
        <v>43</v>
      </c>
      <c r="I37" s="3">
        <v>7</v>
      </c>
      <c r="J37" s="3">
        <v>45000</v>
      </c>
      <c r="K37" s="3">
        <v>20</v>
      </c>
      <c r="L37" s="3">
        <v>252000</v>
      </c>
      <c r="M37" s="3">
        <v>72242.14</v>
      </c>
      <c r="N37" s="3">
        <v>67</v>
      </c>
      <c r="O37" s="3">
        <v>6</v>
      </c>
      <c r="P37" s="3" t="s">
        <v>44</v>
      </c>
      <c r="Q37" s="3" t="s">
        <v>29</v>
      </c>
      <c r="R37" s="3">
        <v>1</v>
      </c>
      <c r="S37" s="3">
        <v>49967</v>
      </c>
      <c r="T37" s="3">
        <v>219729.33</v>
      </c>
      <c r="U37" s="3" t="str">
        <f t="shared" si="1"/>
        <v>Target Achieved</v>
      </c>
      <c r="V37" s="3" t="str">
        <f t="shared" si="2"/>
        <v>Yes</v>
      </c>
      <c r="W37" s="3" t="str">
        <f t="shared" si="3"/>
        <v>No</v>
      </c>
      <c r="X37" s="3" t="str">
        <f t="shared" si="4"/>
        <v>Not Now</v>
      </c>
      <c r="Y37" s="3" t="str">
        <f t="shared" si="5"/>
        <v>No Reward</v>
      </c>
      <c r="Z37" s="3" t="str">
        <f t="shared" si="6"/>
        <v>No</v>
      </c>
      <c r="AA37" s="3" t="str">
        <f t="shared" si="7"/>
        <v>High</v>
      </c>
      <c r="AB37" s="3" t="str">
        <f t="shared" si="8"/>
        <v>Not</v>
      </c>
      <c r="AC37" s="3" t="str">
        <f t="shared" si="9"/>
        <v>VIP</v>
      </c>
      <c r="AD37" s="3" t="str">
        <f t="shared" si="10"/>
        <v>Yes</v>
      </c>
      <c r="AE37" s="3" t="str">
        <f t="shared" si="14"/>
        <v>Non Premium</v>
      </c>
      <c r="AF37" s="3" t="str">
        <f t="shared" si="11"/>
        <v>Non Returned</v>
      </c>
      <c r="AG37" s="3" t="str">
        <f t="shared" si="12"/>
        <v>Not Need</v>
      </c>
      <c r="AH37" s="3" t="str">
        <f t="shared" si="13"/>
        <v>Non Electronics</v>
      </c>
    </row>
    <row r="38" spans="1:34" x14ac:dyDescent="0.3">
      <c r="A38" s="3" t="s">
        <v>124</v>
      </c>
      <c r="B38" s="3" t="s">
        <v>125</v>
      </c>
      <c r="C38" s="3" t="s">
        <v>77</v>
      </c>
      <c r="D38" s="3" t="s">
        <v>23</v>
      </c>
      <c r="E38" s="3" t="s">
        <v>48</v>
      </c>
      <c r="F38" s="3" t="s">
        <v>25</v>
      </c>
      <c r="G38" s="3" t="s">
        <v>26</v>
      </c>
      <c r="H38" s="3" t="s">
        <v>27</v>
      </c>
      <c r="I38" s="3">
        <v>7</v>
      </c>
      <c r="J38" s="3">
        <v>45000</v>
      </c>
      <c r="K38" s="3">
        <v>5</v>
      </c>
      <c r="L38" s="3">
        <v>299250</v>
      </c>
      <c r="M38" s="3">
        <v>-3977.36</v>
      </c>
      <c r="N38" s="3">
        <v>60</v>
      </c>
      <c r="O38" s="3">
        <v>8</v>
      </c>
      <c r="P38" s="3" t="s">
        <v>59</v>
      </c>
      <c r="Q38" s="3" t="s">
        <v>37</v>
      </c>
      <c r="R38" s="3">
        <v>1</v>
      </c>
      <c r="S38" s="3">
        <v>86849</v>
      </c>
      <c r="T38" s="3">
        <v>335366.17</v>
      </c>
      <c r="U38" s="3" t="str">
        <f t="shared" si="1"/>
        <v>Target Achieved</v>
      </c>
      <c r="V38" s="3" t="str">
        <f t="shared" si="2"/>
        <v>No</v>
      </c>
      <c r="W38" s="3" t="str">
        <f t="shared" si="3"/>
        <v>No</v>
      </c>
      <c r="X38" s="3" t="str">
        <f t="shared" si="4"/>
        <v>Not Now</v>
      </c>
      <c r="Y38" s="3" t="str">
        <f t="shared" si="5"/>
        <v>No Reward</v>
      </c>
      <c r="Z38" s="3" t="str">
        <f t="shared" si="6"/>
        <v>No</v>
      </c>
      <c r="AA38" s="3" t="str">
        <f t="shared" si="7"/>
        <v>High</v>
      </c>
      <c r="AB38" s="3" t="str">
        <f t="shared" si="8"/>
        <v>Expensive</v>
      </c>
      <c r="AC38" s="3" t="str">
        <f t="shared" si="9"/>
        <v>VIP</v>
      </c>
      <c r="AD38" s="3" t="str">
        <f t="shared" si="10"/>
        <v>Yes</v>
      </c>
      <c r="AE38" s="3" t="str">
        <f t="shared" si="14"/>
        <v>Non Premium</v>
      </c>
      <c r="AF38" s="3" t="str">
        <f t="shared" si="11"/>
        <v>Returned</v>
      </c>
      <c r="AG38" s="3" t="str">
        <f t="shared" si="12"/>
        <v>Not Need</v>
      </c>
      <c r="AH38" s="3" t="str">
        <f t="shared" si="13"/>
        <v>Electronics</v>
      </c>
    </row>
    <row r="39" spans="1:34" x14ac:dyDescent="0.3">
      <c r="A39" s="3" t="s">
        <v>126</v>
      </c>
      <c r="B39" s="3" t="s">
        <v>61</v>
      </c>
      <c r="C39" s="3" t="s">
        <v>77</v>
      </c>
      <c r="D39" s="3" t="s">
        <v>33</v>
      </c>
      <c r="E39" s="3" t="s">
        <v>48</v>
      </c>
      <c r="F39" s="3" t="s">
        <v>70</v>
      </c>
      <c r="G39" s="3" t="s">
        <v>80</v>
      </c>
      <c r="H39" s="3" t="s">
        <v>36</v>
      </c>
      <c r="I39" s="3">
        <v>4</v>
      </c>
      <c r="J39" s="3">
        <v>15000</v>
      </c>
      <c r="K39" s="3">
        <v>20</v>
      </c>
      <c r="L39" s="3">
        <v>48000</v>
      </c>
      <c r="M39" s="3">
        <v>8450.57</v>
      </c>
      <c r="N39" s="3">
        <v>11</v>
      </c>
      <c r="O39" s="3">
        <v>1</v>
      </c>
      <c r="P39" s="3" t="s">
        <v>28</v>
      </c>
      <c r="Q39" s="3" t="s">
        <v>29</v>
      </c>
      <c r="R39" s="3">
        <v>5</v>
      </c>
      <c r="S39" s="3">
        <v>65265</v>
      </c>
      <c r="T39" s="3">
        <v>51474.15</v>
      </c>
      <c r="U39" s="3" t="str">
        <f t="shared" si="1"/>
        <v>Target Missed</v>
      </c>
      <c r="V39" s="3" t="str">
        <f t="shared" si="2"/>
        <v>No</v>
      </c>
      <c r="W39" s="3" t="str">
        <f t="shared" si="3"/>
        <v>No</v>
      </c>
      <c r="X39" s="3" t="str">
        <f t="shared" si="4"/>
        <v>Not Now</v>
      </c>
      <c r="Y39" s="3" t="str">
        <f t="shared" si="5"/>
        <v>No Reward</v>
      </c>
      <c r="Z39" s="3" t="str">
        <f t="shared" si="6"/>
        <v>Yes</v>
      </c>
      <c r="AA39" s="3" t="str">
        <f t="shared" si="7"/>
        <v>Low</v>
      </c>
      <c r="AB39" s="3" t="str">
        <f t="shared" si="8"/>
        <v>Not</v>
      </c>
      <c r="AC39" s="3" t="str">
        <f t="shared" si="9"/>
        <v>No</v>
      </c>
      <c r="AD39" s="3" t="str">
        <f t="shared" si="10"/>
        <v>No</v>
      </c>
      <c r="AE39" s="3" t="str">
        <f t="shared" si="14"/>
        <v>Non Premium</v>
      </c>
      <c r="AF39" s="3" t="str">
        <f t="shared" si="11"/>
        <v>Non Returned</v>
      </c>
      <c r="AG39" s="3" t="str">
        <f t="shared" si="12"/>
        <v>Need Improvement</v>
      </c>
      <c r="AH39" s="3" t="str">
        <f t="shared" si="13"/>
        <v>Non Electronics</v>
      </c>
    </row>
    <row r="40" spans="1:34" x14ac:dyDescent="0.3">
      <c r="A40" s="3" t="s">
        <v>127</v>
      </c>
      <c r="B40" s="3" t="s">
        <v>128</v>
      </c>
      <c r="C40" s="3" t="s">
        <v>79</v>
      </c>
      <c r="D40" s="3" t="s">
        <v>23</v>
      </c>
      <c r="E40" s="3" t="s">
        <v>41</v>
      </c>
      <c r="F40" s="3" t="s">
        <v>25</v>
      </c>
      <c r="G40" s="3" t="s">
        <v>26</v>
      </c>
      <c r="H40" s="3" t="s">
        <v>27</v>
      </c>
      <c r="I40" s="3">
        <v>1</v>
      </c>
      <c r="J40" s="3">
        <v>8000</v>
      </c>
      <c r="K40" s="3">
        <v>10</v>
      </c>
      <c r="L40" s="3">
        <v>7200</v>
      </c>
      <c r="M40" s="3">
        <v>1538.42</v>
      </c>
      <c r="N40" s="3">
        <v>87</v>
      </c>
      <c r="O40" s="3">
        <v>10</v>
      </c>
      <c r="P40" s="3" t="s">
        <v>59</v>
      </c>
      <c r="Q40" s="3" t="s">
        <v>29</v>
      </c>
      <c r="R40" s="3">
        <v>2</v>
      </c>
      <c r="S40" s="3">
        <v>50957</v>
      </c>
      <c r="T40" s="3">
        <v>7027.61</v>
      </c>
      <c r="U40" s="3" t="str">
        <f t="shared" si="1"/>
        <v>Target Missed</v>
      </c>
      <c r="V40" s="3" t="str">
        <f t="shared" si="2"/>
        <v>No</v>
      </c>
      <c r="W40" s="3" t="str">
        <f t="shared" si="3"/>
        <v>No</v>
      </c>
      <c r="X40" s="3" t="str">
        <f t="shared" si="4"/>
        <v>Not Now</v>
      </c>
      <c r="Y40" s="3" t="str">
        <f t="shared" si="5"/>
        <v>No Reward</v>
      </c>
      <c r="Z40" s="3" t="str">
        <f t="shared" si="6"/>
        <v>No</v>
      </c>
      <c r="AA40" s="3" t="str">
        <f t="shared" si="7"/>
        <v>High</v>
      </c>
      <c r="AB40" s="3" t="str">
        <f t="shared" si="8"/>
        <v>Expensive</v>
      </c>
      <c r="AC40" s="3" t="str">
        <f t="shared" si="9"/>
        <v>VIP</v>
      </c>
      <c r="AD40" s="3" t="str">
        <f t="shared" si="10"/>
        <v>No</v>
      </c>
      <c r="AE40" s="3" t="str">
        <f t="shared" si="14"/>
        <v>Non Premium</v>
      </c>
      <c r="AF40" s="3" t="str">
        <f t="shared" si="11"/>
        <v>Non Returned</v>
      </c>
      <c r="AG40" s="3" t="str">
        <f t="shared" si="12"/>
        <v>Need Improvement</v>
      </c>
      <c r="AH40" s="3" t="str">
        <f t="shared" si="13"/>
        <v>Electronics</v>
      </c>
    </row>
    <row r="41" spans="1:34" x14ac:dyDescent="0.3">
      <c r="A41" s="3" t="s">
        <v>129</v>
      </c>
      <c r="B41" s="3" t="s">
        <v>130</v>
      </c>
      <c r="C41" s="3" t="s">
        <v>40</v>
      </c>
      <c r="D41" s="3" t="s">
        <v>47</v>
      </c>
      <c r="E41" s="3" t="s">
        <v>48</v>
      </c>
      <c r="F41" s="3" t="s">
        <v>58</v>
      </c>
      <c r="G41" s="3" t="s">
        <v>53</v>
      </c>
      <c r="H41" s="3" t="s">
        <v>43</v>
      </c>
      <c r="I41" s="3">
        <v>6</v>
      </c>
      <c r="J41" s="3">
        <v>3500</v>
      </c>
      <c r="K41" s="3">
        <v>10</v>
      </c>
      <c r="L41" s="3">
        <v>18900</v>
      </c>
      <c r="M41" s="3">
        <v>5426.08</v>
      </c>
      <c r="N41" s="3">
        <v>33</v>
      </c>
      <c r="O41" s="3">
        <v>10</v>
      </c>
      <c r="P41" s="3" t="s">
        <v>44</v>
      </c>
      <c r="Q41" s="3" t="s">
        <v>29</v>
      </c>
      <c r="R41" s="3">
        <v>3</v>
      </c>
      <c r="S41" s="3">
        <v>142260</v>
      </c>
      <c r="T41" s="3">
        <v>18375.349999999999</v>
      </c>
      <c r="U41" s="3" t="str">
        <f t="shared" si="1"/>
        <v>Target Missed</v>
      </c>
      <c r="V41" s="3" t="str">
        <f t="shared" si="2"/>
        <v>No</v>
      </c>
      <c r="W41" s="3" t="str">
        <f t="shared" si="3"/>
        <v>No</v>
      </c>
      <c r="X41" s="3" t="str">
        <f t="shared" si="4"/>
        <v>Not Now</v>
      </c>
      <c r="Y41" s="3" t="str">
        <f t="shared" si="5"/>
        <v>No Reward</v>
      </c>
      <c r="Z41" s="3" t="str">
        <f t="shared" si="6"/>
        <v>No</v>
      </c>
      <c r="AA41" s="3" t="str">
        <f t="shared" si="7"/>
        <v>Low</v>
      </c>
      <c r="AB41" s="3" t="str">
        <f t="shared" si="8"/>
        <v>Not</v>
      </c>
      <c r="AC41" s="3" t="str">
        <f t="shared" si="9"/>
        <v>No</v>
      </c>
      <c r="AD41" s="3" t="str">
        <f t="shared" si="10"/>
        <v>No</v>
      </c>
      <c r="AE41" s="3" t="str">
        <f t="shared" si="14"/>
        <v>Premium</v>
      </c>
      <c r="AF41" s="3" t="str">
        <f t="shared" si="11"/>
        <v>Non Returned</v>
      </c>
      <c r="AG41" s="3" t="str">
        <f t="shared" si="12"/>
        <v>Need Improvement</v>
      </c>
      <c r="AH41" s="3" t="str">
        <f t="shared" si="13"/>
        <v>Non Electronics</v>
      </c>
    </row>
    <row r="42" spans="1:34" x14ac:dyDescent="0.3">
      <c r="A42" s="3" t="s">
        <v>131</v>
      </c>
      <c r="B42" s="3" t="s">
        <v>132</v>
      </c>
      <c r="C42" s="3" t="s">
        <v>85</v>
      </c>
      <c r="D42" s="3" t="s">
        <v>23</v>
      </c>
      <c r="E42" s="3" t="s">
        <v>48</v>
      </c>
      <c r="F42" s="3" t="s">
        <v>70</v>
      </c>
      <c r="G42" s="3" t="s">
        <v>53</v>
      </c>
      <c r="H42" s="3" t="s">
        <v>43</v>
      </c>
      <c r="I42" s="3">
        <v>2</v>
      </c>
      <c r="J42" s="3">
        <v>1200</v>
      </c>
      <c r="K42" s="3">
        <v>0</v>
      </c>
      <c r="L42" s="3">
        <v>2400</v>
      </c>
      <c r="M42" s="3">
        <v>665.11</v>
      </c>
      <c r="N42" s="3">
        <v>96</v>
      </c>
      <c r="O42" s="3">
        <v>5</v>
      </c>
      <c r="P42" s="3" t="s">
        <v>59</v>
      </c>
      <c r="Q42" s="3" t="s">
        <v>37</v>
      </c>
      <c r="R42" s="3">
        <v>5</v>
      </c>
      <c r="S42" s="3">
        <v>87229</v>
      </c>
      <c r="T42" s="3">
        <v>2305.17</v>
      </c>
      <c r="U42" s="3" t="str">
        <f t="shared" si="1"/>
        <v>Target Missed</v>
      </c>
      <c r="V42" s="3" t="str">
        <f t="shared" si="2"/>
        <v>No</v>
      </c>
      <c r="W42" s="3" t="str">
        <f t="shared" si="3"/>
        <v>No</v>
      </c>
      <c r="X42" s="3" t="str">
        <f t="shared" si="4"/>
        <v>Not Now</v>
      </c>
      <c r="Y42" s="3" t="str">
        <f t="shared" si="5"/>
        <v>No Reward</v>
      </c>
      <c r="Z42" s="3" t="str">
        <f t="shared" si="6"/>
        <v>No</v>
      </c>
      <c r="AA42" s="3" t="str">
        <f t="shared" si="7"/>
        <v>High</v>
      </c>
      <c r="AB42" s="3" t="str">
        <f t="shared" si="8"/>
        <v>Not</v>
      </c>
      <c r="AC42" s="3" t="str">
        <f t="shared" si="9"/>
        <v>VIP</v>
      </c>
      <c r="AD42" s="3" t="str">
        <f t="shared" si="10"/>
        <v>No</v>
      </c>
      <c r="AE42" s="3" t="str">
        <f t="shared" si="14"/>
        <v>Non Premium</v>
      </c>
      <c r="AF42" s="3" t="str">
        <f t="shared" si="11"/>
        <v>Returned</v>
      </c>
      <c r="AG42" s="3" t="str">
        <f t="shared" si="12"/>
        <v>Need Improvement</v>
      </c>
      <c r="AH42" s="3" t="str">
        <f t="shared" si="13"/>
        <v>Non Electronics</v>
      </c>
    </row>
    <row r="43" spans="1:34" x14ac:dyDescent="0.3">
      <c r="A43" s="3" t="s">
        <v>133</v>
      </c>
      <c r="B43" s="3" t="s">
        <v>134</v>
      </c>
      <c r="C43" s="3" t="s">
        <v>51</v>
      </c>
      <c r="D43" s="3" t="s">
        <v>23</v>
      </c>
      <c r="E43" s="3" t="s">
        <v>41</v>
      </c>
      <c r="F43" s="3" t="s">
        <v>58</v>
      </c>
      <c r="G43" s="3" t="s">
        <v>66</v>
      </c>
      <c r="H43" s="3" t="s">
        <v>27</v>
      </c>
      <c r="I43" s="3">
        <v>6</v>
      </c>
      <c r="J43" s="3">
        <v>8000</v>
      </c>
      <c r="K43" s="3">
        <v>20</v>
      </c>
      <c r="L43" s="3">
        <v>38400</v>
      </c>
      <c r="M43" s="3">
        <v>9753.4500000000007</v>
      </c>
      <c r="N43" s="3">
        <v>39</v>
      </c>
      <c r="O43" s="3">
        <v>10</v>
      </c>
      <c r="P43" s="3" t="s">
        <v>44</v>
      </c>
      <c r="Q43" s="3" t="s">
        <v>37</v>
      </c>
      <c r="R43" s="3">
        <v>5</v>
      </c>
      <c r="S43" s="3">
        <v>118560</v>
      </c>
      <c r="T43" s="3">
        <v>44269.48</v>
      </c>
      <c r="U43" s="3" t="str">
        <f t="shared" si="1"/>
        <v>Target Missed</v>
      </c>
      <c r="V43" s="3" t="str">
        <f t="shared" si="2"/>
        <v>No</v>
      </c>
      <c r="W43" s="3" t="str">
        <f t="shared" si="3"/>
        <v>No</v>
      </c>
      <c r="X43" s="3" t="str">
        <f t="shared" si="4"/>
        <v>Not Now</v>
      </c>
      <c r="Y43" s="3" t="str">
        <f t="shared" si="5"/>
        <v>No Reward</v>
      </c>
      <c r="Z43" s="3" t="str">
        <f t="shared" si="6"/>
        <v>No</v>
      </c>
      <c r="AA43" s="3" t="str">
        <f t="shared" si="7"/>
        <v>High</v>
      </c>
      <c r="AB43" s="3" t="str">
        <f t="shared" si="8"/>
        <v>Expensive</v>
      </c>
      <c r="AC43" s="3" t="str">
        <f t="shared" si="9"/>
        <v>VIP</v>
      </c>
      <c r="AD43" s="3" t="str">
        <f t="shared" si="10"/>
        <v>No</v>
      </c>
      <c r="AE43" s="3" t="str">
        <f t="shared" si="14"/>
        <v>Non Premium</v>
      </c>
      <c r="AF43" s="3" t="str">
        <f t="shared" si="11"/>
        <v>Returned</v>
      </c>
      <c r="AG43" s="3" t="str">
        <f t="shared" si="12"/>
        <v>Need Improvement</v>
      </c>
      <c r="AH43" s="3" t="str">
        <f t="shared" si="13"/>
        <v>Electronics</v>
      </c>
    </row>
    <row r="44" spans="1:34" x14ac:dyDescent="0.3">
      <c r="A44" s="3" t="s">
        <v>135</v>
      </c>
      <c r="B44" s="3" t="s">
        <v>31</v>
      </c>
      <c r="C44" s="3" t="s">
        <v>136</v>
      </c>
      <c r="D44" s="3" t="s">
        <v>23</v>
      </c>
      <c r="E44" s="3" t="s">
        <v>24</v>
      </c>
      <c r="F44" s="3" t="s">
        <v>25</v>
      </c>
      <c r="G44" s="3" t="s">
        <v>42</v>
      </c>
      <c r="H44" s="3" t="s">
        <v>43</v>
      </c>
      <c r="I44" s="3">
        <v>2</v>
      </c>
      <c r="J44" s="3">
        <v>1200</v>
      </c>
      <c r="K44" s="3">
        <v>10</v>
      </c>
      <c r="L44" s="3">
        <v>2160</v>
      </c>
      <c r="M44" s="3">
        <v>292.62</v>
      </c>
      <c r="N44" s="3">
        <v>15</v>
      </c>
      <c r="O44" s="3">
        <v>7</v>
      </c>
      <c r="P44" s="3" t="s">
        <v>44</v>
      </c>
      <c r="Q44" s="3" t="s">
        <v>29</v>
      </c>
      <c r="R44" s="3">
        <v>3</v>
      </c>
      <c r="S44" s="3">
        <v>87612</v>
      </c>
      <c r="T44" s="3">
        <v>2207.94</v>
      </c>
      <c r="U44" s="3" t="str">
        <f t="shared" si="1"/>
        <v>Target Missed</v>
      </c>
      <c r="V44" s="3" t="str">
        <f t="shared" si="2"/>
        <v>No</v>
      </c>
      <c r="W44" s="3" t="str">
        <f t="shared" si="3"/>
        <v>No</v>
      </c>
      <c r="X44" s="3" t="str">
        <f t="shared" si="4"/>
        <v>Not Now</v>
      </c>
      <c r="Y44" s="3" t="str">
        <f t="shared" si="5"/>
        <v>No Reward</v>
      </c>
      <c r="Z44" s="3" t="str">
        <f t="shared" si="6"/>
        <v>No</v>
      </c>
      <c r="AA44" s="3" t="str">
        <f t="shared" si="7"/>
        <v>Low</v>
      </c>
      <c r="AB44" s="3" t="str">
        <f t="shared" si="8"/>
        <v>Not</v>
      </c>
      <c r="AC44" s="3" t="str">
        <f t="shared" si="9"/>
        <v>VIP</v>
      </c>
      <c r="AD44" s="3" t="str">
        <f t="shared" si="10"/>
        <v>No</v>
      </c>
      <c r="AE44" s="3" t="str">
        <f t="shared" si="14"/>
        <v>Non Premium</v>
      </c>
      <c r="AF44" s="3" t="str">
        <f t="shared" si="11"/>
        <v>Non Returned</v>
      </c>
      <c r="AG44" s="3" t="str">
        <f t="shared" si="12"/>
        <v>Need Improvement</v>
      </c>
      <c r="AH44" s="3" t="str">
        <f t="shared" si="13"/>
        <v>Non Electronics</v>
      </c>
    </row>
    <row r="45" spans="1:34" x14ac:dyDescent="0.3">
      <c r="A45" s="3" t="s">
        <v>137</v>
      </c>
      <c r="B45" s="3" t="s">
        <v>138</v>
      </c>
      <c r="C45" s="3" t="s">
        <v>77</v>
      </c>
      <c r="D45" s="3" t="s">
        <v>33</v>
      </c>
      <c r="E45" s="3" t="s">
        <v>41</v>
      </c>
      <c r="F45" s="3" t="s">
        <v>70</v>
      </c>
      <c r="G45" s="3" t="s">
        <v>66</v>
      </c>
      <c r="H45" s="3" t="s">
        <v>27</v>
      </c>
      <c r="I45" s="3">
        <v>7</v>
      </c>
      <c r="J45" s="3">
        <v>15000</v>
      </c>
      <c r="K45" s="3">
        <v>0</v>
      </c>
      <c r="L45" s="3">
        <v>105000</v>
      </c>
      <c r="M45" s="3">
        <v>555.34</v>
      </c>
      <c r="N45" s="3">
        <v>44</v>
      </c>
      <c r="O45" s="3">
        <v>5</v>
      </c>
      <c r="P45" s="3" t="s">
        <v>67</v>
      </c>
      <c r="Q45" s="3" t="s">
        <v>37</v>
      </c>
      <c r="R45" s="3">
        <v>2</v>
      </c>
      <c r="S45" s="3">
        <v>65464</v>
      </c>
      <c r="T45" s="3">
        <v>125208.66</v>
      </c>
      <c r="U45" s="3" t="str">
        <f t="shared" si="1"/>
        <v>Target Achieved</v>
      </c>
      <c r="V45" s="3" t="str">
        <f t="shared" si="2"/>
        <v>No</v>
      </c>
      <c r="W45" s="3" t="str">
        <f t="shared" si="3"/>
        <v>Yes</v>
      </c>
      <c r="X45" s="3" t="str">
        <f t="shared" si="4"/>
        <v>Not Now</v>
      </c>
      <c r="Y45" s="3" t="str">
        <f t="shared" si="5"/>
        <v>No Reward</v>
      </c>
      <c r="Z45" s="3" t="str">
        <f t="shared" si="6"/>
        <v>No</v>
      </c>
      <c r="AA45" s="3" t="str">
        <f t="shared" si="7"/>
        <v>High</v>
      </c>
      <c r="AB45" s="3" t="str">
        <f t="shared" si="8"/>
        <v>Expensive</v>
      </c>
      <c r="AC45" s="3" t="str">
        <f t="shared" si="9"/>
        <v>VIP</v>
      </c>
      <c r="AD45" s="3" t="str">
        <f t="shared" si="10"/>
        <v>Yes</v>
      </c>
      <c r="AE45" s="3" t="str">
        <f t="shared" si="14"/>
        <v>Non Premium</v>
      </c>
      <c r="AF45" s="3" t="str">
        <f t="shared" si="11"/>
        <v>Returned</v>
      </c>
      <c r="AG45" s="3" t="str">
        <f t="shared" si="12"/>
        <v>Not Need</v>
      </c>
      <c r="AH45" s="3" t="str">
        <f t="shared" si="13"/>
        <v>Electronics</v>
      </c>
    </row>
    <row r="46" spans="1:34" x14ac:dyDescent="0.3">
      <c r="A46" s="3" t="s">
        <v>139</v>
      </c>
      <c r="B46" s="3" t="s">
        <v>140</v>
      </c>
      <c r="C46" s="3" t="s">
        <v>85</v>
      </c>
      <c r="D46" s="3" t="s">
        <v>23</v>
      </c>
      <c r="E46" s="3" t="s">
        <v>48</v>
      </c>
      <c r="F46" s="3" t="s">
        <v>34</v>
      </c>
      <c r="G46" s="3" t="s">
        <v>80</v>
      </c>
      <c r="H46" s="3" t="s">
        <v>36</v>
      </c>
      <c r="I46" s="3">
        <v>7</v>
      </c>
      <c r="J46" s="3">
        <v>15000</v>
      </c>
      <c r="K46" s="3">
        <v>0</v>
      </c>
      <c r="L46" s="3">
        <v>105000</v>
      </c>
      <c r="M46" s="3">
        <v>22751.02</v>
      </c>
      <c r="N46" s="3">
        <v>15</v>
      </c>
      <c r="O46" s="3">
        <v>6</v>
      </c>
      <c r="P46" s="3" t="s">
        <v>67</v>
      </c>
      <c r="Q46" s="3" t="s">
        <v>29</v>
      </c>
      <c r="R46" s="3">
        <v>3</v>
      </c>
      <c r="S46" s="3">
        <v>91921</v>
      </c>
      <c r="T46" s="3">
        <v>90401.41</v>
      </c>
      <c r="U46" s="3" t="str">
        <f t="shared" si="1"/>
        <v>Target Missed</v>
      </c>
      <c r="V46" s="3" t="str">
        <f t="shared" si="2"/>
        <v>Yes</v>
      </c>
      <c r="W46" s="3" t="str">
        <f t="shared" si="3"/>
        <v>No</v>
      </c>
      <c r="X46" s="3" t="str">
        <f t="shared" si="4"/>
        <v>Not Now</v>
      </c>
      <c r="Y46" s="3" t="str">
        <f t="shared" si="5"/>
        <v>No Reward</v>
      </c>
      <c r="Z46" s="3" t="str">
        <f t="shared" si="6"/>
        <v>No</v>
      </c>
      <c r="AA46" s="3" t="str">
        <f t="shared" si="7"/>
        <v>Low</v>
      </c>
      <c r="AB46" s="3" t="str">
        <f t="shared" si="8"/>
        <v>Not</v>
      </c>
      <c r="AC46" s="3" t="str">
        <f t="shared" si="9"/>
        <v>VIP</v>
      </c>
      <c r="AD46" s="3" t="str">
        <f t="shared" si="10"/>
        <v>Yes</v>
      </c>
      <c r="AE46" s="3" t="str">
        <f t="shared" si="14"/>
        <v>Non Premium</v>
      </c>
      <c r="AF46" s="3" t="str">
        <f t="shared" si="11"/>
        <v>Non Returned</v>
      </c>
      <c r="AG46" s="3" t="str">
        <f t="shared" si="12"/>
        <v>Need Improvement</v>
      </c>
      <c r="AH46" s="3" t="str">
        <f t="shared" si="13"/>
        <v>Non Electronics</v>
      </c>
    </row>
    <row r="47" spans="1:34" x14ac:dyDescent="0.3">
      <c r="A47" s="3" t="s">
        <v>141</v>
      </c>
      <c r="B47" s="3" t="s">
        <v>142</v>
      </c>
      <c r="C47" s="3" t="s">
        <v>51</v>
      </c>
      <c r="D47" s="3" t="s">
        <v>47</v>
      </c>
      <c r="E47" s="3" t="s">
        <v>57</v>
      </c>
      <c r="F47" s="3" t="s">
        <v>25</v>
      </c>
      <c r="G47" s="3" t="s">
        <v>26</v>
      </c>
      <c r="H47" s="3" t="s">
        <v>27</v>
      </c>
      <c r="I47" s="3">
        <v>3</v>
      </c>
      <c r="J47" s="3">
        <v>3500</v>
      </c>
      <c r="K47" s="3">
        <v>20</v>
      </c>
      <c r="L47" s="3">
        <v>8400</v>
      </c>
      <c r="M47" s="3">
        <v>1425.68</v>
      </c>
      <c r="N47" s="3">
        <v>58</v>
      </c>
      <c r="O47" s="3">
        <v>1</v>
      </c>
      <c r="P47" s="3" t="s">
        <v>28</v>
      </c>
      <c r="Q47" s="3" t="s">
        <v>37</v>
      </c>
      <c r="R47" s="3">
        <v>1</v>
      </c>
      <c r="S47" s="3">
        <v>27751</v>
      </c>
      <c r="T47" s="3">
        <v>8568.7900000000009</v>
      </c>
      <c r="U47" s="3" t="str">
        <f t="shared" si="1"/>
        <v>Target Missed</v>
      </c>
      <c r="V47" s="3" t="str">
        <f t="shared" si="2"/>
        <v>No</v>
      </c>
      <c r="W47" s="3" t="str">
        <f t="shared" si="3"/>
        <v>No</v>
      </c>
      <c r="X47" s="3" t="str">
        <f t="shared" si="4"/>
        <v>Not Now</v>
      </c>
      <c r="Y47" s="3" t="str">
        <f t="shared" si="5"/>
        <v>No Reward</v>
      </c>
      <c r="Z47" s="3" t="str">
        <f t="shared" si="6"/>
        <v>No</v>
      </c>
      <c r="AA47" s="3" t="str">
        <f t="shared" si="7"/>
        <v>High</v>
      </c>
      <c r="AB47" s="3" t="str">
        <f t="shared" si="8"/>
        <v>Expensive</v>
      </c>
      <c r="AC47" s="3" t="str">
        <f t="shared" si="9"/>
        <v>No</v>
      </c>
      <c r="AD47" s="3" t="str">
        <f t="shared" si="10"/>
        <v>No</v>
      </c>
      <c r="AE47" s="3" t="str">
        <f t="shared" si="14"/>
        <v>Premium</v>
      </c>
      <c r="AF47" s="3" t="str">
        <f t="shared" si="11"/>
        <v>Returned</v>
      </c>
      <c r="AG47" s="3" t="str">
        <f t="shared" si="12"/>
        <v>Need Improvement</v>
      </c>
      <c r="AH47" s="3" t="str">
        <f t="shared" si="13"/>
        <v>Electronics</v>
      </c>
    </row>
    <row r="48" spans="1:34" x14ac:dyDescent="0.3">
      <c r="A48" s="3" t="s">
        <v>143</v>
      </c>
      <c r="B48" s="3" t="s">
        <v>69</v>
      </c>
      <c r="C48" s="3" t="s">
        <v>136</v>
      </c>
      <c r="D48" s="3" t="s">
        <v>23</v>
      </c>
      <c r="E48" s="3" t="s">
        <v>48</v>
      </c>
      <c r="F48" s="3" t="s">
        <v>34</v>
      </c>
      <c r="G48" s="3" t="s">
        <v>35</v>
      </c>
      <c r="H48" s="3" t="s">
        <v>36</v>
      </c>
      <c r="I48" s="3">
        <v>1</v>
      </c>
      <c r="J48" s="3">
        <v>65000</v>
      </c>
      <c r="K48" s="3">
        <v>0</v>
      </c>
      <c r="L48" s="3">
        <v>65000</v>
      </c>
      <c r="M48" s="3">
        <v>1504.22</v>
      </c>
      <c r="N48" s="3">
        <v>61</v>
      </c>
      <c r="O48" s="3">
        <v>10</v>
      </c>
      <c r="P48" s="3" t="s">
        <v>28</v>
      </c>
      <c r="Q48" s="3" t="s">
        <v>29</v>
      </c>
      <c r="R48" s="3">
        <v>2</v>
      </c>
      <c r="S48" s="3">
        <v>12113</v>
      </c>
      <c r="T48" s="3">
        <v>68285.53</v>
      </c>
      <c r="U48" s="3" t="str">
        <f t="shared" si="1"/>
        <v>Target Achieved</v>
      </c>
      <c r="V48" s="3" t="str">
        <f t="shared" si="2"/>
        <v>No</v>
      </c>
      <c r="W48" s="3" t="str">
        <f t="shared" si="3"/>
        <v>Yes</v>
      </c>
      <c r="X48" s="3" t="str">
        <f t="shared" si="4"/>
        <v>Not Now</v>
      </c>
      <c r="Y48" s="3" t="str">
        <f t="shared" si="5"/>
        <v>No Reward</v>
      </c>
      <c r="Z48" s="3" t="str">
        <f t="shared" si="6"/>
        <v>No</v>
      </c>
      <c r="AA48" s="3" t="str">
        <f t="shared" si="7"/>
        <v>High</v>
      </c>
      <c r="AB48" s="3" t="str">
        <f t="shared" si="8"/>
        <v>Expensive</v>
      </c>
      <c r="AC48" s="3" t="str">
        <f t="shared" si="9"/>
        <v>VIP</v>
      </c>
      <c r="AD48" s="3" t="str">
        <f t="shared" si="10"/>
        <v>No</v>
      </c>
      <c r="AE48" s="3" t="str">
        <f t="shared" si="14"/>
        <v>Non Premium</v>
      </c>
      <c r="AF48" s="3" t="str">
        <f t="shared" si="11"/>
        <v>Non Returned</v>
      </c>
      <c r="AG48" s="3" t="str">
        <f t="shared" si="12"/>
        <v>Not Need</v>
      </c>
      <c r="AH48" s="3" t="str">
        <f t="shared" si="13"/>
        <v>Non Electronics</v>
      </c>
    </row>
    <row r="49" spans="1:34" x14ac:dyDescent="0.3">
      <c r="A49" s="3" t="s">
        <v>144</v>
      </c>
      <c r="B49" s="3" t="s">
        <v>145</v>
      </c>
      <c r="C49" s="3" t="s">
        <v>22</v>
      </c>
      <c r="D49" s="3" t="s">
        <v>33</v>
      </c>
      <c r="E49" s="3" t="s">
        <v>48</v>
      </c>
      <c r="F49" s="3" t="s">
        <v>70</v>
      </c>
      <c r="G49" s="3" t="s">
        <v>53</v>
      </c>
      <c r="H49" s="3" t="s">
        <v>43</v>
      </c>
      <c r="I49" s="3">
        <v>6</v>
      </c>
      <c r="J49" s="3">
        <v>8000</v>
      </c>
      <c r="K49" s="3">
        <v>15</v>
      </c>
      <c r="L49" s="3">
        <v>40800</v>
      </c>
      <c r="M49" s="3">
        <v>-504.62</v>
      </c>
      <c r="N49" s="3">
        <v>70</v>
      </c>
      <c r="O49" s="3">
        <v>10</v>
      </c>
      <c r="P49" s="3" t="s">
        <v>59</v>
      </c>
      <c r="Q49" s="3" t="s">
        <v>29</v>
      </c>
      <c r="R49" s="3">
        <v>2</v>
      </c>
      <c r="S49" s="3">
        <v>52926</v>
      </c>
      <c r="T49" s="3">
        <v>34881.1</v>
      </c>
      <c r="U49" s="3" t="str">
        <f t="shared" si="1"/>
        <v>Target Missed</v>
      </c>
      <c r="V49" s="3" t="str">
        <f t="shared" si="2"/>
        <v>No</v>
      </c>
      <c r="W49" s="3" t="str">
        <f t="shared" si="3"/>
        <v>No</v>
      </c>
      <c r="X49" s="3" t="str">
        <f t="shared" si="4"/>
        <v>Not Now</v>
      </c>
      <c r="Y49" s="3" t="str">
        <f t="shared" si="5"/>
        <v>No Reward</v>
      </c>
      <c r="Z49" s="3" t="str">
        <f t="shared" si="6"/>
        <v>No</v>
      </c>
      <c r="AA49" s="3" t="str">
        <f t="shared" si="7"/>
        <v>High</v>
      </c>
      <c r="AB49" s="3" t="str">
        <f t="shared" si="8"/>
        <v>Not</v>
      </c>
      <c r="AC49" s="3" t="str">
        <f t="shared" si="9"/>
        <v>No</v>
      </c>
      <c r="AD49" s="3" t="str">
        <f t="shared" si="10"/>
        <v>No</v>
      </c>
      <c r="AE49" s="3" t="str">
        <f t="shared" si="14"/>
        <v>Non Premium</v>
      </c>
      <c r="AF49" s="3" t="str">
        <f t="shared" si="11"/>
        <v>Non Returned</v>
      </c>
      <c r="AG49" s="3" t="str">
        <f t="shared" si="12"/>
        <v>Need Improvement</v>
      </c>
      <c r="AH49" s="3" t="str">
        <f t="shared" si="13"/>
        <v>Non Electronics</v>
      </c>
    </row>
    <row r="50" spans="1:34" x14ac:dyDescent="0.3">
      <c r="A50" s="3" t="s">
        <v>146</v>
      </c>
      <c r="B50" s="3" t="s">
        <v>147</v>
      </c>
      <c r="C50" s="3" t="s">
        <v>51</v>
      </c>
      <c r="D50" s="3" t="s">
        <v>23</v>
      </c>
      <c r="E50" s="3" t="s">
        <v>24</v>
      </c>
      <c r="F50" s="3" t="s">
        <v>34</v>
      </c>
      <c r="G50" s="3" t="s">
        <v>66</v>
      </c>
      <c r="H50" s="3" t="s">
        <v>27</v>
      </c>
      <c r="I50" s="3">
        <v>5</v>
      </c>
      <c r="J50" s="3">
        <v>500</v>
      </c>
      <c r="K50" s="3">
        <v>0</v>
      </c>
      <c r="L50" s="3">
        <v>2500</v>
      </c>
      <c r="M50" s="3">
        <v>428.84</v>
      </c>
      <c r="N50" s="3">
        <v>39</v>
      </c>
      <c r="O50" s="3">
        <v>4</v>
      </c>
      <c r="P50" s="3" t="s">
        <v>28</v>
      </c>
      <c r="Q50" s="3" t="s">
        <v>29</v>
      </c>
      <c r="R50" s="3">
        <v>4</v>
      </c>
      <c r="S50" s="3">
        <v>66587</v>
      </c>
      <c r="T50" s="3">
        <v>2753.49</v>
      </c>
      <c r="U50" s="3" t="str">
        <f t="shared" si="1"/>
        <v>Target Missed</v>
      </c>
      <c r="V50" s="3" t="str">
        <f t="shared" si="2"/>
        <v>No</v>
      </c>
      <c r="W50" s="3" t="str">
        <f t="shared" si="3"/>
        <v>No</v>
      </c>
      <c r="X50" s="3" t="str">
        <f t="shared" si="4"/>
        <v>Not Now</v>
      </c>
      <c r="Y50" s="3" t="str">
        <f t="shared" si="5"/>
        <v>No Reward</v>
      </c>
      <c r="Z50" s="3" t="str">
        <f t="shared" si="6"/>
        <v>No</v>
      </c>
      <c r="AA50" s="3" t="str">
        <f t="shared" si="7"/>
        <v>Low</v>
      </c>
      <c r="AB50" s="3" t="str">
        <f t="shared" si="8"/>
        <v>Expensive</v>
      </c>
      <c r="AC50" s="3" t="str">
        <f t="shared" si="9"/>
        <v>VIP</v>
      </c>
      <c r="AD50" s="3" t="str">
        <f t="shared" si="10"/>
        <v>No</v>
      </c>
      <c r="AE50" s="3" t="str">
        <f t="shared" si="14"/>
        <v>Non Premium</v>
      </c>
      <c r="AF50" s="3" t="str">
        <f t="shared" si="11"/>
        <v>Non Returned</v>
      </c>
      <c r="AG50" s="3" t="str">
        <f t="shared" si="12"/>
        <v>Need Improvement</v>
      </c>
      <c r="AH50" s="3" t="str">
        <f t="shared" si="13"/>
        <v>Electronics</v>
      </c>
    </row>
    <row r="51" spans="1:34" x14ac:dyDescent="0.3">
      <c r="A51" s="3" t="s">
        <v>148</v>
      </c>
      <c r="B51" s="3" t="s">
        <v>31</v>
      </c>
      <c r="C51" s="3" t="s">
        <v>32</v>
      </c>
      <c r="D51" s="3" t="s">
        <v>47</v>
      </c>
      <c r="E51" s="3" t="s">
        <v>57</v>
      </c>
      <c r="F51" s="3" t="s">
        <v>52</v>
      </c>
      <c r="G51" s="3" t="s">
        <v>42</v>
      </c>
      <c r="H51" s="3" t="s">
        <v>43</v>
      </c>
      <c r="I51" s="3">
        <v>5</v>
      </c>
      <c r="J51" s="3">
        <v>65000</v>
      </c>
      <c r="K51" s="3">
        <v>5</v>
      </c>
      <c r="L51" s="3">
        <v>308750</v>
      </c>
      <c r="M51" s="3">
        <v>8887.48</v>
      </c>
      <c r="N51" s="3">
        <v>62</v>
      </c>
      <c r="O51" s="3">
        <v>4</v>
      </c>
      <c r="P51" s="3" t="s">
        <v>44</v>
      </c>
      <c r="Q51" s="3" t="s">
        <v>37</v>
      </c>
      <c r="R51" s="3">
        <v>1</v>
      </c>
      <c r="S51" s="3">
        <v>147908</v>
      </c>
      <c r="T51" s="3">
        <v>359698.57</v>
      </c>
      <c r="U51" s="3" t="str">
        <f t="shared" si="1"/>
        <v>Target Achieved</v>
      </c>
      <c r="V51" s="3" t="str">
        <f t="shared" si="2"/>
        <v>No</v>
      </c>
      <c r="W51" s="3" t="str">
        <f t="shared" si="3"/>
        <v>No</v>
      </c>
      <c r="X51" s="3" t="str">
        <f t="shared" si="4"/>
        <v>Not Now</v>
      </c>
      <c r="Y51" s="3" t="str">
        <f t="shared" si="5"/>
        <v>Reward</v>
      </c>
      <c r="Z51" s="3" t="str">
        <f t="shared" si="6"/>
        <v>No</v>
      </c>
      <c r="AA51" s="3" t="str">
        <f t="shared" si="7"/>
        <v>High</v>
      </c>
      <c r="AB51" s="3" t="str">
        <f t="shared" si="8"/>
        <v>Expensive</v>
      </c>
      <c r="AC51" s="3" t="str">
        <f t="shared" si="9"/>
        <v>VIP</v>
      </c>
      <c r="AD51" s="3" t="str">
        <f t="shared" si="10"/>
        <v>Yes</v>
      </c>
      <c r="AE51" s="3" t="str">
        <f t="shared" si="14"/>
        <v>Premium</v>
      </c>
      <c r="AF51" s="3" t="str">
        <f t="shared" si="11"/>
        <v>Returned</v>
      </c>
      <c r="AG51" s="3" t="str">
        <f t="shared" si="12"/>
        <v>Not Need</v>
      </c>
      <c r="AH51" s="3" t="str">
        <f t="shared" si="13"/>
        <v>Non Electronics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8C25-AAF4-4D95-AEDA-D703873C154E}">
  <dimension ref="A1:Y51"/>
  <sheetViews>
    <sheetView topLeftCell="I1" workbookViewId="0">
      <selection activeCell="V12" sqref="V12"/>
    </sheetView>
  </sheetViews>
  <sheetFormatPr defaultRowHeight="14.4" x14ac:dyDescent="0.3"/>
  <cols>
    <col min="1" max="1" width="8.6640625" bestFit="1" customWidth="1"/>
    <col min="2" max="2" width="10.6640625" bestFit="1" customWidth="1"/>
    <col min="3" max="3" width="15.21875" bestFit="1" customWidth="1"/>
    <col min="4" max="4" width="14.33203125" bestFit="1" customWidth="1"/>
    <col min="5" max="5" width="6.77734375" bestFit="1" customWidth="1"/>
    <col min="6" max="6" width="11" bestFit="1" customWidth="1"/>
    <col min="7" max="7" width="9.21875" bestFit="1" customWidth="1"/>
    <col min="8" max="8" width="13.109375" bestFit="1" customWidth="1"/>
    <col min="9" max="9" width="8.33203125" bestFit="1" customWidth="1"/>
    <col min="10" max="10" width="9.6640625" bestFit="1" customWidth="1"/>
    <col min="11" max="11" width="10.77734375" bestFit="1" customWidth="1"/>
    <col min="12" max="12" width="7" bestFit="1" customWidth="1"/>
    <col min="13" max="13" width="10" bestFit="1" customWidth="1"/>
    <col min="14" max="14" width="14.44140625" bestFit="1" customWidth="1"/>
    <col min="15" max="15" width="12.77734375" bestFit="1" customWidth="1"/>
    <col min="16" max="16" width="14.6640625" bestFit="1" customWidth="1"/>
    <col min="17" max="17" width="8.77734375" bestFit="1" customWidth="1"/>
    <col min="18" max="18" width="15.5546875" bestFit="1" customWidth="1"/>
    <col min="19" max="19" width="7" bestFit="1" customWidth="1"/>
    <col min="20" max="20" width="11.5546875" bestFit="1" customWidth="1"/>
    <col min="21" max="21" width="13.6640625" customWidth="1"/>
    <col min="22" max="22" width="17" customWidth="1"/>
    <col min="23" max="23" width="16.5546875" customWidth="1"/>
    <col min="24" max="24" width="16.77734375" customWidth="1"/>
    <col min="25" max="25" width="20.6640625" customWidth="1"/>
  </cols>
  <sheetData>
    <row r="1" spans="1:25" s="4" customForma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t="s">
        <v>169</v>
      </c>
      <c r="V1" t="s">
        <v>170</v>
      </c>
      <c r="W1" t="s">
        <v>171</v>
      </c>
      <c r="X1" t="s">
        <v>172</v>
      </c>
      <c r="Y1" t="s">
        <v>173</v>
      </c>
    </row>
    <row r="2" spans="1:25" x14ac:dyDescent="0.3">
      <c r="A2" s="6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>
        <v>4</v>
      </c>
      <c r="J2" s="3">
        <v>500</v>
      </c>
      <c r="K2" s="3">
        <v>15</v>
      </c>
      <c r="L2" s="3">
        <v>1700</v>
      </c>
      <c r="M2" s="3">
        <v>51.99</v>
      </c>
      <c r="N2" s="3">
        <v>91</v>
      </c>
      <c r="O2" s="3">
        <v>5</v>
      </c>
      <c r="P2" s="3" t="s">
        <v>28</v>
      </c>
      <c r="Q2" s="3" t="s">
        <v>29</v>
      </c>
      <c r="R2" s="3">
        <v>2</v>
      </c>
      <c r="S2" s="3">
        <v>132243</v>
      </c>
      <c r="T2" s="3">
        <v>2015.5</v>
      </c>
      <c r="U2" s="17" t="str" cm="1">
        <f t="array" ref="U2">_xlfn.IFS(L2&gt;=100000,"Platinum",L2&gt;=70000,"Gold",L2&gt;=40000,"Silver",L2&lt;40000,"Bronze")</f>
        <v>Bronze</v>
      </c>
      <c r="V2" s="3" t="str" cm="1">
        <f t="array" ref="V2">_xlfn.IFS(R2=5,"Excellent",R2=4,"Good",R2=3,"Average",R2=2,"Poor",R2=1,"Bad")</f>
        <v>Poor</v>
      </c>
      <c r="W2" s="3" t="str" cm="1">
        <f t="array" ref="W2">_xlfn.IFS(O2&lt;=2,"Express",O2&lt;=5,"Fast",O2&lt;=7,"Normal",O2&gt;7,"Delayed")</f>
        <v>Fast</v>
      </c>
      <c r="X2" s="3" t="str" cm="1">
        <f t="array" ref="X2">_xlfn.IFS(M2&gt;30000,"Excellent",M2&gt;15000,"Good",M2&gt;5000,"Average",M2&lt;=50000,"Poor")</f>
        <v>Poor</v>
      </c>
      <c r="Y2" s="14" t="str" cm="1">
        <f t="array" ref="Y2">_xlfn.IFS(L2&gt;100000,"5%",L2&gt;50000,"10%",L2&lt;=50000,"15%")</f>
        <v>15%</v>
      </c>
    </row>
    <row r="3" spans="1:25" x14ac:dyDescent="0.3">
      <c r="A3" s="6" t="s">
        <v>30</v>
      </c>
      <c r="B3" s="3" t="s">
        <v>31</v>
      </c>
      <c r="C3" s="3" t="s">
        <v>32</v>
      </c>
      <c r="D3" s="3" t="s">
        <v>33</v>
      </c>
      <c r="E3" s="3" t="s">
        <v>24</v>
      </c>
      <c r="F3" s="3" t="s">
        <v>34</v>
      </c>
      <c r="G3" s="3" t="s">
        <v>35</v>
      </c>
      <c r="H3" s="3" t="s">
        <v>36</v>
      </c>
      <c r="I3" s="3">
        <v>4</v>
      </c>
      <c r="J3" s="3">
        <v>500</v>
      </c>
      <c r="K3" s="3">
        <v>10</v>
      </c>
      <c r="L3" s="3">
        <v>1800</v>
      </c>
      <c r="M3" s="3">
        <v>487.97</v>
      </c>
      <c r="N3" s="3">
        <v>64</v>
      </c>
      <c r="O3" s="3">
        <v>7</v>
      </c>
      <c r="P3" s="3" t="s">
        <v>28</v>
      </c>
      <c r="Q3" s="3" t="s">
        <v>37</v>
      </c>
      <c r="R3" s="3">
        <v>4</v>
      </c>
      <c r="S3" s="3">
        <v>104471</v>
      </c>
      <c r="T3" s="3">
        <v>2019.21</v>
      </c>
      <c r="U3" s="17" t="str" cm="1">
        <f t="array" ref="U3">_xlfn.IFS(L3&gt;=100000,"Platinum",L3&gt;=70000,"Gold",L3&gt;=40000,"Silver",L3&lt;40000,"Bronze")</f>
        <v>Bronze</v>
      </c>
      <c r="V3" s="3" t="str" cm="1">
        <f t="array" ref="V3">_xlfn.IFS(R3=5,"Excellent",R3=4,"Good",R3=3,"Average",R3=2,"Poor",R3=1,"Bad")</f>
        <v>Good</v>
      </c>
      <c r="W3" s="3" t="str" cm="1">
        <f t="array" ref="W3">_xlfn.IFS(O3&lt;=2,"Express",O3&lt;=5,"Fast",O3&lt;=7,"Normal",O3&gt;7,"Delayed")</f>
        <v>Normal</v>
      </c>
      <c r="X3" s="3" t="str" cm="1">
        <f t="array" ref="X3">_xlfn.IFS(M3&gt;30000,"Excellent",M3&gt;15000,"Good",M3&gt;5000,"Average",M3&lt;=50000,"Poor")</f>
        <v>Poor</v>
      </c>
      <c r="Y3" s="14" t="str" cm="1">
        <f t="array" ref="Y3">_xlfn.IFS(L3&gt;100000,"5%",L3&gt;50000,"10%",L3&lt;=50000,"15%")</f>
        <v>15%</v>
      </c>
    </row>
    <row r="4" spans="1:25" x14ac:dyDescent="0.3">
      <c r="A4" s="6" t="s">
        <v>38</v>
      </c>
      <c r="B4" s="3" t="s">
        <v>39</v>
      </c>
      <c r="C4" s="3" t="s">
        <v>40</v>
      </c>
      <c r="D4" s="3" t="s">
        <v>23</v>
      </c>
      <c r="E4" s="3" t="s">
        <v>41</v>
      </c>
      <c r="F4" s="3" t="s">
        <v>34</v>
      </c>
      <c r="G4" s="3" t="s">
        <v>42</v>
      </c>
      <c r="H4" s="3" t="s">
        <v>43</v>
      </c>
      <c r="I4" s="3">
        <v>10</v>
      </c>
      <c r="J4" s="3">
        <v>1200</v>
      </c>
      <c r="K4" s="3">
        <v>20</v>
      </c>
      <c r="L4" s="3">
        <v>9600</v>
      </c>
      <c r="M4" s="3">
        <v>-169.53</v>
      </c>
      <c r="N4" s="3">
        <v>88</v>
      </c>
      <c r="O4" s="3">
        <v>5</v>
      </c>
      <c r="P4" s="3" t="s">
        <v>44</v>
      </c>
      <c r="Q4" s="3" t="s">
        <v>29</v>
      </c>
      <c r="R4" s="3">
        <v>3</v>
      </c>
      <c r="S4" s="3">
        <v>10899</v>
      </c>
      <c r="T4" s="3">
        <v>7827.1</v>
      </c>
      <c r="U4" s="17" t="str" cm="1">
        <f t="array" ref="U4">_xlfn.IFS(L4&gt;=100000,"Platinum",L4&gt;=70000,"Gold",L4&gt;=40000,"Silver",L4&lt;40000,"Bronze")</f>
        <v>Bronze</v>
      </c>
      <c r="V4" s="3" t="str" cm="1">
        <f t="array" ref="V4">_xlfn.IFS(R4=5,"Excellent",R4=4,"Good",R4=3,"Average",R4=2,"Poor",R4=1,"Bad")</f>
        <v>Average</v>
      </c>
      <c r="W4" s="3" t="str" cm="1">
        <f t="array" ref="W4">_xlfn.IFS(O4&lt;=2,"Express",O4&lt;=5,"Fast",O4&lt;=7,"Normal",O4&gt;7,"Delayed")</f>
        <v>Fast</v>
      </c>
      <c r="X4" s="3" t="str" cm="1">
        <f t="array" ref="X4">_xlfn.IFS(M4&gt;30000,"Excellent",M4&gt;15000,"Good",M4&gt;5000,"Average",M4&lt;=50000,"Poor")</f>
        <v>Poor</v>
      </c>
      <c r="Y4" s="14" t="str" cm="1">
        <f t="array" ref="Y4">_xlfn.IFS(L4&gt;100000,"5%",L4&gt;50000,"10%",L4&lt;=50000,"15%")</f>
        <v>15%</v>
      </c>
    </row>
    <row r="5" spans="1:25" x14ac:dyDescent="0.3">
      <c r="A5" s="6" t="s">
        <v>45</v>
      </c>
      <c r="B5" s="3" t="s">
        <v>46</v>
      </c>
      <c r="C5" s="3" t="s">
        <v>22</v>
      </c>
      <c r="D5" s="3" t="s">
        <v>47</v>
      </c>
      <c r="E5" s="3" t="s">
        <v>48</v>
      </c>
      <c r="F5" s="3" t="s">
        <v>34</v>
      </c>
      <c r="G5" s="3" t="s">
        <v>35</v>
      </c>
      <c r="H5" s="3" t="s">
        <v>36</v>
      </c>
      <c r="I5" s="3">
        <v>1</v>
      </c>
      <c r="J5" s="3">
        <v>45000</v>
      </c>
      <c r="K5" s="3">
        <v>20</v>
      </c>
      <c r="L5" s="3">
        <v>36000</v>
      </c>
      <c r="M5" s="3">
        <v>1792.12</v>
      </c>
      <c r="N5" s="3">
        <v>62</v>
      </c>
      <c r="O5" s="3">
        <v>4</v>
      </c>
      <c r="P5" s="3" t="s">
        <v>28</v>
      </c>
      <c r="Q5" s="3" t="s">
        <v>29</v>
      </c>
      <c r="R5" s="3">
        <v>5</v>
      </c>
      <c r="S5" s="3">
        <v>131058</v>
      </c>
      <c r="T5" s="3">
        <v>41969.91</v>
      </c>
      <c r="U5" s="17" t="str" cm="1">
        <f t="array" ref="U5">_xlfn.IFS(L5&gt;=100000,"Platinum",L5&gt;=70000,"Gold",L5&gt;=40000,"Silver",L5&lt;40000,"Bronze")</f>
        <v>Bronze</v>
      </c>
      <c r="V5" s="3" t="str" cm="1">
        <f t="array" ref="V5">_xlfn.IFS(R5=5,"Excellent",R5=4,"Good",R5=3,"Average",R5=2,"Poor",R5=1,"Bad")</f>
        <v>Excellent</v>
      </c>
      <c r="W5" s="3" t="str" cm="1">
        <f t="array" ref="W5">_xlfn.IFS(O5&lt;=2,"Express",O5&lt;=5,"Fast",O5&lt;=7,"Normal",O5&gt;7,"Delayed")</f>
        <v>Fast</v>
      </c>
      <c r="X5" s="3" t="str" cm="1">
        <f t="array" ref="X5">_xlfn.IFS(M5&gt;30000,"Excellent",M5&gt;15000,"Good",M5&gt;5000,"Average",M5&lt;=50000,"Poor")</f>
        <v>Poor</v>
      </c>
      <c r="Y5" s="14" t="str" cm="1">
        <f t="array" ref="Y5">_xlfn.IFS(L5&gt;100000,"5%",L5&gt;50000,"10%",L5&lt;=50000,"15%")</f>
        <v>15%</v>
      </c>
    </row>
    <row r="6" spans="1:25" x14ac:dyDescent="0.3">
      <c r="A6" s="6" t="s">
        <v>49</v>
      </c>
      <c r="B6" s="3" t="s">
        <v>50</v>
      </c>
      <c r="C6" s="3" t="s">
        <v>51</v>
      </c>
      <c r="D6" s="3" t="s">
        <v>47</v>
      </c>
      <c r="E6" s="3" t="s">
        <v>24</v>
      </c>
      <c r="F6" s="3" t="s">
        <v>52</v>
      </c>
      <c r="G6" s="3" t="s">
        <v>53</v>
      </c>
      <c r="H6" s="3" t="s">
        <v>43</v>
      </c>
      <c r="I6" s="3">
        <v>8</v>
      </c>
      <c r="J6" s="3">
        <v>1200</v>
      </c>
      <c r="K6" s="3">
        <v>5</v>
      </c>
      <c r="L6" s="3">
        <v>9120</v>
      </c>
      <c r="M6" s="3">
        <v>349.33</v>
      </c>
      <c r="N6" s="3">
        <v>69</v>
      </c>
      <c r="O6" s="3">
        <v>1</v>
      </c>
      <c r="P6" s="3" t="s">
        <v>44</v>
      </c>
      <c r="Q6" s="3" t="s">
        <v>29</v>
      </c>
      <c r="R6" s="3">
        <v>2</v>
      </c>
      <c r="S6" s="3">
        <v>119588</v>
      </c>
      <c r="T6" s="3">
        <v>7299.86</v>
      </c>
      <c r="U6" s="17" t="str" cm="1">
        <f t="array" ref="U6">_xlfn.IFS(L6&gt;=100000,"Platinum",L6&gt;=70000,"Gold",L6&gt;=40000,"Silver",L6&lt;40000,"Bronze")</f>
        <v>Bronze</v>
      </c>
      <c r="V6" s="3" t="str" cm="1">
        <f t="array" ref="V6">_xlfn.IFS(R6=5,"Excellent",R6=4,"Good",R6=3,"Average",R6=2,"Poor",R6=1,"Bad")</f>
        <v>Poor</v>
      </c>
      <c r="W6" s="3" t="str" cm="1">
        <f t="array" ref="W6">_xlfn.IFS(O6&lt;=2,"Express",O6&lt;=5,"Fast",O6&lt;=7,"Normal",O6&gt;7,"Delayed")</f>
        <v>Express</v>
      </c>
      <c r="X6" s="3" t="str" cm="1">
        <f t="array" ref="X6">_xlfn.IFS(M6&gt;30000,"Excellent",M6&gt;15000,"Good",M6&gt;5000,"Average",M6&lt;=50000,"Poor")</f>
        <v>Poor</v>
      </c>
      <c r="Y6" s="14" t="str" cm="1">
        <f t="array" ref="Y6">_xlfn.IFS(L6&gt;100000,"5%",L6&gt;50000,"10%",L6&lt;=50000,"15%")</f>
        <v>15%</v>
      </c>
    </row>
    <row r="7" spans="1:25" x14ac:dyDescent="0.3">
      <c r="A7" s="6" t="s">
        <v>54</v>
      </c>
      <c r="B7" s="3" t="s">
        <v>55</v>
      </c>
      <c r="C7" s="3" t="s">
        <v>56</v>
      </c>
      <c r="D7" s="3" t="s">
        <v>47</v>
      </c>
      <c r="E7" s="3" t="s">
        <v>57</v>
      </c>
      <c r="F7" s="3" t="s">
        <v>58</v>
      </c>
      <c r="G7" s="3" t="s">
        <v>35</v>
      </c>
      <c r="H7" s="3" t="s">
        <v>36</v>
      </c>
      <c r="I7" s="3">
        <v>1</v>
      </c>
      <c r="J7" s="3">
        <v>8000</v>
      </c>
      <c r="K7" s="3">
        <v>5</v>
      </c>
      <c r="L7" s="3">
        <v>7600</v>
      </c>
      <c r="M7" s="3">
        <v>604.42999999999995</v>
      </c>
      <c r="N7" s="3">
        <v>99</v>
      </c>
      <c r="O7" s="3">
        <v>5</v>
      </c>
      <c r="P7" s="3" t="s">
        <v>59</v>
      </c>
      <c r="Q7" s="3" t="s">
        <v>29</v>
      </c>
      <c r="R7" s="3">
        <v>3</v>
      </c>
      <c r="S7" s="3">
        <v>132166</v>
      </c>
      <c r="T7" s="3">
        <v>8696.07</v>
      </c>
      <c r="U7" s="17" t="str" cm="1">
        <f t="array" ref="U7">_xlfn.IFS(L7&gt;=100000,"Platinum",L7&gt;=70000,"Gold",L7&gt;=40000,"Silver",L7&lt;40000,"Bronze")</f>
        <v>Bronze</v>
      </c>
      <c r="V7" s="3" t="str" cm="1">
        <f t="array" ref="V7">_xlfn.IFS(R7=5,"Excellent",R7=4,"Good",R7=3,"Average",R7=2,"Poor",R7=1,"Bad")</f>
        <v>Average</v>
      </c>
      <c r="W7" s="3" t="str" cm="1">
        <f t="array" ref="W7">_xlfn.IFS(O7&lt;=2,"Express",O7&lt;=5,"Fast",O7&lt;=7,"Normal",O7&gt;7,"Delayed")</f>
        <v>Fast</v>
      </c>
      <c r="X7" s="3" t="str" cm="1">
        <f t="array" ref="X7">_xlfn.IFS(M7&gt;30000,"Excellent",M7&gt;15000,"Good",M7&gt;5000,"Average",M7&lt;=50000,"Poor")</f>
        <v>Poor</v>
      </c>
      <c r="Y7" s="14" t="str" cm="1">
        <f t="array" ref="Y7">_xlfn.IFS(L7&gt;100000,"5%",L7&gt;50000,"10%",L7&lt;=50000,"15%")</f>
        <v>15%</v>
      </c>
    </row>
    <row r="8" spans="1:25" x14ac:dyDescent="0.3">
      <c r="A8" s="6" t="s">
        <v>60</v>
      </c>
      <c r="B8" s="3" t="s">
        <v>61</v>
      </c>
      <c r="C8" s="3" t="s">
        <v>32</v>
      </c>
      <c r="D8" s="3" t="s">
        <v>33</v>
      </c>
      <c r="E8" s="3" t="s">
        <v>41</v>
      </c>
      <c r="F8" s="3" t="s">
        <v>34</v>
      </c>
      <c r="G8" s="3" t="s">
        <v>35</v>
      </c>
      <c r="H8" s="3" t="s">
        <v>36</v>
      </c>
      <c r="I8" s="3">
        <v>2</v>
      </c>
      <c r="J8" s="3">
        <v>65000</v>
      </c>
      <c r="K8" s="3">
        <v>10</v>
      </c>
      <c r="L8" s="3">
        <v>117000</v>
      </c>
      <c r="M8" s="3">
        <v>27229.17</v>
      </c>
      <c r="N8" s="3">
        <v>43</v>
      </c>
      <c r="O8" s="3">
        <v>1</v>
      </c>
      <c r="P8" s="3" t="s">
        <v>59</v>
      </c>
      <c r="Q8" s="3" t="s">
        <v>29</v>
      </c>
      <c r="R8" s="3">
        <v>1</v>
      </c>
      <c r="S8" s="3">
        <v>149850</v>
      </c>
      <c r="T8" s="3">
        <v>128230.79</v>
      </c>
      <c r="U8" s="17" t="str" cm="1">
        <f t="array" ref="U8">_xlfn.IFS(L8&gt;=100000,"Platinum",L8&gt;=70000,"Gold",L8&gt;=40000,"Silver",L8&lt;40000,"Bronze")</f>
        <v>Platinum</v>
      </c>
      <c r="V8" s="3" t="str" cm="1">
        <f t="array" ref="V8">_xlfn.IFS(R8=5,"Excellent",R8=4,"Good",R8=3,"Average",R8=2,"Poor",R8=1,"Bad")</f>
        <v>Bad</v>
      </c>
      <c r="W8" s="3" t="str" cm="1">
        <f t="array" ref="W8">_xlfn.IFS(O8&lt;=2,"Express",O8&lt;=5,"Fast",O8&lt;=7,"Normal",O8&gt;7,"Delayed")</f>
        <v>Express</v>
      </c>
      <c r="X8" s="3" t="str" cm="1">
        <f t="array" ref="X8">_xlfn.IFS(M8&gt;30000,"Excellent",M8&gt;15000,"Good",M8&gt;5000,"Average",M8&lt;=50000,"Poor")</f>
        <v>Good</v>
      </c>
      <c r="Y8" s="14" t="str" cm="1">
        <f t="array" ref="Y8">_xlfn.IFS(L8&gt;100000,"5%",L8&gt;50000,"10%",L8&lt;=50000,"15%")</f>
        <v>5%</v>
      </c>
    </row>
    <row r="9" spans="1:25" x14ac:dyDescent="0.3">
      <c r="A9" s="6" t="s">
        <v>62</v>
      </c>
      <c r="B9" s="3" t="s">
        <v>63</v>
      </c>
      <c r="C9" s="3" t="s">
        <v>40</v>
      </c>
      <c r="D9" s="3" t="s">
        <v>23</v>
      </c>
      <c r="E9" s="3" t="s">
        <v>24</v>
      </c>
      <c r="F9" s="3" t="s">
        <v>52</v>
      </c>
      <c r="G9" s="3" t="s">
        <v>35</v>
      </c>
      <c r="H9" s="3" t="s">
        <v>36</v>
      </c>
      <c r="I9" s="3">
        <v>2</v>
      </c>
      <c r="J9" s="3">
        <v>3500</v>
      </c>
      <c r="K9" s="3">
        <v>15</v>
      </c>
      <c r="L9" s="3">
        <v>5950</v>
      </c>
      <c r="M9" s="3">
        <v>1094.46</v>
      </c>
      <c r="N9" s="3">
        <v>50</v>
      </c>
      <c r="O9" s="3">
        <v>5</v>
      </c>
      <c r="P9" s="3" t="s">
        <v>28</v>
      </c>
      <c r="Q9" s="3" t="s">
        <v>29</v>
      </c>
      <c r="R9" s="3">
        <v>4</v>
      </c>
      <c r="S9" s="3">
        <v>84194</v>
      </c>
      <c r="T9" s="3">
        <v>4805.29</v>
      </c>
      <c r="U9" s="17" t="str" cm="1">
        <f t="array" ref="U9">_xlfn.IFS(L9&gt;=100000,"Platinum",L9&gt;=70000,"Gold",L9&gt;=40000,"Silver",L9&lt;40000,"Bronze")</f>
        <v>Bronze</v>
      </c>
      <c r="V9" s="3" t="str" cm="1">
        <f t="array" ref="V9">_xlfn.IFS(R9=5,"Excellent",R9=4,"Good",R9=3,"Average",R9=2,"Poor",R9=1,"Bad")</f>
        <v>Good</v>
      </c>
      <c r="W9" s="3" t="str" cm="1">
        <f t="array" ref="W9">_xlfn.IFS(O9&lt;=2,"Express",O9&lt;=5,"Fast",O9&lt;=7,"Normal",O9&gt;7,"Delayed")</f>
        <v>Fast</v>
      </c>
      <c r="X9" s="3" t="str" cm="1">
        <f t="array" ref="X9">_xlfn.IFS(M9&gt;30000,"Excellent",M9&gt;15000,"Good",M9&gt;5000,"Average",M9&lt;=50000,"Poor")</f>
        <v>Poor</v>
      </c>
      <c r="Y9" s="14" t="str" cm="1">
        <f t="array" ref="Y9">_xlfn.IFS(L9&gt;100000,"5%",L9&gt;50000,"10%",L9&lt;=50000,"15%")</f>
        <v>15%</v>
      </c>
    </row>
    <row r="10" spans="1:25" x14ac:dyDescent="0.3">
      <c r="A10" s="6" t="s">
        <v>64</v>
      </c>
      <c r="B10" s="3" t="s">
        <v>65</v>
      </c>
      <c r="C10" s="3" t="s">
        <v>40</v>
      </c>
      <c r="D10" s="3" t="s">
        <v>47</v>
      </c>
      <c r="E10" s="3" t="s">
        <v>48</v>
      </c>
      <c r="F10" s="3" t="s">
        <v>52</v>
      </c>
      <c r="G10" s="3" t="s">
        <v>66</v>
      </c>
      <c r="H10" s="3" t="s">
        <v>27</v>
      </c>
      <c r="I10" s="3">
        <v>7</v>
      </c>
      <c r="J10" s="3">
        <v>8000</v>
      </c>
      <c r="K10" s="3">
        <v>15</v>
      </c>
      <c r="L10" s="3">
        <v>47600</v>
      </c>
      <c r="M10" s="3">
        <v>314.55</v>
      </c>
      <c r="N10" s="3">
        <v>2</v>
      </c>
      <c r="O10" s="3">
        <v>5</v>
      </c>
      <c r="P10" s="3" t="s">
        <v>67</v>
      </c>
      <c r="Q10" s="3" t="s">
        <v>37</v>
      </c>
      <c r="R10" s="3">
        <v>3</v>
      </c>
      <c r="S10" s="3">
        <v>79719</v>
      </c>
      <c r="T10" s="3">
        <v>39771.78</v>
      </c>
      <c r="U10" s="17" t="str" cm="1">
        <f t="array" ref="U10">_xlfn.IFS(L10&gt;=100000,"Platinum",L10&gt;=70000,"Gold",L10&gt;=40000,"Silver",L10&lt;40000,"Bronze")</f>
        <v>Silver</v>
      </c>
      <c r="V10" s="3" t="str" cm="1">
        <f t="array" ref="V10">_xlfn.IFS(R10=5,"Excellent",R10=4,"Good",R10=3,"Average",R10=2,"Poor",R10=1,"Bad")</f>
        <v>Average</v>
      </c>
      <c r="W10" s="3" t="str" cm="1">
        <f t="array" ref="W10">_xlfn.IFS(O10&lt;=2,"Express",O10&lt;=5,"Fast",O10&lt;=7,"Normal",O10&gt;7,"Delayed")</f>
        <v>Fast</v>
      </c>
      <c r="X10" s="3" t="str" cm="1">
        <f t="array" ref="X10">_xlfn.IFS(M10&gt;30000,"Excellent",M10&gt;15000,"Good",M10&gt;5000,"Average",M10&lt;=50000,"Poor")</f>
        <v>Poor</v>
      </c>
      <c r="Y10" s="14" t="str" cm="1">
        <f t="array" ref="Y10">_xlfn.IFS(L10&gt;100000,"5%",L10&gt;50000,"10%",L10&lt;=50000,"15%")</f>
        <v>15%</v>
      </c>
    </row>
    <row r="11" spans="1:25" x14ac:dyDescent="0.3">
      <c r="A11" s="6" t="s">
        <v>68</v>
      </c>
      <c r="B11" s="3" t="s">
        <v>69</v>
      </c>
      <c r="C11" s="3" t="s">
        <v>22</v>
      </c>
      <c r="D11" s="3" t="s">
        <v>47</v>
      </c>
      <c r="E11" s="3" t="s">
        <v>24</v>
      </c>
      <c r="F11" s="3" t="s">
        <v>70</v>
      </c>
      <c r="G11" s="3" t="s">
        <v>66</v>
      </c>
      <c r="H11" s="3" t="s">
        <v>27</v>
      </c>
      <c r="I11" s="3">
        <v>6</v>
      </c>
      <c r="J11" s="3">
        <v>15000</v>
      </c>
      <c r="K11" s="3">
        <v>15</v>
      </c>
      <c r="L11" s="3">
        <v>76500</v>
      </c>
      <c r="M11" s="3">
        <v>26298.31</v>
      </c>
      <c r="N11" s="3">
        <v>12</v>
      </c>
      <c r="O11" s="3">
        <v>2</v>
      </c>
      <c r="P11" s="3" t="s">
        <v>28</v>
      </c>
      <c r="Q11" s="3" t="s">
        <v>29</v>
      </c>
      <c r="R11" s="3">
        <v>1</v>
      </c>
      <c r="S11" s="3">
        <v>134669</v>
      </c>
      <c r="T11" s="3">
        <v>79515.14</v>
      </c>
      <c r="U11" s="17" t="str" cm="1">
        <f t="array" ref="U11">_xlfn.IFS(L11&gt;=100000,"Platinum",L11&gt;=70000,"Gold",L11&gt;=40000,"Silver",L11&lt;40000,"Bronze")</f>
        <v>Gold</v>
      </c>
      <c r="V11" s="3" t="str" cm="1">
        <f t="array" ref="V11">_xlfn.IFS(R11=5,"Excellent",R11=4,"Good",R11=3,"Average",R11=2,"Poor",R11=1,"Bad")</f>
        <v>Bad</v>
      </c>
      <c r="W11" s="3" t="str" cm="1">
        <f t="array" ref="W11">_xlfn.IFS(O11&lt;=2,"Express",O11&lt;=5,"Fast",O11&lt;=7,"Normal",O11&gt;7,"Delayed")</f>
        <v>Express</v>
      </c>
      <c r="X11" s="3" t="str" cm="1">
        <f t="array" ref="X11">_xlfn.IFS(M11&gt;30000,"Excellent",M11&gt;15000,"Good",M11&gt;5000,"Average",M11&lt;=50000,"Poor")</f>
        <v>Good</v>
      </c>
      <c r="Y11" s="14" t="str" cm="1">
        <f t="array" ref="Y11">_xlfn.IFS(L11&gt;100000,"5%",L11&gt;50000,"10%",L11&lt;=50000,"15%")</f>
        <v>10%</v>
      </c>
    </row>
    <row r="12" spans="1:25" x14ac:dyDescent="0.3">
      <c r="A12" s="6" t="s">
        <v>71</v>
      </c>
      <c r="B12" s="3" t="s">
        <v>72</v>
      </c>
      <c r="C12" s="3" t="s">
        <v>40</v>
      </c>
      <c r="D12" s="3" t="s">
        <v>47</v>
      </c>
      <c r="E12" s="3" t="s">
        <v>41</v>
      </c>
      <c r="F12" s="3" t="s">
        <v>52</v>
      </c>
      <c r="G12" s="3" t="s">
        <v>66</v>
      </c>
      <c r="H12" s="3" t="s">
        <v>27</v>
      </c>
      <c r="I12" s="3">
        <v>4</v>
      </c>
      <c r="J12" s="3">
        <v>1200</v>
      </c>
      <c r="K12" s="3">
        <v>20</v>
      </c>
      <c r="L12" s="3">
        <v>3840</v>
      </c>
      <c r="M12" s="3">
        <v>1238.3599999999999</v>
      </c>
      <c r="N12" s="3">
        <v>53</v>
      </c>
      <c r="O12" s="3">
        <v>5</v>
      </c>
      <c r="P12" s="3" t="s">
        <v>67</v>
      </c>
      <c r="Q12" s="3" t="s">
        <v>37</v>
      </c>
      <c r="R12" s="3">
        <v>1</v>
      </c>
      <c r="S12" s="3">
        <v>18666</v>
      </c>
      <c r="T12" s="3">
        <v>3814.81</v>
      </c>
      <c r="U12" s="17" t="str" cm="1">
        <f t="array" ref="U12">_xlfn.IFS(L12&gt;=100000,"Platinum",L12&gt;=70000,"Gold",L12&gt;=40000,"Silver",L12&lt;40000,"Bronze")</f>
        <v>Bronze</v>
      </c>
      <c r="V12" s="3" t="str" cm="1">
        <f t="array" ref="V12">_xlfn.IFS(R12=5,"Excellent",R12=4,"Good",R12=3,"Average",R12=2,"Poor",R12=1,"Bad")</f>
        <v>Bad</v>
      </c>
      <c r="W12" s="3" t="str" cm="1">
        <f t="array" ref="W12">_xlfn.IFS(O12&lt;=2,"Express",O12&lt;=5,"Fast",O12&lt;=7,"Normal",O12&gt;7,"Delayed")</f>
        <v>Fast</v>
      </c>
      <c r="X12" s="3" t="str" cm="1">
        <f t="array" ref="X12">_xlfn.IFS(M12&gt;30000,"Excellent",M12&gt;15000,"Good",M12&gt;5000,"Average",M12&lt;=50000,"Poor")</f>
        <v>Poor</v>
      </c>
      <c r="Y12" s="14" t="str" cm="1">
        <f t="array" ref="Y12">_xlfn.IFS(L12&gt;100000,"5%",L12&gt;50000,"10%",L12&lt;=50000,"15%")</f>
        <v>15%</v>
      </c>
    </row>
    <row r="13" spans="1:25" x14ac:dyDescent="0.3">
      <c r="A13" s="6" t="s">
        <v>73</v>
      </c>
      <c r="B13" s="3" t="s">
        <v>74</v>
      </c>
      <c r="C13" s="3" t="s">
        <v>32</v>
      </c>
      <c r="D13" s="3" t="s">
        <v>33</v>
      </c>
      <c r="E13" s="3" t="s">
        <v>57</v>
      </c>
      <c r="F13" s="3" t="s">
        <v>34</v>
      </c>
      <c r="G13" s="3" t="s">
        <v>26</v>
      </c>
      <c r="H13" s="3" t="s">
        <v>27</v>
      </c>
      <c r="I13" s="3">
        <v>2</v>
      </c>
      <c r="J13" s="3">
        <v>15000</v>
      </c>
      <c r="K13" s="3">
        <v>20</v>
      </c>
      <c r="L13" s="3">
        <v>24000</v>
      </c>
      <c r="M13" s="3">
        <v>8213.57</v>
      </c>
      <c r="N13" s="3">
        <v>21</v>
      </c>
      <c r="O13" s="3">
        <v>8</v>
      </c>
      <c r="P13" s="3" t="s">
        <v>44</v>
      </c>
      <c r="Q13" s="3" t="s">
        <v>37</v>
      </c>
      <c r="R13" s="3">
        <v>1</v>
      </c>
      <c r="S13" s="3">
        <v>50024</v>
      </c>
      <c r="T13" s="3">
        <v>20129.91</v>
      </c>
      <c r="U13" s="17" t="str" cm="1">
        <f t="array" ref="U13">_xlfn.IFS(L13&gt;=100000,"Platinum",L13&gt;=70000,"Gold",L13&gt;=40000,"Silver",L13&lt;40000,"Bronze")</f>
        <v>Bronze</v>
      </c>
      <c r="V13" s="3" t="str" cm="1">
        <f t="array" ref="V13">_xlfn.IFS(R13=5,"Excellent",R13=4,"Good",R13=3,"Average",R13=2,"Poor",R13=1,"Bad")</f>
        <v>Bad</v>
      </c>
      <c r="W13" s="3" t="str" cm="1">
        <f t="array" ref="W13">_xlfn.IFS(O13&lt;=2,"Express",O13&lt;=5,"Fast",O13&lt;=7,"Normal",O13&gt;7,"Delayed")</f>
        <v>Delayed</v>
      </c>
      <c r="X13" s="3" t="str" cm="1">
        <f t="array" ref="X13">_xlfn.IFS(M13&gt;30000,"Excellent",M13&gt;15000,"Good",M13&gt;5000,"Average",M13&lt;=50000,"Poor")</f>
        <v>Average</v>
      </c>
      <c r="Y13" s="14" t="str" cm="1">
        <f t="array" ref="Y13">_xlfn.IFS(L13&gt;100000,"5%",L13&gt;50000,"10%",L13&lt;=50000,"15%")</f>
        <v>15%</v>
      </c>
    </row>
    <row r="14" spans="1:25" x14ac:dyDescent="0.3">
      <c r="A14" s="6" t="s">
        <v>75</v>
      </c>
      <c r="B14" s="3" t="s">
        <v>76</v>
      </c>
      <c r="C14" s="3" t="s">
        <v>77</v>
      </c>
      <c r="D14" s="3" t="s">
        <v>23</v>
      </c>
      <c r="E14" s="3" t="s">
        <v>57</v>
      </c>
      <c r="F14" s="3" t="s">
        <v>70</v>
      </c>
      <c r="G14" s="3" t="s">
        <v>66</v>
      </c>
      <c r="H14" s="3" t="s">
        <v>27</v>
      </c>
      <c r="I14" s="3">
        <v>9</v>
      </c>
      <c r="J14" s="3">
        <v>3500</v>
      </c>
      <c r="K14" s="3">
        <v>20</v>
      </c>
      <c r="L14" s="3">
        <v>25200</v>
      </c>
      <c r="M14" s="3">
        <v>437.3</v>
      </c>
      <c r="N14" s="3">
        <v>70</v>
      </c>
      <c r="O14" s="3">
        <v>1</v>
      </c>
      <c r="P14" s="3" t="s">
        <v>28</v>
      </c>
      <c r="Q14" s="3" t="s">
        <v>37</v>
      </c>
      <c r="R14" s="3">
        <v>3</v>
      </c>
      <c r="S14" s="3">
        <v>44189</v>
      </c>
      <c r="T14" s="3">
        <v>29089.43</v>
      </c>
      <c r="U14" s="17" t="str" cm="1">
        <f t="array" ref="U14">_xlfn.IFS(L14&gt;=100000,"Platinum",L14&gt;=70000,"Gold",L14&gt;=40000,"Silver",L14&lt;40000,"Bronze")</f>
        <v>Bronze</v>
      </c>
      <c r="V14" s="3" t="str" cm="1">
        <f t="array" ref="V14">_xlfn.IFS(R14=5,"Excellent",R14=4,"Good",R14=3,"Average",R14=2,"Poor",R14=1,"Bad")</f>
        <v>Average</v>
      </c>
      <c r="W14" s="3" t="str" cm="1">
        <f t="array" ref="W14">_xlfn.IFS(O14&lt;=2,"Express",O14&lt;=5,"Fast",O14&lt;=7,"Normal",O14&gt;7,"Delayed")</f>
        <v>Express</v>
      </c>
      <c r="X14" s="3" t="str" cm="1">
        <f t="array" ref="X14">_xlfn.IFS(M14&gt;30000,"Excellent",M14&gt;15000,"Good",M14&gt;5000,"Average",M14&lt;=50000,"Poor")</f>
        <v>Poor</v>
      </c>
      <c r="Y14" s="14" t="str" cm="1">
        <f t="array" ref="Y14">_xlfn.IFS(L14&gt;100000,"5%",L14&gt;50000,"10%",L14&lt;=50000,"15%")</f>
        <v>15%</v>
      </c>
    </row>
    <row r="15" spans="1:25" x14ac:dyDescent="0.3">
      <c r="A15" s="6" t="s">
        <v>78</v>
      </c>
      <c r="B15" s="3" t="s">
        <v>74</v>
      </c>
      <c r="C15" s="3" t="s">
        <v>79</v>
      </c>
      <c r="D15" s="3" t="s">
        <v>23</v>
      </c>
      <c r="E15" s="3" t="s">
        <v>57</v>
      </c>
      <c r="F15" s="3" t="s">
        <v>52</v>
      </c>
      <c r="G15" s="3" t="s">
        <v>80</v>
      </c>
      <c r="H15" s="3" t="s">
        <v>36</v>
      </c>
      <c r="I15" s="3">
        <v>10</v>
      </c>
      <c r="J15" s="3">
        <v>65000</v>
      </c>
      <c r="K15" s="3">
        <v>15</v>
      </c>
      <c r="L15" s="3">
        <v>552500</v>
      </c>
      <c r="M15" s="3">
        <v>107781.23</v>
      </c>
      <c r="N15" s="3">
        <v>47</v>
      </c>
      <c r="O15" s="3">
        <v>1</v>
      </c>
      <c r="P15" s="3" t="s">
        <v>28</v>
      </c>
      <c r="Q15" s="3" t="s">
        <v>29</v>
      </c>
      <c r="R15" s="3">
        <v>1</v>
      </c>
      <c r="S15" s="3">
        <v>71563</v>
      </c>
      <c r="T15" s="3">
        <v>488233.7</v>
      </c>
      <c r="U15" s="17" t="str" cm="1">
        <f t="array" ref="U15">_xlfn.IFS(L15&gt;=100000,"Platinum",L15&gt;=70000,"Gold",L15&gt;=40000,"Silver",L15&lt;40000,"Bronze")</f>
        <v>Platinum</v>
      </c>
      <c r="V15" s="3" t="str" cm="1">
        <f t="array" ref="V15">_xlfn.IFS(R15=5,"Excellent",R15=4,"Good",R15=3,"Average",R15=2,"Poor",R15=1,"Bad")</f>
        <v>Bad</v>
      </c>
      <c r="W15" s="3" t="str" cm="1">
        <f t="array" ref="W15">_xlfn.IFS(O15&lt;=2,"Express",O15&lt;=5,"Fast",O15&lt;=7,"Normal",O15&gt;7,"Delayed")</f>
        <v>Express</v>
      </c>
      <c r="X15" s="3" t="str" cm="1">
        <f t="array" ref="X15">_xlfn.IFS(M15&gt;30000,"Excellent",M15&gt;15000,"Good",M15&gt;5000,"Average",M15&lt;=50000,"Poor")</f>
        <v>Excellent</v>
      </c>
      <c r="Y15" s="14" t="str" cm="1">
        <f t="array" ref="Y15">_xlfn.IFS(L15&gt;100000,"5%",L15&gt;50000,"10%",L15&lt;=50000,"15%")</f>
        <v>5%</v>
      </c>
    </row>
    <row r="16" spans="1:25" x14ac:dyDescent="0.3">
      <c r="A16" s="6" t="s">
        <v>81</v>
      </c>
      <c r="B16" s="3" t="s">
        <v>82</v>
      </c>
      <c r="C16" s="3" t="s">
        <v>32</v>
      </c>
      <c r="D16" s="3" t="s">
        <v>47</v>
      </c>
      <c r="E16" s="3" t="s">
        <v>57</v>
      </c>
      <c r="F16" s="3" t="s">
        <v>70</v>
      </c>
      <c r="G16" s="3" t="s">
        <v>80</v>
      </c>
      <c r="H16" s="3" t="s">
        <v>36</v>
      </c>
      <c r="I16" s="3">
        <v>4</v>
      </c>
      <c r="J16" s="3">
        <v>8000</v>
      </c>
      <c r="K16" s="3">
        <v>5</v>
      </c>
      <c r="L16" s="3">
        <v>30400</v>
      </c>
      <c r="M16" s="3">
        <v>1141.05</v>
      </c>
      <c r="N16" s="3">
        <v>89</v>
      </c>
      <c r="O16" s="3">
        <v>5</v>
      </c>
      <c r="P16" s="3" t="s">
        <v>44</v>
      </c>
      <c r="Q16" s="3" t="s">
        <v>37</v>
      </c>
      <c r="R16" s="3">
        <v>3</v>
      </c>
      <c r="S16" s="3">
        <v>45147</v>
      </c>
      <c r="T16" s="3">
        <v>27310.69</v>
      </c>
      <c r="U16" s="17" t="str" cm="1">
        <f t="array" ref="U16">_xlfn.IFS(L16&gt;=100000,"Platinum",L16&gt;=70000,"Gold",L16&gt;=40000,"Silver",L16&lt;40000,"Bronze")</f>
        <v>Bronze</v>
      </c>
      <c r="V16" s="3" t="str" cm="1">
        <f t="array" ref="V16">_xlfn.IFS(R16=5,"Excellent",R16=4,"Good",R16=3,"Average",R16=2,"Poor",R16=1,"Bad")</f>
        <v>Average</v>
      </c>
      <c r="W16" s="3" t="str" cm="1">
        <f t="array" ref="W16">_xlfn.IFS(O16&lt;=2,"Express",O16&lt;=5,"Fast",O16&lt;=7,"Normal",O16&gt;7,"Delayed")</f>
        <v>Fast</v>
      </c>
      <c r="X16" s="3" t="str" cm="1">
        <f t="array" ref="X16">_xlfn.IFS(M16&gt;30000,"Excellent",M16&gt;15000,"Good",M16&gt;5000,"Average",M16&lt;=50000,"Poor")</f>
        <v>Poor</v>
      </c>
      <c r="Y16" s="14" t="str" cm="1">
        <f t="array" ref="Y16">_xlfn.IFS(L16&gt;100000,"5%",L16&gt;50000,"10%",L16&lt;=50000,"15%")</f>
        <v>15%</v>
      </c>
    </row>
    <row r="17" spans="1:25" x14ac:dyDescent="0.3">
      <c r="A17" s="6" t="s">
        <v>83</v>
      </c>
      <c r="B17" s="3" t="s">
        <v>84</v>
      </c>
      <c r="C17" s="3" t="s">
        <v>85</v>
      </c>
      <c r="D17" s="3" t="s">
        <v>23</v>
      </c>
      <c r="E17" s="3" t="s">
        <v>48</v>
      </c>
      <c r="F17" s="3" t="s">
        <v>34</v>
      </c>
      <c r="G17" s="3" t="s">
        <v>66</v>
      </c>
      <c r="H17" s="3" t="s">
        <v>27</v>
      </c>
      <c r="I17" s="3">
        <v>2</v>
      </c>
      <c r="J17" s="3">
        <v>500</v>
      </c>
      <c r="K17" s="3">
        <v>10</v>
      </c>
      <c r="L17" s="3">
        <v>900</v>
      </c>
      <c r="M17" s="3">
        <v>202.34</v>
      </c>
      <c r="N17" s="3">
        <v>3</v>
      </c>
      <c r="O17" s="3">
        <v>2</v>
      </c>
      <c r="P17" s="3" t="s">
        <v>67</v>
      </c>
      <c r="Q17" s="3" t="s">
        <v>37</v>
      </c>
      <c r="R17" s="3">
        <v>4</v>
      </c>
      <c r="S17" s="3">
        <v>28722</v>
      </c>
      <c r="T17" s="3">
        <v>1051.6400000000001</v>
      </c>
      <c r="U17" s="17" t="str" cm="1">
        <f t="array" ref="U17">_xlfn.IFS(L17&gt;=100000,"Platinum",L17&gt;=70000,"Gold",L17&gt;=40000,"Silver",L17&lt;40000,"Bronze")</f>
        <v>Bronze</v>
      </c>
      <c r="V17" s="3" t="str" cm="1">
        <f t="array" ref="V17">_xlfn.IFS(R17=5,"Excellent",R17=4,"Good",R17=3,"Average",R17=2,"Poor",R17=1,"Bad")</f>
        <v>Good</v>
      </c>
      <c r="W17" s="3" t="str" cm="1">
        <f t="array" ref="W17">_xlfn.IFS(O17&lt;=2,"Express",O17&lt;=5,"Fast",O17&lt;=7,"Normal",O17&gt;7,"Delayed")</f>
        <v>Express</v>
      </c>
      <c r="X17" s="3" t="str" cm="1">
        <f t="array" ref="X17">_xlfn.IFS(M17&gt;30000,"Excellent",M17&gt;15000,"Good",M17&gt;5000,"Average",M17&lt;=50000,"Poor")</f>
        <v>Poor</v>
      </c>
      <c r="Y17" s="14" t="str" cm="1">
        <f t="array" ref="Y17">_xlfn.IFS(L17&gt;100000,"5%",L17&gt;50000,"10%",L17&lt;=50000,"15%")</f>
        <v>15%</v>
      </c>
    </row>
    <row r="18" spans="1:25" x14ac:dyDescent="0.3">
      <c r="A18" s="6" t="s">
        <v>86</v>
      </c>
      <c r="B18" s="3" t="s">
        <v>87</v>
      </c>
      <c r="C18" s="3" t="s">
        <v>77</v>
      </c>
      <c r="D18" s="3" t="s">
        <v>47</v>
      </c>
      <c r="E18" s="3" t="s">
        <v>24</v>
      </c>
      <c r="F18" s="3" t="s">
        <v>34</v>
      </c>
      <c r="G18" s="3" t="s">
        <v>53</v>
      </c>
      <c r="H18" s="3" t="s">
        <v>43</v>
      </c>
      <c r="I18" s="3">
        <v>2</v>
      </c>
      <c r="J18" s="3">
        <v>65000</v>
      </c>
      <c r="K18" s="3">
        <v>15</v>
      </c>
      <c r="L18" s="3">
        <v>110500</v>
      </c>
      <c r="M18" s="3">
        <v>2356.96</v>
      </c>
      <c r="N18" s="3">
        <v>13</v>
      </c>
      <c r="O18" s="3">
        <v>1</v>
      </c>
      <c r="P18" s="3" t="s">
        <v>67</v>
      </c>
      <c r="Q18" s="3" t="s">
        <v>29</v>
      </c>
      <c r="R18" s="3">
        <v>4</v>
      </c>
      <c r="S18" s="3">
        <v>74450</v>
      </c>
      <c r="T18" s="3">
        <v>94516.06</v>
      </c>
      <c r="U18" s="17" t="str" cm="1">
        <f t="array" ref="U18">_xlfn.IFS(L18&gt;=100000,"Platinum",L18&gt;=70000,"Gold",L18&gt;=40000,"Silver",L18&lt;40000,"Bronze")</f>
        <v>Platinum</v>
      </c>
      <c r="V18" s="3" t="str" cm="1">
        <f t="array" ref="V18">_xlfn.IFS(R18=5,"Excellent",R18=4,"Good",R18=3,"Average",R18=2,"Poor",R18=1,"Bad")</f>
        <v>Good</v>
      </c>
      <c r="W18" s="3" t="str" cm="1">
        <f t="array" ref="W18">_xlfn.IFS(O18&lt;=2,"Express",O18&lt;=5,"Fast",O18&lt;=7,"Normal",O18&gt;7,"Delayed")</f>
        <v>Express</v>
      </c>
      <c r="X18" s="3" t="str" cm="1">
        <f t="array" ref="X18">_xlfn.IFS(M18&gt;30000,"Excellent",M18&gt;15000,"Good",M18&gt;5000,"Average",M18&lt;=50000,"Poor")</f>
        <v>Poor</v>
      </c>
      <c r="Y18" s="14" t="str" cm="1">
        <f t="array" ref="Y18">_xlfn.IFS(L18&gt;100000,"5%",L18&gt;50000,"10%",L18&lt;=50000,"15%")</f>
        <v>5%</v>
      </c>
    </row>
    <row r="19" spans="1:25" x14ac:dyDescent="0.3">
      <c r="A19" s="6" t="s">
        <v>88</v>
      </c>
      <c r="B19" s="3" t="s">
        <v>89</v>
      </c>
      <c r="C19" s="3" t="s">
        <v>79</v>
      </c>
      <c r="D19" s="3" t="s">
        <v>33</v>
      </c>
      <c r="E19" s="3" t="s">
        <v>57</v>
      </c>
      <c r="F19" s="3" t="s">
        <v>52</v>
      </c>
      <c r="G19" s="3" t="s">
        <v>42</v>
      </c>
      <c r="H19" s="3" t="s">
        <v>43</v>
      </c>
      <c r="I19" s="3">
        <v>4</v>
      </c>
      <c r="J19" s="3">
        <v>8000</v>
      </c>
      <c r="K19" s="3">
        <v>10</v>
      </c>
      <c r="L19" s="3">
        <v>28800</v>
      </c>
      <c r="M19" s="3">
        <v>7737.61</v>
      </c>
      <c r="N19" s="3">
        <v>85</v>
      </c>
      <c r="O19" s="3">
        <v>3</v>
      </c>
      <c r="P19" s="3" t="s">
        <v>67</v>
      </c>
      <c r="Q19" s="3" t="s">
        <v>37</v>
      </c>
      <c r="R19" s="3">
        <v>1</v>
      </c>
      <c r="S19" s="3">
        <v>43805</v>
      </c>
      <c r="T19" s="3">
        <v>29524.89</v>
      </c>
      <c r="U19" s="17" t="str" cm="1">
        <f t="array" ref="U19">_xlfn.IFS(L19&gt;=100000,"Platinum",L19&gt;=70000,"Gold",L19&gt;=40000,"Silver",L19&lt;40000,"Bronze")</f>
        <v>Bronze</v>
      </c>
      <c r="V19" s="3" t="str" cm="1">
        <f t="array" ref="V19">_xlfn.IFS(R19=5,"Excellent",R19=4,"Good",R19=3,"Average",R19=2,"Poor",R19=1,"Bad")</f>
        <v>Bad</v>
      </c>
      <c r="W19" s="3" t="str" cm="1">
        <f t="array" ref="W19">_xlfn.IFS(O19&lt;=2,"Express",O19&lt;=5,"Fast",O19&lt;=7,"Normal",O19&gt;7,"Delayed")</f>
        <v>Fast</v>
      </c>
      <c r="X19" s="3" t="str" cm="1">
        <f t="array" ref="X19">_xlfn.IFS(M19&gt;30000,"Excellent",M19&gt;15000,"Good",M19&gt;5000,"Average",M19&lt;=50000,"Poor")</f>
        <v>Average</v>
      </c>
      <c r="Y19" s="14" t="str" cm="1">
        <f t="array" ref="Y19">_xlfn.IFS(L19&gt;100000,"5%",L19&gt;50000,"10%",L19&lt;=50000,"15%")</f>
        <v>15%</v>
      </c>
    </row>
    <row r="20" spans="1:25" x14ac:dyDescent="0.3">
      <c r="A20" s="6" t="s">
        <v>90</v>
      </c>
      <c r="B20" s="3" t="s">
        <v>91</v>
      </c>
      <c r="C20" s="3" t="s">
        <v>51</v>
      </c>
      <c r="D20" s="3" t="s">
        <v>33</v>
      </c>
      <c r="E20" s="3" t="s">
        <v>24</v>
      </c>
      <c r="F20" s="3" t="s">
        <v>34</v>
      </c>
      <c r="G20" s="3" t="s">
        <v>42</v>
      </c>
      <c r="H20" s="3" t="s">
        <v>43</v>
      </c>
      <c r="I20" s="3">
        <v>10</v>
      </c>
      <c r="J20" s="3">
        <v>65000</v>
      </c>
      <c r="K20" s="3">
        <v>20</v>
      </c>
      <c r="L20" s="3">
        <v>520000</v>
      </c>
      <c r="M20" s="3">
        <v>-5447.07</v>
      </c>
      <c r="N20" s="3">
        <v>38</v>
      </c>
      <c r="O20" s="3">
        <v>3</v>
      </c>
      <c r="P20" s="3" t="s">
        <v>67</v>
      </c>
      <c r="Q20" s="3" t="s">
        <v>37</v>
      </c>
      <c r="R20" s="3">
        <v>2</v>
      </c>
      <c r="S20" s="3">
        <v>77469</v>
      </c>
      <c r="T20" s="3">
        <v>476870.19</v>
      </c>
      <c r="U20" s="17" t="str" cm="1">
        <f t="array" ref="U20">_xlfn.IFS(L20&gt;=100000,"Platinum",L20&gt;=70000,"Gold",L20&gt;=40000,"Silver",L20&lt;40000,"Bronze")</f>
        <v>Platinum</v>
      </c>
      <c r="V20" s="3" t="str" cm="1">
        <f t="array" ref="V20">_xlfn.IFS(R20=5,"Excellent",R20=4,"Good",R20=3,"Average",R20=2,"Poor",R20=1,"Bad")</f>
        <v>Poor</v>
      </c>
      <c r="W20" s="3" t="str" cm="1">
        <f t="array" ref="W20">_xlfn.IFS(O20&lt;=2,"Express",O20&lt;=5,"Fast",O20&lt;=7,"Normal",O20&gt;7,"Delayed")</f>
        <v>Fast</v>
      </c>
      <c r="X20" s="3" t="str" cm="1">
        <f t="array" ref="X20">_xlfn.IFS(M20&gt;30000,"Excellent",M20&gt;15000,"Good",M20&gt;5000,"Average",M20&lt;=50000,"Poor")</f>
        <v>Poor</v>
      </c>
      <c r="Y20" s="14" t="str" cm="1">
        <f t="array" ref="Y20">_xlfn.IFS(L20&gt;100000,"5%",L20&gt;50000,"10%",L20&lt;=50000,"15%")</f>
        <v>5%</v>
      </c>
    </row>
    <row r="21" spans="1:25" x14ac:dyDescent="0.3">
      <c r="A21" s="6" t="s">
        <v>92</v>
      </c>
      <c r="B21" s="3" t="s">
        <v>93</v>
      </c>
      <c r="C21" s="3" t="s">
        <v>32</v>
      </c>
      <c r="D21" s="3" t="s">
        <v>23</v>
      </c>
      <c r="E21" s="3" t="s">
        <v>41</v>
      </c>
      <c r="F21" s="3" t="s">
        <v>34</v>
      </c>
      <c r="G21" s="3" t="s">
        <v>26</v>
      </c>
      <c r="H21" s="3" t="s">
        <v>27</v>
      </c>
      <c r="I21" s="3">
        <v>5</v>
      </c>
      <c r="J21" s="3">
        <v>45000</v>
      </c>
      <c r="K21" s="3">
        <v>15</v>
      </c>
      <c r="L21" s="3">
        <v>191250</v>
      </c>
      <c r="M21" s="3">
        <v>4887.8900000000003</v>
      </c>
      <c r="N21" s="3">
        <v>32</v>
      </c>
      <c r="O21" s="3">
        <v>5</v>
      </c>
      <c r="P21" s="3" t="s">
        <v>59</v>
      </c>
      <c r="Q21" s="3" t="s">
        <v>29</v>
      </c>
      <c r="R21" s="3">
        <v>5</v>
      </c>
      <c r="S21" s="3">
        <v>122385</v>
      </c>
      <c r="T21" s="3">
        <v>191035.76</v>
      </c>
      <c r="U21" s="17" t="str" cm="1">
        <f t="array" ref="U21">_xlfn.IFS(L21&gt;=100000,"Platinum",L21&gt;=70000,"Gold",L21&gt;=40000,"Silver",L21&lt;40000,"Bronze")</f>
        <v>Platinum</v>
      </c>
      <c r="V21" s="3" t="str" cm="1">
        <f t="array" ref="V21">_xlfn.IFS(R21=5,"Excellent",R21=4,"Good",R21=3,"Average",R21=2,"Poor",R21=1,"Bad")</f>
        <v>Excellent</v>
      </c>
      <c r="W21" s="3" t="str" cm="1">
        <f t="array" ref="W21">_xlfn.IFS(O21&lt;=2,"Express",O21&lt;=5,"Fast",O21&lt;=7,"Normal",O21&gt;7,"Delayed")</f>
        <v>Fast</v>
      </c>
      <c r="X21" s="3" t="str" cm="1">
        <f t="array" ref="X21">_xlfn.IFS(M21&gt;30000,"Excellent",M21&gt;15000,"Good",M21&gt;5000,"Average",M21&lt;=50000,"Poor")</f>
        <v>Poor</v>
      </c>
      <c r="Y21" s="14" t="str" cm="1">
        <f t="array" ref="Y21">_xlfn.IFS(L21&gt;100000,"5%",L21&gt;50000,"10%",L21&lt;=50000,"15%")</f>
        <v>5%</v>
      </c>
    </row>
    <row r="22" spans="1:25" x14ac:dyDescent="0.3">
      <c r="A22" s="6" t="s">
        <v>94</v>
      </c>
      <c r="B22" s="3" t="s">
        <v>95</v>
      </c>
      <c r="C22" s="3" t="s">
        <v>56</v>
      </c>
      <c r="D22" s="3" t="s">
        <v>33</v>
      </c>
      <c r="E22" s="3" t="s">
        <v>48</v>
      </c>
      <c r="F22" s="3" t="s">
        <v>52</v>
      </c>
      <c r="G22" s="3" t="s">
        <v>26</v>
      </c>
      <c r="H22" s="3" t="s">
        <v>27</v>
      </c>
      <c r="I22" s="3">
        <v>5</v>
      </c>
      <c r="J22" s="3">
        <v>45000</v>
      </c>
      <c r="K22" s="3">
        <v>5</v>
      </c>
      <c r="L22" s="3">
        <v>213750</v>
      </c>
      <c r="M22" s="3">
        <v>34299.47</v>
      </c>
      <c r="N22" s="3">
        <v>7</v>
      </c>
      <c r="O22" s="3">
        <v>10</v>
      </c>
      <c r="P22" s="3" t="s">
        <v>28</v>
      </c>
      <c r="Q22" s="3" t="s">
        <v>37</v>
      </c>
      <c r="R22" s="3">
        <v>4</v>
      </c>
      <c r="S22" s="3">
        <v>23150</v>
      </c>
      <c r="T22" s="3">
        <v>233374.18</v>
      </c>
      <c r="U22" s="17" t="str" cm="1">
        <f t="array" ref="U22">_xlfn.IFS(L22&gt;=100000,"Platinum",L22&gt;=70000,"Gold",L22&gt;=40000,"Silver",L22&lt;40000,"Bronze")</f>
        <v>Platinum</v>
      </c>
      <c r="V22" s="3" t="str" cm="1">
        <f t="array" ref="V22">_xlfn.IFS(R22=5,"Excellent",R22=4,"Good",R22=3,"Average",R22=2,"Poor",R22=1,"Bad")</f>
        <v>Good</v>
      </c>
      <c r="W22" s="3" t="str" cm="1">
        <f t="array" ref="W22">_xlfn.IFS(O22&lt;=2,"Express",O22&lt;=5,"Fast",O22&lt;=7,"Normal",O22&gt;7,"Delayed")</f>
        <v>Delayed</v>
      </c>
      <c r="X22" s="3" t="str" cm="1">
        <f t="array" ref="X22">_xlfn.IFS(M22&gt;30000,"Excellent",M22&gt;15000,"Good",M22&gt;5000,"Average",M22&lt;=50000,"Poor")</f>
        <v>Excellent</v>
      </c>
      <c r="Y22" s="14" t="str" cm="1">
        <f t="array" ref="Y22">_xlfn.IFS(L22&gt;100000,"5%",L22&gt;50000,"10%",L22&lt;=50000,"15%")</f>
        <v>5%</v>
      </c>
    </row>
    <row r="23" spans="1:25" x14ac:dyDescent="0.3">
      <c r="A23" s="6" t="s">
        <v>96</v>
      </c>
      <c r="B23" s="3" t="s">
        <v>65</v>
      </c>
      <c r="C23" s="3" t="s">
        <v>97</v>
      </c>
      <c r="D23" s="3" t="s">
        <v>33</v>
      </c>
      <c r="E23" s="3" t="s">
        <v>41</v>
      </c>
      <c r="F23" s="3" t="s">
        <v>25</v>
      </c>
      <c r="G23" s="3" t="s">
        <v>66</v>
      </c>
      <c r="H23" s="3" t="s">
        <v>27</v>
      </c>
      <c r="I23" s="3">
        <v>6</v>
      </c>
      <c r="J23" s="3">
        <v>8000</v>
      </c>
      <c r="K23" s="3">
        <v>5</v>
      </c>
      <c r="L23" s="3">
        <v>45600</v>
      </c>
      <c r="M23" s="3">
        <v>7280.44</v>
      </c>
      <c r="N23" s="3">
        <v>7</v>
      </c>
      <c r="O23" s="3">
        <v>4</v>
      </c>
      <c r="P23" s="3" t="s">
        <v>59</v>
      </c>
      <c r="Q23" s="3" t="s">
        <v>29</v>
      </c>
      <c r="R23" s="3">
        <v>2</v>
      </c>
      <c r="S23" s="3">
        <v>149728</v>
      </c>
      <c r="T23" s="3">
        <v>45999.06</v>
      </c>
      <c r="U23" s="17" t="str" cm="1">
        <f t="array" ref="U23">_xlfn.IFS(L23&gt;=100000,"Platinum",L23&gt;=70000,"Gold",L23&gt;=40000,"Silver",L23&lt;40000,"Bronze")</f>
        <v>Silver</v>
      </c>
      <c r="V23" s="3" t="str" cm="1">
        <f t="array" ref="V23">_xlfn.IFS(R23=5,"Excellent",R23=4,"Good",R23=3,"Average",R23=2,"Poor",R23=1,"Bad")</f>
        <v>Poor</v>
      </c>
      <c r="W23" s="3" t="str" cm="1">
        <f t="array" ref="W23">_xlfn.IFS(O23&lt;=2,"Express",O23&lt;=5,"Fast",O23&lt;=7,"Normal",O23&gt;7,"Delayed")</f>
        <v>Fast</v>
      </c>
      <c r="X23" s="3" t="str" cm="1">
        <f t="array" ref="X23">_xlfn.IFS(M23&gt;30000,"Excellent",M23&gt;15000,"Good",M23&gt;5000,"Average",M23&lt;=50000,"Poor")</f>
        <v>Average</v>
      </c>
      <c r="Y23" s="14" t="str" cm="1">
        <f t="array" ref="Y23">_xlfn.IFS(L23&gt;100000,"5%",L23&gt;50000,"10%",L23&lt;=50000,"15%")</f>
        <v>15%</v>
      </c>
    </row>
    <row r="24" spans="1:25" x14ac:dyDescent="0.3">
      <c r="A24" s="6" t="s">
        <v>98</v>
      </c>
      <c r="B24" s="3" t="s">
        <v>99</v>
      </c>
      <c r="C24" s="3" t="s">
        <v>77</v>
      </c>
      <c r="D24" s="3" t="s">
        <v>23</v>
      </c>
      <c r="E24" s="3" t="s">
        <v>24</v>
      </c>
      <c r="F24" s="3" t="s">
        <v>52</v>
      </c>
      <c r="G24" s="3" t="s">
        <v>26</v>
      </c>
      <c r="H24" s="3" t="s">
        <v>27</v>
      </c>
      <c r="I24" s="3">
        <v>5</v>
      </c>
      <c r="J24" s="3">
        <v>65000</v>
      </c>
      <c r="K24" s="3">
        <v>15</v>
      </c>
      <c r="L24" s="3">
        <v>276250</v>
      </c>
      <c r="M24" s="3">
        <v>66751.67</v>
      </c>
      <c r="N24" s="3">
        <v>67</v>
      </c>
      <c r="O24" s="3">
        <v>5</v>
      </c>
      <c r="P24" s="3" t="s">
        <v>59</v>
      </c>
      <c r="Q24" s="3" t="s">
        <v>29</v>
      </c>
      <c r="R24" s="3">
        <v>5</v>
      </c>
      <c r="S24" s="3">
        <v>94579</v>
      </c>
      <c r="T24" s="3">
        <v>313749.99</v>
      </c>
      <c r="U24" s="17" t="str" cm="1">
        <f t="array" ref="U24">_xlfn.IFS(L24&gt;=100000,"Platinum",L24&gt;=70000,"Gold",L24&gt;=40000,"Silver",L24&lt;40000,"Bronze")</f>
        <v>Platinum</v>
      </c>
      <c r="V24" s="3" t="str" cm="1">
        <f t="array" ref="V24">_xlfn.IFS(R24=5,"Excellent",R24=4,"Good",R24=3,"Average",R24=2,"Poor",R24=1,"Bad")</f>
        <v>Excellent</v>
      </c>
      <c r="W24" s="3" t="str" cm="1">
        <f t="array" ref="W24">_xlfn.IFS(O24&lt;=2,"Express",O24&lt;=5,"Fast",O24&lt;=7,"Normal",O24&gt;7,"Delayed")</f>
        <v>Fast</v>
      </c>
      <c r="X24" s="3" t="str" cm="1">
        <f t="array" ref="X24">_xlfn.IFS(M24&gt;30000,"Excellent",M24&gt;15000,"Good",M24&gt;5000,"Average",M24&lt;=50000,"Poor")</f>
        <v>Excellent</v>
      </c>
      <c r="Y24" s="14" t="str" cm="1">
        <f t="array" ref="Y24">_xlfn.IFS(L24&gt;100000,"5%",L24&gt;50000,"10%",L24&lt;=50000,"15%")</f>
        <v>5%</v>
      </c>
    </row>
    <row r="25" spans="1:25" x14ac:dyDescent="0.3">
      <c r="A25" s="6" t="s">
        <v>100</v>
      </c>
      <c r="B25" s="3" t="s">
        <v>101</v>
      </c>
      <c r="C25" s="3" t="s">
        <v>85</v>
      </c>
      <c r="D25" s="3" t="s">
        <v>23</v>
      </c>
      <c r="E25" s="3" t="s">
        <v>57</v>
      </c>
      <c r="F25" s="3" t="s">
        <v>58</v>
      </c>
      <c r="G25" s="3" t="s">
        <v>26</v>
      </c>
      <c r="H25" s="3" t="s">
        <v>27</v>
      </c>
      <c r="I25" s="3">
        <v>9</v>
      </c>
      <c r="J25" s="3">
        <v>65000</v>
      </c>
      <c r="K25" s="3">
        <v>10</v>
      </c>
      <c r="L25" s="3">
        <v>526500</v>
      </c>
      <c r="M25" s="3">
        <v>66234.98</v>
      </c>
      <c r="N25" s="3">
        <v>46</v>
      </c>
      <c r="O25" s="3">
        <v>9</v>
      </c>
      <c r="P25" s="3" t="s">
        <v>28</v>
      </c>
      <c r="Q25" s="3" t="s">
        <v>29</v>
      </c>
      <c r="R25" s="3">
        <v>4</v>
      </c>
      <c r="S25" s="3">
        <v>143639</v>
      </c>
      <c r="T25" s="3">
        <v>507590.40000000002</v>
      </c>
      <c r="U25" s="17" t="str" cm="1">
        <f t="array" ref="U25">_xlfn.IFS(L25&gt;=100000,"Platinum",L25&gt;=70000,"Gold",L25&gt;=40000,"Silver",L25&lt;40000,"Bronze")</f>
        <v>Platinum</v>
      </c>
      <c r="V25" s="3" t="str" cm="1">
        <f t="array" ref="V25">_xlfn.IFS(R25=5,"Excellent",R25=4,"Good",R25=3,"Average",R25=2,"Poor",R25=1,"Bad")</f>
        <v>Good</v>
      </c>
      <c r="W25" s="3" t="str" cm="1">
        <f t="array" ref="W25">_xlfn.IFS(O25&lt;=2,"Express",O25&lt;=5,"Fast",O25&lt;=7,"Normal",O25&gt;7,"Delayed")</f>
        <v>Delayed</v>
      </c>
      <c r="X25" s="3" t="str" cm="1">
        <f t="array" ref="X25">_xlfn.IFS(M25&gt;30000,"Excellent",M25&gt;15000,"Good",M25&gt;5000,"Average",M25&lt;=50000,"Poor")</f>
        <v>Excellent</v>
      </c>
      <c r="Y25" s="14" t="str" cm="1">
        <f t="array" ref="Y25">_xlfn.IFS(L25&gt;100000,"5%",L25&gt;50000,"10%",L25&lt;=50000,"15%")</f>
        <v>5%</v>
      </c>
    </row>
    <row r="26" spans="1:25" x14ac:dyDescent="0.3">
      <c r="A26" s="6" t="s">
        <v>102</v>
      </c>
      <c r="B26" s="3" t="s">
        <v>103</v>
      </c>
      <c r="C26" s="3" t="s">
        <v>77</v>
      </c>
      <c r="D26" s="3" t="s">
        <v>23</v>
      </c>
      <c r="E26" s="3" t="s">
        <v>24</v>
      </c>
      <c r="F26" s="3" t="s">
        <v>70</v>
      </c>
      <c r="G26" s="3" t="s">
        <v>80</v>
      </c>
      <c r="H26" s="3" t="s">
        <v>36</v>
      </c>
      <c r="I26" s="3">
        <v>4</v>
      </c>
      <c r="J26" s="3">
        <v>1200</v>
      </c>
      <c r="K26" s="3">
        <v>0</v>
      </c>
      <c r="L26" s="3">
        <v>4800</v>
      </c>
      <c r="M26" s="3">
        <v>1491.21</v>
      </c>
      <c r="N26" s="3">
        <v>28</v>
      </c>
      <c r="O26" s="3">
        <v>7</v>
      </c>
      <c r="P26" s="3" t="s">
        <v>67</v>
      </c>
      <c r="Q26" s="3" t="s">
        <v>37</v>
      </c>
      <c r="R26" s="3">
        <v>1</v>
      </c>
      <c r="S26" s="3">
        <v>45429</v>
      </c>
      <c r="T26" s="3">
        <v>5032.3999999999996</v>
      </c>
      <c r="U26" s="17" t="str" cm="1">
        <f t="array" ref="U26">_xlfn.IFS(L26&gt;=100000,"Platinum",L26&gt;=70000,"Gold",L26&gt;=40000,"Silver",L26&lt;40000,"Bronze")</f>
        <v>Bronze</v>
      </c>
      <c r="V26" s="3" t="str" cm="1">
        <f t="array" ref="V26">_xlfn.IFS(R26=5,"Excellent",R26=4,"Good",R26=3,"Average",R26=2,"Poor",R26=1,"Bad")</f>
        <v>Bad</v>
      </c>
      <c r="W26" s="3" t="str" cm="1">
        <f t="array" ref="W26">_xlfn.IFS(O26&lt;=2,"Express",O26&lt;=5,"Fast",O26&lt;=7,"Normal",O26&gt;7,"Delayed")</f>
        <v>Normal</v>
      </c>
      <c r="X26" s="3" t="str" cm="1">
        <f t="array" ref="X26">_xlfn.IFS(M26&gt;30000,"Excellent",M26&gt;15000,"Good",M26&gt;5000,"Average",M26&lt;=50000,"Poor")</f>
        <v>Poor</v>
      </c>
      <c r="Y26" s="14" t="str" cm="1">
        <f t="array" ref="Y26">_xlfn.IFS(L26&gt;100000,"5%",L26&gt;50000,"10%",L26&lt;=50000,"15%")</f>
        <v>15%</v>
      </c>
    </row>
    <row r="27" spans="1:25" x14ac:dyDescent="0.3">
      <c r="A27" s="6" t="s">
        <v>104</v>
      </c>
      <c r="B27" s="3" t="s">
        <v>105</v>
      </c>
      <c r="C27" s="3" t="s">
        <v>79</v>
      </c>
      <c r="D27" s="3" t="s">
        <v>47</v>
      </c>
      <c r="E27" s="3" t="s">
        <v>48</v>
      </c>
      <c r="F27" s="3" t="s">
        <v>34</v>
      </c>
      <c r="G27" s="3" t="s">
        <v>42</v>
      </c>
      <c r="H27" s="3" t="s">
        <v>43</v>
      </c>
      <c r="I27" s="3">
        <v>5</v>
      </c>
      <c r="J27" s="3">
        <v>500</v>
      </c>
      <c r="K27" s="3">
        <v>0</v>
      </c>
      <c r="L27" s="3">
        <v>2500</v>
      </c>
      <c r="M27" s="3">
        <v>599.72</v>
      </c>
      <c r="N27" s="3">
        <v>11</v>
      </c>
      <c r="O27" s="3">
        <v>2</v>
      </c>
      <c r="P27" s="3" t="s">
        <v>28</v>
      </c>
      <c r="Q27" s="3" t="s">
        <v>37</v>
      </c>
      <c r="R27" s="3">
        <v>3</v>
      </c>
      <c r="S27" s="3">
        <v>48512</v>
      </c>
      <c r="T27" s="3">
        <v>2719.1</v>
      </c>
      <c r="U27" s="17" t="str" cm="1">
        <f t="array" ref="U27">_xlfn.IFS(L27&gt;=100000,"Platinum",L27&gt;=70000,"Gold",L27&gt;=40000,"Silver",L27&lt;40000,"Bronze")</f>
        <v>Bronze</v>
      </c>
      <c r="V27" s="3" t="str" cm="1">
        <f t="array" ref="V27">_xlfn.IFS(R27=5,"Excellent",R27=4,"Good",R27=3,"Average",R27=2,"Poor",R27=1,"Bad")</f>
        <v>Average</v>
      </c>
      <c r="W27" s="3" t="str" cm="1">
        <f t="array" ref="W27">_xlfn.IFS(O27&lt;=2,"Express",O27&lt;=5,"Fast",O27&lt;=7,"Normal",O27&gt;7,"Delayed")</f>
        <v>Express</v>
      </c>
      <c r="X27" s="3" t="str" cm="1">
        <f t="array" ref="X27">_xlfn.IFS(M27&gt;30000,"Excellent",M27&gt;15000,"Good",M27&gt;5000,"Average",M27&lt;=50000,"Poor")</f>
        <v>Poor</v>
      </c>
      <c r="Y27" s="14" t="str" cm="1">
        <f t="array" ref="Y27">_xlfn.IFS(L27&gt;100000,"5%",L27&gt;50000,"10%",L27&lt;=50000,"15%")</f>
        <v>15%</v>
      </c>
    </row>
    <row r="28" spans="1:25" x14ac:dyDescent="0.3">
      <c r="A28" s="6" t="s">
        <v>106</v>
      </c>
      <c r="B28" s="3" t="s">
        <v>105</v>
      </c>
      <c r="C28" s="3" t="s">
        <v>51</v>
      </c>
      <c r="D28" s="3" t="s">
        <v>23</v>
      </c>
      <c r="E28" s="3" t="s">
        <v>57</v>
      </c>
      <c r="F28" s="3" t="s">
        <v>25</v>
      </c>
      <c r="G28" s="3" t="s">
        <v>26</v>
      </c>
      <c r="H28" s="3" t="s">
        <v>27</v>
      </c>
      <c r="I28" s="3">
        <v>6</v>
      </c>
      <c r="J28" s="3">
        <v>15000</v>
      </c>
      <c r="K28" s="3">
        <v>5</v>
      </c>
      <c r="L28" s="3">
        <v>85500</v>
      </c>
      <c r="M28" s="3">
        <v>15768.3</v>
      </c>
      <c r="N28" s="3">
        <v>4</v>
      </c>
      <c r="O28" s="3">
        <v>1</v>
      </c>
      <c r="P28" s="3" t="s">
        <v>59</v>
      </c>
      <c r="Q28" s="3" t="s">
        <v>37</v>
      </c>
      <c r="R28" s="3">
        <v>5</v>
      </c>
      <c r="S28" s="3">
        <v>131477</v>
      </c>
      <c r="T28" s="3">
        <v>90164.43</v>
      </c>
      <c r="U28" s="17" t="str" cm="1">
        <f t="array" ref="U28">_xlfn.IFS(L28&gt;=100000,"Platinum",L28&gt;=70000,"Gold",L28&gt;=40000,"Silver",L28&lt;40000,"Bronze")</f>
        <v>Gold</v>
      </c>
      <c r="V28" s="3" t="str" cm="1">
        <f t="array" ref="V28">_xlfn.IFS(R28=5,"Excellent",R28=4,"Good",R28=3,"Average",R28=2,"Poor",R28=1,"Bad")</f>
        <v>Excellent</v>
      </c>
      <c r="W28" s="3" t="str" cm="1">
        <f t="array" ref="W28">_xlfn.IFS(O28&lt;=2,"Express",O28&lt;=5,"Fast",O28&lt;=7,"Normal",O28&gt;7,"Delayed")</f>
        <v>Express</v>
      </c>
      <c r="X28" s="3" t="str" cm="1">
        <f t="array" ref="X28">_xlfn.IFS(M28&gt;30000,"Excellent",M28&gt;15000,"Good",M28&gt;5000,"Average",M28&lt;=50000,"Poor")</f>
        <v>Good</v>
      </c>
      <c r="Y28" s="14" t="str" cm="1">
        <f t="array" ref="Y28">_xlfn.IFS(L28&gt;100000,"5%",L28&gt;50000,"10%",L28&lt;=50000,"15%")</f>
        <v>10%</v>
      </c>
    </row>
    <row r="29" spans="1:25" x14ac:dyDescent="0.3">
      <c r="A29" s="6" t="s">
        <v>107</v>
      </c>
      <c r="B29" s="3" t="s">
        <v>108</v>
      </c>
      <c r="C29" s="3" t="s">
        <v>22</v>
      </c>
      <c r="D29" s="3" t="s">
        <v>23</v>
      </c>
      <c r="E29" s="3" t="s">
        <v>57</v>
      </c>
      <c r="F29" s="3" t="s">
        <v>58</v>
      </c>
      <c r="G29" s="3" t="s">
        <v>53</v>
      </c>
      <c r="H29" s="3" t="s">
        <v>43</v>
      </c>
      <c r="I29" s="3">
        <v>7</v>
      </c>
      <c r="J29" s="3">
        <v>8000</v>
      </c>
      <c r="K29" s="3">
        <v>10</v>
      </c>
      <c r="L29" s="3">
        <v>50400</v>
      </c>
      <c r="M29" s="3">
        <v>-2262.5</v>
      </c>
      <c r="N29" s="3">
        <v>3</v>
      </c>
      <c r="O29" s="3">
        <v>7</v>
      </c>
      <c r="P29" s="3" t="s">
        <v>28</v>
      </c>
      <c r="Q29" s="3" t="s">
        <v>29</v>
      </c>
      <c r="R29" s="3">
        <v>2</v>
      </c>
      <c r="S29" s="3">
        <v>99353</v>
      </c>
      <c r="T29" s="3">
        <v>47719.85</v>
      </c>
      <c r="U29" s="17" t="str" cm="1">
        <f t="array" ref="U29">_xlfn.IFS(L29&gt;=100000,"Platinum",L29&gt;=70000,"Gold",L29&gt;=40000,"Silver",L29&lt;40000,"Bronze")</f>
        <v>Silver</v>
      </c>
      <c r="V29" s="3" t="str" cm="1">
        <f t="array" ref="V29">_xlfn.IFS(R29=5,"Excellent",R29=4,"Good",R29=3,"Average",R29=2,"Poor",R29=1,"Bad")</f>
        <v>Poor</v>
      </c>
      <c r="W29" s="3" t="str" cm="1">
        <f t="array" ref="W29">_xlfn.IFS(O29&lt;=2,"Express",O29&lt;=5,"Fast",O29&lt;=7,"Normal",O29&gt;7,"Delayed")</f>
        <v>Normal</v>
      </c>
      <c r="X29" s="3" t="str" cm="1">
        <f t="array" ref="X29">_xlfn.IFS(M29&gt;30000,"Excellent",M29&gt;15000,"Good",M29&gt;5000,"Average",M29&lt;=50000,"Poor")</f>
        <v>Poor</v>
      </c>
      <c r="Y29" s="14" t="str" cm="1">
        <f t="array" ref="Y29">_xlfn.IFS(L29&gt;100000,"5%",L29&gt;50000,"10%",L29&lt;=50000,"15%")</f>
        <v>10%</v>
      </c>
    </row>
    <row r="30" spans="1:25" x14ac:dyDescent="0.3">
      <c r="A30" s="6" t="s">
        <v>109</v>
      </c>
      <c r="B30" s="3" t="s">
        <v>110</v>
      </c>
      <c r="C30" s="3" t="s">
        <v>22</v>
      </c>
      <c r="D30" s="3" t="s">
        <v>23</v>
      </c>
      <c r="E30" s="3" t="s">
        <v>24</v>
      </c>
      <c r="F30" s="3" t="s">
        <v>70</v>
      </c>
      <c r="G30" s="3" t="s">
        <v>53</v>
      </c>
      <c r="H30" s="3" t="s">
        <v>43</v>
      </c>
      <c r="I30" s="3">
        <v>8</v>
      </c>
      <c r="J30" s="3">
        <v>500</v>
      </c>
      <c r="K30" s="3">
        <v>15</v>
      </c>
      <c r="L30" s="3">
        <v>3400</v>
      </c>
      <c r="M30" s="3">
        <v>0.1</v>
      </c>
      <c r="N30" s="3">
        <v>65</v>
      </c>
      <c r="O30" s="3">
        <v>2</v>
      </c>
      <c r="P30" s="3" t="s">
        <v>44</v>
      </c>
      <c r="Q30" s="3" t="s">
        <v>29</v>
      </c>
      <c r="R30" s="3">
        <v>1</v>
      </c>
      <c r="S30" s="3">
        <v>133638</v>
      </c>
      <c r="T30" s="3">
        <v>3643.81</v>
      </c>
      <c r="U30" s="17" t="str" cm="1">
        <f t="array" ref="U30">_xlfn.IFS(L30&gt;=100000,"Platinum",L30&gt;=70000,"Gold",L30&gt;=40000,"Silver",L30&lt;40000,"Bronze")</f>
        <v>Bronze</v>
      </c>
      <c r="V30" s="3" t="str" cm="1">
        <f t="array" ref="V30">_xlfn.IFS(R30=5,"Excellent",R30=4,"Good",R30=3,"Average",R30=2,"Poor",R30=1,"Bad")</f>
        <v>Bad</v>
      </c>
      <c r="W30" s="3" t="str" cm="1">
        <f t="array" ref="W30">_xlfn.IFS(O30&lt;=2,"Express",O30&lt;=5,"Fast",O30&lt;=7,"Normal",O30&gt;7,"Delayed")</f>
        <v>Express</v>
      </c>
      <c r="X30" s="3" t="str" cm="1">
        <f t="array" ref="X30">_xlfn.IFS(M30&gt;30000,"Excellent",M30&gt;15000,"Good",M30&gt;5000,"Average",M30&lt;=50000,"Poor")</f>
        <v>Poor</v>
      </c>
      <c r="Y30" s="14" t="str" cm="1">
        <f t="array" ref="Y30">_xlfn.IFS(L30&gt;100000,"5%",L30&gt;50000,"10%",L30&lt;=50000,"15%")</f>
        <v>15%</v>
      </c>
    </row>
    <row r="31" spans="1:25" x14ac:dyDescent="0.3">
      <c r="A31" s="6" t="s">
        <v>111</v>
      </c>
      <c r="B31" s="3" t="s">
        <v>112</v>
      </c>
      <c r="C31" s="3" t="s">
        <v>51</v>
      </c>
      <c r="D31" s="3" t="s">
        <v>47</v>
      </c>
      <c r="E31" s="3" t="s">
        <v>24</v>
      </c>
      <c r="F31" s="3" t="s">
        <v>25</v>
      </c>
      <c r="G31" s="3" t="s">
        <v>35</v>
      </c>
      <c r="H31" s="3" t="s">
        <v>36</v>
      </c>
      <c r="I31" s="3">
        <v>2</v>
      </c>
      <c r="J31" s="3">
        <v>45000</v>
      </c>
      <c r="K31" s="3">
        <v>5</v>
      </c>
      <c r="L31" s="3">
        <v>85500</v>
      </c>
      <c r="M31" s="3">
        <v>20503.240000000002</v>
      </c>
      <c r="N31" s="3">
        <v>60</v>
      </c>
      <c r="O31" s="3">
        <v>1</v>
      </c>
      <c r="P31" s="3" t="s">
        <v>44</v>
      </c>
      <c r="Q31" s="3" t="s">
        <v>29</v>
      </c>
      <c r="R31" s="3">
        <v>1</v>
      </c>
      <c r="S31" s="3">
        <v>39652</v>
      </c>
      <c r="T31" s="3">
        <v>90343.98</v>
      </c>
      <c r="U31" s="17" t="str" cm="1">
        <f t="array" ref="U31">_xlfn.IFS(L31&gt;=100000,"Platinum",L31&gt;=70000,"Gold",L31&gt;=40000,"Silver",L31&lt;40000,"Bronze")</f>
        <v>Gold</v>
      </c>
      <c r="V31" s="3" t="str" cm="1">
        <f t="array" ref="V31">_xlfn.IFS(R31=5,"Excellent",R31=4,"Good",R31=3,"Average",R31=2,"Poor",R31=1,"Bad")</f>
        <v>Bad</v>
      </c>
      <c r="W31" s="3" t="str" cm="1">
        <f t="array" ref="W31">_xlfn.IFS(O31&lt;=2,"Express",O31&lt;=5,"Fast",O31&lt;=7,"Normal",O31&gt;7,"Delayed")</f>
        <v>Express</v>
      </c>
      <c r="X31" s="3" t="str" cm="1">
        <f t="array" ref="X31">_xlfn.IFS(M31&gt;30000,"Excellent",M31&gt;15000,"Good",M31&gt;5000,"Average",M31&lt;=50000,"Poor")</f>
        <v>Good</v>
      </c>
      <c r="Y31" s="14" t="str" cm="1">
        <f t="array" ref="Y31">_xlfn.IFS(L31&gt;100000,"5%",L31&gt;50000,"10%",L31&lt;=50000,"15%")</f>
        <v>10%</v>
      </c>
    </row>
    <row r="32" spans="1:25" x14ac:dyDescent="0.3">
      <c r="A32" s="6" t="s">
        <v>113</v>
      </c>
      <c r="B32" s="3" t="s">
        <v>114</v>
      </c>
      <c r="C32" s="3" t="s">
        <v>77</v>
      </c>
      <c r="D32" s="3" t="s">
        <v>33</v>
      </c>
      <c r="E32" s="3" t="s">
        <v>57</v>
      </c>
      <c r="F32" s="3" t="s">
        <v>34</v>
      </c>
      <c r="G32" s="3" t="s">
        <v>80</v>
      </c>
      <c r="H32" s="3" t="s">
        <v>36</v>
      </c>
      <c r="I32" s="3">
        <v>1</v>
      </c>
      <c r="J32" s="3">
        <v>45000</v>
      </c>
      <c r="K32" s="3">
        <v>10</v>
      </c>
      <c r="L32" s="3">
        <v>40500</v>
      </c>
      <c r="M32" s="3">
        <v>13451.25</v>
      </c>
      <c r="N32" s="3">
        <v>99</v>
      </c>
      <c r="O32" s="3">
        <v>10</v>
      </c>
      <c r="P32" s="3" t="s">
        <v>67</v>
      </c>
      <c r="Q32" s="3" t="s">
        <v>29</v>
      </c>
      <c r="R32" s="3">
        <v>4</v>
      </c>
      <c r="S32" s="3">
        <v>133203</v>
      </c>
      <c r="T32" s="3">
        <v>40774.160000000003</v>
      </c>
      <c r="U32" s="17" t="str" cm="1">
        <f t="array" ref="U32">_xlfn.IFS(L32&gt;=100000,"Platinum",L32&gt;=70000,"Gold",L32&gt;=40000,"Silver",L32&lt;40000,"Bronze")</f>
        <v>Silver</v>
      </c>
      <c r="V32" s="3" t="str" cm="1">
        <f t="array" ref="V32">_xlfn.IFS(R32=5,"Excellent",R32=4,"Good",R32=3,"Average",R32=2,"Poor",R32=1,"Bad")</f>
        <v>Good</v>
      </c>
      <c r="W32" s="3" t="str" cm="1">
        <f t="array" ref="W32">_xlfn.IFS(O32&lt;=2,"Express",O32&lt;=5,"Fast",O32&lt;=7,"Normal",O32&gt;7,"Delayed")</f>
        <v>Delayed</v>
      </c>
      <c r="X32" s="3" t="str" cm="1">
        <f t="array" ref="X32">_xlfn.IFS(M32&gt;30000,"Excellent",M32&gt;15000,"Good",M32&gt;5000,"Average",M32&lt;=50000,"Poor")</f>
        <v>Average</v>
      </c>
      <c r="Y32" s="14" t="str" cm="1">
        <f t="array" ref="Y32">_xlfn.IFS(L32&gt;100000,"5%",L32&gt;50000,"10%",L32&lt;=50000,"15%")</f>
        <v>15%</v>
      </c>
    </row>
    <row r="33" spans="1:25" x14ac:dyDescent="0.3">
      <c r="A33" s="6" t="s">
        <v>115</v>
      </c>
      <c r="B33" s="3" t="s">
        <v>50</v>
      </c>
      <c r="C33" s="3" t="s">
        <v>77</v>
      </c>
      <c r="D33" s="3" t="s">
        <v>33</v>
      </c>
      <c r="E33" s="3" t="s">
        <v>24</v>
      </c>
      <c r="F33" s="3" t="s">
        <v>70</v>
      </c>
      <c r="G33" s="3" t="s">
        <v>53</v>
      </c>
      <c r="H33" s="3" t="s">
        <v>43</v>
      </c>
      <c r="I33" s="3">
        <v>5</v>
      </c>
      <c r="J33" s="3">
        <v>3500</v>
      </c>
      <c r="K33" s="3">
        <v>20</v>
      </c>
      <c r="L33" s="3">
        <v>14000</v>
      </c>
      <c r="M33" s="3">
        <v>-305.06</v>
      </c>
      <c r="N33" s="3">
        <v>94</v>
      </c>
      <c r="O33" s="3">
        <v>6</v>
      </c>
      <c r="P33" s="3" t="s">
        <v>67</v>
      </c>
      <c r="Q33" s="3" t="s">
        <v>29</v>
      </c>
      <c r="R33" s="3">
        <v>1</v>
      </c>
      <c r="S33" s="3">
        <v>41754</v>
      </c>
      <c r="T33" s="3">
        <v>11516.25</v>
      </c>
      <c r="U33" s="17" t="str" cm="1">
        <f t="array" ref="U33">_xlfn.IFS(L33&gt;=100000,"Platinum",L33&gt;=70000,"Gold",L33&gt;=40000,"Silver",L33&lt;40000,"Bronze")</f>
        <v>Bronze</v>
      </c>
      <c r="V33" s="3" t="str" cm="1">
        <f t="array" ref="V33">_xlfn.IFS(R33=5,"Excellent",R33=4,"Good",R33=3,"Average",R33=2,"Poor",R33=1,"Bad")</f>
        <v>Bad</v>
      </c>
      <c r="W33" s="3" t="str" cm="1">
        <f t="array" ref="W33">_xlfn.IFS(O33&lt;=2,"Express",O33&lt;=5,"Fast",O33&lt;=7,"Normal",O33&gt;7,"Delayed")</f>
        <v>Normal</v>
      </c>
      <c r="X33" s="3" t="str" cm="1">
        <f t="array" ref="X33">_xlfn.IFS(M33&gt;30000,"Excellent",M33&gt;15000,"Good",M33&gt;5000,"Average",M33&lt;=50000,"Poor")</f>
        <v>Poor</v>
      </c>
      <c r="Y33" s="14" t="str" cm="1">
        <f t="array" ref="Y33">_xlfn.IFS(L33&gt;100000,"5%",L33&gt;50000,"10%",L33&lt;=50000,"15%")</f>
        <v>15%</v>
      </c>
    </row>
    <row r="34" spans="1:25" x14ac:dyDescent="0.3">
      <c r="A34" s="6" t="s">
        <v>116</v>
      </c>
      <c r="B34" s="3" t="s">
        <v>117</v>
      </c>
      <c r="C34" s="3" t="s">
        <v>51</v>
      </c>
      <c r="D34" s="3" t="s">
        <v>47</v>
      </c>
      <c r="E34" s="3" t="s">
        <v>48</v>
      </c>
      <c r="F34" s="3" t="s">
        <v>70</v>
      </c>
      <c r="G34" s="3" t="s">
        <v>26</v>
      </c>
      <c r="H34" s="3" t="s">
        <v>27</v>
      </c>
      <c r="I34" s="3">
        <v>10</v>
      </c>
      <c r="J34" s="3">
        <v>45000</v>
      </c>
      <c r="K34" s="3">
        <v>20</v>
      </c>
      <c r="L34" s="3">
        <v>360000</v>
      </c>
      <c r="M34" s="3">
        <v>6498.18</v>
      </c>
      <c r="N34" s="3">
        <v>100</v>
      </c>
      <c r="O34" s="3">
        <v>7</v>
      </c>
      <c r="P34" s="3" t="s">
        <v>67</v>
      </c>
      <c r="Q34" s="3" t="s">
        <v>29</v>
      </c>
      <c r="R34" s="3">
        <v>2</v>
      </c>
      <c r="S34" s="3">
        <v>117623</v>
      </c>
      <c r="T34" s="3">
        <v>394047.61</v>
      </c>
      <c r="U34" s="17" t="str" cm="1">
        <f t="array" ref="U34">_xlfn.IFS(L34&gt;=100000,"Platinum",L34&gt;=70000,"Gold",L34&gt;=40000,"Silver",L34&lt;40000,"Bronze")</f>
        <v>Platinum</v>
      </c>
      <c r="V34" s="3" t="str" cm="1">
        <f t="array" ref="V34">_xlfn.IFS(R34=5,"Excellent",R34=4,"Good",R34=3,"Average",R34=2,"Poor",R34=1,"Bad")</f>
        <v>Poor</v>
      </c>
      <c r="W34" s="3" t="str" cm="1">
        <f t="array" ref="W34">_xlfn.IFS(O34&lt;=2,"Express",O34&lt;=5,"Fast",O34&lt;=7,"Normal",O34&gt;7,"Delayed")</f>
        <v>Normal</v>
      </c>
      <c r="X34" s="3" t="str" cm="1">
        <f t="array" ref="X34">_xlfn.IFS(M34&gt;30000,"Excellent",M34&gt;15000,"Good",M34&gt;5000,"Average",M34&lt;=50000,"Poor")</f>
        <v>Average</v>
      </c>
      <c r="Y34" s="14" t="str" cm="1">
        <f t="array" ref="Y34">_xlfn.IFS(L34&gt;100000,"5%",L34&gt;50000,"10%",L34&lt;=50000,"15%")</f>
        <v>5%</v>
      </c>
    </row>
    <row r="35" spans="1:25" x14ac:dyDescent="0.3">
      <c r="A35" s="6" t="s">
        <v>118</v>
      </c>
      <c r="B35" s="3" t="s">
        <v>119</v>
      </c>
      <c r="C35" s="3" t="s">
        <v>32</v>
      </c>
      <c r="D35" s="3" t="s">
        <v>33</v>
      </c>
      <c r="E35" s="3" t="s">
        <v>41</v>
      </c>
      <c r="F35" s="3" t="s">
        <v>25</v>
      </c>
      <c r="G35" s="3" t="s">
        <v>26</v>
      </c>
      <c r="H35" s="3" t="s">
        <v>27</v>
      </c>
      <c r="I35" s="3">
        <v>1</v>
      </c>
      <c r="J35" s="3">
        <v>3500</v>
      </c>
      <c r="K35" s="3">
        <v>10</v>
      </c>
      <c r="L35" s="3">
        <v>3150</v>
      </c>
      <c r="M35" s="3">
        <v>509.87</v>
      </c>
      <c r="N35" s="3">
        <v>89</v>
      </c>
      <c r="O35" s="3">
        <v>10</v>
      </c>
      <c r="P35" s="3" t="s">
        <v>28</v>
      </c>
      <c r="Q35" s="3" t="s">
        <v>29</v>
      </c>
      <c r="R35" s="3">
        <v>5</v>
      </c>
      <c r="S35" s="3">
        <v>29904</v>
      </c>
      <c r="T35" s="3">
        <v>2859.85</v>
      </c>
      <c r="U35" s="17" t="str" cm="1">
        <f t="array" ref="U35">_xlfn.IFS(L35&gt;=100000,"Platinum",L35&gt;=70000,"Gold",L35&gt;=40000,"Silver",L35&lt;40000,"Bronze")</f>
        <v>Bronze</v>
      </c>
      <c r="V35" s="3" t="str" cm="1">
        <f t="array" ref="V35">_xlfn.IFS(R35=5,"Excellent",R35=4,"Good",R35=3,"Average",R35=2,"Poor",R35=1,"Bad")</f>
        <v>Excellent</v>
      </c>
      <c r="W35" s="3" t="str" cm="1">
        <f t="array" ref="W35">_xlfn.IFS(O35&lt;=2,"Express",O35&lt;=5,"Fast",O35&lt;=7,"Normal",O35&gt;7,"Delayed")</f>
        <v>Delayed</v>
      </c>
      <c r="X35" s="3" t="str" cm="1">
        <f t="array" ref="X35">_xlfn.IFS(M35&gt;30000,"Excellent",M35&gt;15000,"Good",M35&gt;5000,"Average",M35&lt;=50000,"Poor")</f>
        <v>Poor</v>
      </c>
      <c r="Y35" s="14" t="str" cm="1">
        <f t="array" ref="Y35">_xlfn.IFS(L35&gt;100000,"5%",L35&gt;50000,"10%",L35&lt;=50000,"15%")</f>
        <v>15%</v>
      </c>
    </row>
    <row r="36" spans="1:25" x14ac:dyDescent="0.3">
      <c r="A36" s="6" t="s">
        <v>120</v>
      </c>
      <c r="B36" s="3" t="s">
        <v>121</v>
      </c>
      <c r="C36" s="3" t="s">
        <v>40</v>
      </c>
      <c r="D36" s="3" t="s">
        <v>33</v>
      </c>
      <c r="E36" s="3" t="s">
        <v>48</v>
      </c>
      <c r="F36" s="3" t="s">
        <v>34</v>
      </c>
      <c r="G36" s="3" t="s">
        <v>53</v>
      </c>
      <c r="H36" s="3" t="s">
        <v>43</v>
      </c>
      <c r="I36" s="3">
        <v>8</v>
      </c>
      <c r="J36" s="3">
        <v>45000</v>
      </c>
      <c r="K36" s="3">
        <v>5</v>
      </c>
      <c r="L36" s="3">
        <v>342000</v>
      </c>
      <c r="M36" s="3">
        <v>90433.11</v>
      </c>
      <c r="N36" s="3">
        <v>60</v>
      </c>
      <c r="O36" s="3">
        <v>3</v>
      </c>
      <c r="P36" s="3" t="s">
        <v>28</v>
      </c>
      <c r="Q36" s="3" t="s">
        <v>37</v>
      </c>
      <c r="R36" s="3">
        <v>1</v>
      </c>
      <c r="S36" s="3">
        <v>74842</v>
      </c>
      <c r="T36" s="3">
        <v>329549.21999999997</v>
      </c>
      <c r="U36" s="17" t="str" cm="1">
        <f t="array" ref="U36">_xlfn.IFS(L36&gt;=100000,"Platinum",L36&gt;=70000,"Gold",L36&gt;=40000,"Silver",L36&lt;40000,"Bronze")</f>
        <v>Platinum</v>
      </c>
      <c r="V36" s="3" t="str" cm="1">
        <f t="array" ref="V36">_xlfn.IFS(R36=5,"Excellent",R36=4,"Good",R36=3,"Average",R36=2,"Poor",R36=1,"Bad")</f>
        <v>Bad</v>
      </c>
      <c r="W36" s="3" t="str" cm="1">
        <f t="array" ref="W36">_xlfn.IFS(O36&lt;=2,"Express",O36&lt;=5,"Fast",O36&lt;=7,"Normal",O36&gt;7,"Delayed")</f>
        <v>Fast</v>
      </c>
      <c r="X36" s="3" t="str" cm="1">
        <f t="array" ref="X36">_xlfn.IFS(M36&gt;30000,"Excellent",M36&gt;15000,"Good",M36&gt;5000,"Average",M36&lt;=50000,"Poor")</f>
        <v>Excellent</v>
      </c>
      <c r="Y36" s="14" t="str" cm="1">
        <f t="array" ref="Y36">_xlfn.IFS(L36&gt;100000,"5%",L36&gt;50000,"10%",L36&lt;=50000,"15%")</f>
        <v>5%</v>
      </c>
    </row>
    <row r="37" spans="1:25" x14ac:dyDescent="0.3">
      <c r="A37" s="6" t="s">
        <v>122</v>
      </c>
      <c r="B37" s="3" t="s">
        <v>123</v>
      </c>
      <c r="C37" s="3" t="s">
        <v>85</v>
      </c>
      <c r="D37" s="3" t="s">
        <v>23</v>
      </c>
      <c r="E37" s="3" t="s">
        <v>41</v>
      </c>
      <c r="F37" s="3" t="s">
        <v>34</v>
      </c>
      <c r="G37" s="3" t="s">
        <v>53</v>
      </c>
      <c r="H37" s="3" t="s">
        <v>43</v>
      </c>
      <c r="I37" s="3">
        <v>7</v>
      </c>
      <c r="J37" s="3">
        <v>45000</v>
      </c>
      <c r="K37" s="3">
        <v>20</v>
      </c>
      <c r="L37" s="3">
        <v>252000</v>
      </c>
      <c r="M37" s="3">
        <v>72242.14</v>
      </c>
      <c r="N37" s="3">
        <v>67</v>
      </c>
      <c r="O37" s="3">
        <v>6</v>
      </c>
      <c r="P37" s="3" t="s">
        <v>44</v>
      </c>
      <c r="Q37" s="3" t="s">
        <v>29</v>
      </c>
      <c r="R37" s="3">
        <v>1</v>
      </c>
      <c r="S37" s="3">
        <v>49967</v>
      </c>
      <c r="T37" s="3">
        <v>219729.33</v>
      </c>
      <c r="U37" s="17" t="str" cm="1">
        <f t="array" ref="U37">_xlfn.IFS(L37&gt;=100000,"Platinum",L37&gt;=70000,"Gold",L37&gt;=40000,"Silver",L37&lt;40000,"Bronze")</f>
        <v>Platinum</v>
      </c>
      <c r="V37" s="3" t="str" cm="1">
        <f t="array" ref="V37">_xlfn.IFS(R37=5,"Excellent",R37=4,"Good",R37=3,"Average",R37=2,"Poor",R37=1,"Bad")</f>
        <v>Bad</v>
      </c>
      <c r="W37" s="3" t="str" cm="1">
        <f t="array" ref="W37">_xlfn.IFS(O37&lt;=2,"Express",O37&lt;=5,"Fast",O37&lt;=7,"Normal",O37&gt;7,"Delayed")</f>
        <v>Normal</v>
      </c>
      <c r="X37" s="3" t="str" cm="1">
        <f t="array" ref="X37">_xlfn.IFS(M37&gt;30000,"Excellent",M37&gt;15000,"Good",M37&gt;5000,"Average",M37&lt;=50000,"Poor")</f>
        <v>Excellent</v>
      </c>
      <c r="Y37" s="14" t="str" cm="1">
        <f t="array" ref="Y37">_xlfn.IFS(L37&gt;100000,"5%",L37&gt;50000,"10%",L37&lt;=50000,"15%")</f>
        <v>5%</v>
      </c>
    </row>
    <row r="38" spans="1:25" x14ac:dyDescent="0.3">
      <c r="A38" s="6" t="s">
        <v>124</v>
      </c>
      <c r="B38" s="3" t="s">
        <v>125</v>
      </c>
      <c r="C38" s="3" t="s">
        <v>77</v>
      </c>
      <c r="D38" s="3" t="s">
        <v>23</v>
      </c>
      <c r="E38" s="3" t="s">
        <v>48</v>
      </c>
      <c r="F38" s="3" t="s">
        <v>25</v>
      </c>
      <c r="G38" s="3" t="s">
        <v>26</v>
      </c>
      <c r="H38" s="3" t="s">
        <v>27</v>
      </c>
      <c r="I38" s="3">
        <v>7</v>
      </c>
      <c r="J38" s="3">
        <v>45000</v>
      </c>
      <c r="K38" s="3">
        <v>5</v>
      </c>
      <c r="L38" s="3">
        <v>299250</v>
      </c>
      <c r="M38" s="3">
        <v>-3977.36</v>
      </c>
      <c r="N38" s="3">
        <v>60</v>
      </c>
      <c r="O38" s="3">
        <v>8</v>
      </c>
      <c r="P38" s="3" t="s">
        <v>59</v>
      </c>
      <c r="Q38" s="3" t="s">
        <v>37</v>
      </c>
      <c r="R38" s="3">
        <v>1</v>
      </c>
      <c r="S38" s="3">
        <v>86849</v>
      </c>
      <c r="T38" s="3">
        <v>335366.17</v>
      </c>
      <c r="U38" s="17" t="str" cm="1">
        <f t="array" ref="U38">_xlfn.IFS(L38&gt;=100000,"Platinum",L38&gt;=70000,"Gold",L38&gt;=40000,"Silver",L38&lt;40000,"Bronze")</f>
        <v>Platinum</v>
      </c>
      <c r="V38" s="3" t="str" cm="1">
        <f t="array" ref="V38">_xlfn.IFS(R38=5,"Excellent",R38=4,"Good",R38=3,"Average",R38=2,"Poor",R38=1,"Bad")</f>
        <v>Bad</v>
      </c>
      <c r="W38" s="3" t="str" cm="1">
        <f t="array" ref="W38">_xlfn.IFS(O38&lt;=2,"Express",O38&lt;=5,"Fast",O38&lt;=7,"Normal",O38&gt;7,"Delayed")</f>
        <v>Delayed</v>
      </c>
      <c r="X38" s="3" t="str" cm="1">
        <f t="array" ref="X38">_xlfn.IFS(M38&gt;30000,"Excellent",M38&gt;15000,"Good",M38&gt;5000,"Average",M38&lt;=50000,"Poor")</f>
        <v>Poor</v>
      </c>
      <c r="Y38" s="14" t="str" cm="1">
        <f t="array" ref="Y38">_xlfn.IFS(L38&gt;100000,"5%",L38&gt;50000,"10%",L38&lt;=50000,"15%")</f>
        <v>5%</v>
      </c>
    </row>
    <row r="39" spans="1:25" x14ac:dyDescent="0.3">
      <c r="A39" s="6" t="s">
        <v>126</v>
      </c>
      <c r="B39" s="3" t="s">
        <v>61</v>
      </c>
      <c r="C39" s="3" t="s">
        <v>77</v>
      </c>
      <c r="D39" s="3" t="s">
        <v>33</v>
      </c>
      <c r="E39" s="3" t="s">
        <v>48</v>
      </c>
      <c r="F39" s="3" t="s">
        <v>70</v>
      </c>
      <c r="G39" s="3" t="s">
        <v>80</v>
      </c>
      <c r="H39" s="3" t="s">
        <v>36</v>
      </c>
      <c r="I39" s="3">
        <v>4</v>
      </c>
      <c r="J39" s="3">
        <v>15000</v>
      </c>
      <c r="K39" s="3">
        <v>20</v>
      </c>
      <c r="L39" s="3">
        <v>48000</v>
      </c>
      <c r="M39" s="3">
        <v>8450.57</v>
      </c>
      <c r="N39" s="3">
        <v>11</v>
      </c>
      <c r="O39" s="3">
        <v>1</v>
      </c>
      <c r="P39" s="3" t="s">
        <v>28</v>
      </c>
      <c r="Q39" s="3" t="s">
        <v>29</v>
      </c>
      <c r="R39" s="3">
        <v>5</v>
      </c>
      <c r="S39" s="3">
        <v>65265</v>
      </c>
      <c r="T39" s="3">
        <v>51474.15</v>
      </c>
      <c r="U39" s="17" t="str" cm="1">
        <f t="array" ref="U39">_xlfn.IFS(L39&gt;=100000,"Platinum",L39&gt;=70000,"Gold",L39&gt;=40000,"Silver",L39&lt;40000,"Bronze")</f>
        <v>Silver</v>
      </c>
      <c r="V39" s="3" t="str" cm="1">
        <f t="array" ref="V39">_xlfn.IFS(R39=5,"Excellent",R39=4,"Good",R39=3,"Average",R39=2,"Poor",R39=1,"Bad")</f>
        <v>Excellent</v>
      </c>
      <c r="W39" s="3" t="str" cm="1">
        <f t="array" ref="W39">_xlfn.IFS(O39&lt;=2,"Express",O39&lt;=5,"Fast",O39&lt;=7,"Normal",O39&gt;7,"Delayed")</f>
        <v>Express</v>
      </c>
      <c r="X39" s="3" t="str" cm="1">
        <f t="array" ref="X39">_xlfn.IFS(M39&gt;30000,"Excellent",M39&gt;15000,"Good",M39&gt;5000,"Average",M39&lt;=50000,"Poor")</f>
        <v>Average</v>
      </c>
      <c r="Y39" s="14" t="str" cm="1">
        <f t="array" ref="Y39">_xlfn.IFS(L39&gt;100000,"5%",L39&gt;50000,"10%",L39&lt;=50000,"15%")</f>
        <v>15%</v>
      </c>
    </row>
    <row r="40" spans="1:25" x14ac:dyDescent="0.3">
      <c r="A40" s="6" t="s">
        <v>127</v>
      </c>
      <c r="B40" s="3" t="s">
        <v>128</v>
      </c>
      <c r="C40" s="3" t="s">
        <v>79</v>
      </c>
      <c r="D40" s="3" t="s">
        <v>23</v>
      </c>
      <c r="E40" s="3" t="s">
        <v>41</v>
      </c>
      <c r="F40" s="3" t="s">
        <v>25</v>
      </c>
      <c r="G40" s="3" t="s">
        <v>26</v>
      </c>
      <c r="H40" s="3" t="s">
        <v>27</v>
      </c>
      <c r="I40" s="3">
        <v>1</v>
      </c>
      <c r="J40" s="3">
        <v>8000</v>
      </c>
      <c r="K40" s="3">
        <v>10</v>
      </c>
      <c r="L40" s="3">
        <v>7200</v>
      </c>
      <c r="M40" s="3">
        <v>1538.42</v>
      </c>
      <c r="N40" s="3">
        <v>87</v>
      </c>
      <c r="O40" s="3">
        <v>10</v>
      </c>
      <c r="P40" s="3" t="s">
        <v>59</v>
      </c>
      <c r="Q40" s="3" t="s">
        <v>29</v>
      </c>
      <c r="R40" s="3">
        <v>2</v>
      </c>
      <c r="S40" s="3">
        <v>50957</v>
      </c>
      <c r="T40" s="3">
        <v>7027.61</v>
      </c>
      <c r="U40" s="17" t="str" cm="1">
        <f t="array" ref="U40">_xlfn.IFS(L40&gt;=100000,"Platinum",L40&gt;=70000,"Gold",L40&gt;=40000,"Silver",L40&lt;40000,"Bronze")</f>
        <v>Bronze</v>
      </c>
      <c r="V40" s="3" t="str" cm="1">
        <f t="array" ref="V40">_xlfn.IFS(R40=5,"Excellent",R40=4,"Good",R40=3,"Average",R40=2,"Poor",R40=1,"Bad")</f>
        <v>Poor</v>
      </c>
      <c r="W40" s="3" t="str" cm="1">
        <f t="array" ref="W40">_xlfn.IFS(O40&lt;=2,"Express",O40&lt;=5,"Fast",O40&lt;=7,"Normal",O40&gt;7,"Delayed")</f>
        <v>Delayed</v>
      </c>
      <c r="X40" s="3" t="str" cm="1">
        <f t="array" ref="X40">_xlfn.IFS(M40&gt;30000,"Excellent",M40&gt;15000,"Good",M40&gt;5000,"Average",M40&lt;=50000,"Poor")</f>
        <v>Poor</v>
      </c>
      <c r="Y40" s="14" t="str" cm="1">
        <f t="array" ref="Y40">_xlfn.IFS(L40&gt;100000,"5%",L40&gt;50000,"10%",L40&lt;=50000,"15%")</f>
        <v>15%</v>
      </c>
    </row>
    <row r="41" spans="1:25" x14ac:dyDescent="0.3">
      <c r="A41" s="6" t="s">
        <v>129</v>
      </c>
      <c r="B41" s="3" t="s">
        <v>130</v>
      </c>
      <c r="C41" s="3" t="s">
        <v>40</v>
      </c>
      <c r="D41" s="3" t="s">
        <v>47</v>
      </c>
      <c r="E41" s="3" t="s">
        <v>48</v>
      </c>
      <c r="F41" s="3" t="s">
        <v>58</v>
      </c>
      <c r="G41" s="3" t="s">
        <v>53</v>
      </c>
      <c r="H41" s="3" t="s">
        <v>43</v>
      </c>
      <c r="I41" s="3">
        <v>6</v>
      </c>
      <c r="J41" s="3">
        <v>3500</v>
      </c>
      <c r="K41" s="3">
        <v>10</v>
      </c>
      <c r="L41" s="3">
        <v>18900</v>
      </c>
      <c r="M41" s="3">
        <v>5426.08</v>
      </c>
      <c r="N41" s="3">
        <v>33</v>
      </c>
      <c r="O41" s="3">
        <v>10</v>
      </c>
      <c r="P41" s="3" t="s">
        <v>44</v>
      </c>
      <c r="Q41" s="3" t="s">
        <v>29</v>
      </c>
      <c r="R41" s="3">
        <v>3</v>
      </c>
      <c r="S41" s="3">
        <v>142260</v>
      </c>
      <c r="T41" s="3">
        <v>18375.349999999999</v>
      </c>
      <c r="U41" s="17" t="str" cm="1">
        <f t="array" ref="U41">_xlfn.IFS(L41&gt;=100000,"Platinum",L41&gt;=70000,"Gold",L41&gt;=40000,"Silver",L41&lt;40000,"Bronze")</f>
        <v>Bronze</v>
      </c>
      <c r="V41" s="3" t="str" cm="1">
        <f t="array" ref="V41">_xlfn.IFS(R41=5,"Excellent",R41=4,"Good",R41=3,"Average",R41=2,"Poor",R41=1,"Bad")</f>
        <v>Average</v>
      </c>
      <c r="W41" s="3" t="str" cm="1">
        <f t="array" ref="W41">_xlfn.IFS(O41&lt;=2,"Express",O41&lt;=5,"Fast",O41&lt;=7,"Normal",O41&gt;7,"Delayed")</f>
        <v>Delayed</v>
      </c>
      <c r="X41" s="3" t="str" cm="1">
        <f t="array" ref="X41">_xlfn.IFS(M41&gt;30000,"Excellent",M41&gt;15000,"Good",M41&gt;5000,"Average",M41&lt;=50000,"Poor")</f>
        <v>Average</v>
      </c>
      <c r="Y41" s="14" t="str" cm="1">
        <f t="array" ref="Y41">_xlfn.IFS(L41&gt;100000,"5%",L41&gt;50000,"10%",L41&lt;=50000,"15%")</f>
        <v>15%</v>
      </c>
    </row>
    <row r="42" spans="1:25" x14ac:dyDescent="0.3">
      <c r="A42" s="6" t="s">
        <v>131</v>
      </c>
      <c r="B42" s="3" t="s">
        <v>132</v>
      </c>
      <c r="C42" s="3" t="s">
        <v>85</v>
      </c>
      <c r="D42" s="3" t="s">
        <v>23</v>
      </c>
      <c r="E42" s="3" t="s">
        <v>48</v>
      </c>
      <c r="F42" s="3" t="s">
        <v>70</v>
      </c>
      <c r="G42" s="3" t="s">
        <v>53</v>
      </c>
      <c r="H42" s="3" t="s">
        <v>43</v>
      </c>
      <c r="I42" s="3">
        <v>2</v>
      </c>
      <c r="J42" s="3">
        <v>1200</v>
      </c>
      <c r="K42" s="3">
        <v>0</v>
      </c>
      <c r="L42" s="3">
        <v>2400</v>
      </c>
      <c r="M42" s="3">
        <v>665.11</v>
      </c>
      <c r="N42" s="3">
        <v>96</v>
      </c>
      <c r="O42" s="3">
        <v>5</v>
      </c>
      <c r="P42" s="3" t="s">
        <v>59</v>
      </c>
      <c r="Q42" s="3" t="s">
        <v>37</v>
      </c>
      <c r="R42" s="3">
        <v>5</v>
      </c>
      <c r="S42" s="3">
        <v>87229</v>
      </c>
      <c r="T42" s="3">
        <v>2305.17</v>
      </c>
      <c r="U42" s="17" t="str" cm="1">
        <f t="array" ref="U42">_xlfn.IFS(L42&gt;=100000,"Platinum",L42&gt;=70000,"Gold",L42&gt;=40000,"Silver",L42&lt;40000,"Bronze")</f>
        <v>Bronze</v>
      </c>
      <c r="V42" s="3" t="str" cm="1">
        <f t="array" ref="V42">_xlfn.IFS(R42=5,"Excellent",R42=4,"Good",R42=3,"Average",R42=2,"Poor",R42=1,"Bad")</f>
        <v>Excellent</v>
      </c>
      <c r="W42" s="3" t="str" cm="1">
        <f t="array" ref="W42">_xlfn.IFS(O42&lt;=2,"Express",O42&lt;=5,"Fast",O42&lt;=7,"Normal",O42&gt;7,"Delayed")</f>
        <v>Fast</v>
      </c>
      <c r="X42" s="3" t="str" cm="1">
        <f t="array" ref="X42">_xlfn.IFS(M42&gt;30000,"Excellent",M42&gt;15000,"Good",M42&gt;5000,"Average",M42&lt;=50000,"Poor")</f>
        <v>Poor</v>
      </c>
      <c r="Y42" s="14" t="str" cm="1">
        <f t="array" ref="Y42">_xlfn.IFS(L42&gt;100000,"5%",L42&gt;50000,"10%",L42&lt;=50000,"15%")</f>
        <v>15%</v>
      </c>
    </row>
    <row r="43" spans="1:25" x14ac:dyDescent="0.3">
      <c r="A43" s="6" t="s">
        <v>133</v>
      </c>
      <c r="B43" s="3" t="s">
        <v>134</v>
      </c>
      <c r="C43" s="3" t="s">
        <v>51</v>
      </c>
      <c r="D43" s="3" t="s">
        <v>23</v>
      </c>
      <c r="E43" s="3" t="s">
        <v>41</v>
      </c>
      <c r="F43" s="3" t="s">
        <v>58</v>
      </c>
      <c r="G43" s="3" t="s">
        <v>66</v>
      </c>
      <c r="H43" s="3" t="s">
        <v>27</v>
      </c>
      <c r="I43" s="3">
        <v>6</v>
      </c>
      <c r="J43" s="3">
        <v>8000</v>
      </c>
      <c r="K43" s="3">
        <v>20</v>
      </c>
      <c r="L43" s="3">
        <v>38400</v>
      </c>
      <c r="M43" s="3">
        <v>9753.4500000000007</v>
      </c>
      <c r="N43" s="3">
        <v>39</v>
      </c>
      <c r="O43" s="3">
        <v>10</v>
      </c>
      <c r="P43" s="3" t="s">
        <v>44</v>
      </c>
      <c r="Q43" s="3" t="s">
        <v>37</v>
      </c>
      <c r="R43" s="3">
        <v>5</v>
      </c>
      <c r="S43" s="3">
        <v>118560</v>
      </c>
      <c r="T43" s="3">
        <v>44269.48</v>
      </c>
      <c r="U43" s="17" t="str" cm="1">
        <f t="array" ref="U43">_xlfn.IFS(L43&gt;=100000,"Platinum",L43&gt;=70000,"Gold",L43&gt;=40000,"Silver",L43&lt;40000,"Bronze")</f>
        <v>Bronze</v>
      </c>
      <c r="V43" s="3" t="str" cm="1">
        <f t="array" ref="V43">_xlfn.IFS(R43=5,"Excellent",R43=4,"Good",R43=3,"Average",R43=2,"Poor",R43=1,"Bad")</f>
        <v>Excellent</v>
      </c>
      <c r="W43" s="3" t="str" cm="1">
        <f t="array" ref="W43">_xlfn.IFS(O43&lt;=2,"Express",O43&lt;=5,"Fast",O43&lt;=7,"Normal",O43&gt;7,"Delayed")</f>
        <v>Delayed</v>
      </c>
      <c r="X43" s="3" t="str" cm="1">
        <f t="array" ref="X43">_xlfn.IFS(M43&gt;30000,"Excellent",M43&gt;15000,"Good",M43&gt;5000,"Average",M43&lt;=50000,"Poor")</f>
        <v>Average</v>
      </c>
      <c r="Y43" s="14" t="str" cm="1">
        <f t="array" ref="Y43">_xlfn.IFS(L43&gt;100000,"5%",L43&gt;50000,"10%",L43&lt;=50000,"15%")</f>
        <v>15%</v>
      </c>
    </row>
    <row r="44" spans="1:25" x14ac:dyDescent="0.3">
      <c r="A44" s="6" t="s">
        <v>135</v>
      </c>
      <c r="B44" s="3" t="s">
        <v>31</v>
      </c>
      <c r="C44" s="3" t="s">
        <v>136</v>
      </c>
      <c r="D44" s="3" t="s">
        <v>23</v>
      </c>
      <c r="E44" s="3" t="s">
        <v>24</v>
      </c>
      <c r="F44" s="3" t="s">
        <v>25</v>
      </c>
      <c r="G44" s="3" t="s">
        <v>42</v>
      </c>
      <c r="H44" s="3" t="s">
        <v>43</v>
      </c>
      <c r="I44" s="3">
        <v>2</v>
      </c>
      <c r="J44" s="3">
        <v>1200</v>
      </c>
      <c r="K44" s="3">
        <v>10</v>
      </c>
      <c r="L44" s="3">
        <v>2160</v>
      </c>
      <c r="M44" s="3">
        <v>292.62</v>
      </c>
      <c r="N44" s="3">
        <v>15</v>
      </c>
      <c r="O44" s="3">
        <v>7</v>
      </c>
      <c r="P44" s="3" t="s">
        <v>44</v>
      </c>
      <c r="Q44" s="3" t="s">
        <v>29</v>
      </c>
      <c r="R44" s="3">
        <v>3</v>
      </c>
      <c r="S44" s="3">
        <v>87612</v>
      </c>
      <c r="T44" s="3">
        <v>2207.94</v>
      </c>
      <c r="U44" s="17" t="str" cm="1">
        <f t="array" ref="U44">_xlfn.IFS(L44&gt;=100000,"Platinum",L44&gt;=70000,"Gold",L44&gt;=40000,"Silver",L44&lt;40000,"Bronze")</f>
        <v>Bronze</v>
      </c>
      <c r="V44" s="3" t="str" cm="1">
        <f t="array" ref="V44">_xlfn.IFS(R44=5,"Excellent",R44=4,"Good",R44=3,"Average",R44=2,"Poor",R44=1,"Bad")</f>
        <v>Average</v>
      </c>
      <c r="W44" s="3" t="str" cm="1">
        <f t="array" ref="W44">_xlfn.IFS(O44&lt;=2,"Express",O44&lt;=5,"Fast",O44&lt;=7,"Normal",O44&gt;7,"Delayed")</f>
        <v>Normal</v>
      </c>
      <c r="X44" s="3" t="str" cm="1">
        <f t="array" ref="X44">_xlfn.IFS(M44&gt;30000,"Excellent",M44&gt;15000,"Good",M44&gt;5000,"Average",M44&lt;=50000,"Poor")</f>
        <v>Poor</v>
      </c>
      <c r="Y44" s="14" t="str" cm="1">
        <f t="array" ref="Y44">_xlfn.IFS(L44&gt;100000,"5%",L44&gt;50000,"10%",L44&lt;=50000,"15%")</f>
        <v>15%</v>
      </c>
    </row>
    <row r="45" spans="1:25" x14ac:dyDescent="0.3">
      <c r="A45" s="6" t="s">
        <v>137</v>
      </c>
      <c r="B45" s="3" t="s">
        <v>138</v>
      </c>
      <c r="C45" s="3" t="s">
        <v>77</v>
      </c>
      <c r="D45" s="3" t="s">
        <v>33</v>
      </c>
      <c r="E45" s="3" t="s">
        <v>41</v>
      </c>
      <c r="F45" s="3" t="s">
        <v>70</v>
      </c>
      <c r="G45" s="3" t="s">
        <v>66</v>
      </c>
      <c r="H45" s="3" t="s">
        <v>27</v>
      </c>
      <c r="I45" s="3">
        <v>7</v>
      </c>
      <c r="J45" s="3">
        <v>15000</v>
      </c>
      <c r="K45" s="3">
        <v>0</v>
      </c>
      <c r="L45" s="3">
        <v>105000</v>
      </c>
      <c r="M45" s="3">
        <v>555.34</v>
      </c>
      <c r="N45" s="3">
        <v>44</v>
      </c>
      <c r="O45" s="3">
        <v>5</v>
      </c>
      <c r="P45" s="3" t="s">
        <v>67</v>
      </c>
      <c r="Q45" s="3" t="s">
        <v>37</v>
      </c>
      <c r="R45" s="3">
        <v>2</v>
      </c>
      <c r="S45" s="3">
        <v>65464</v>
      </c>
      <c r="T45" s="3">
        <v>125208.66</v>
      </c>
      <c r="U45" s="17" t="str" cm="1">
        <f t="array" ref="U45">_xlfn.IFS(L45&gt;=100000,"Platinum",L45&gt;=70000,"Gold",L45&gt;=40000,"Silver",L45&lt;40000,"Bronze")</f>
        <v>Platinum</v>
      </c>
      <c r="V45" s="3" t="str" cm="1">
        <f t="array" ref="V45">_xlfn.IFS(R45=5,"Excellent",R45=4,"Good",R45=3,"Average",R45=2,"Poor",R45=1,"Bad")</f>
        <v>Poor</v>
      </c>
      <c r="W45" s="3" t="str" cm="1">
        <f t="array" ref="W45">_xlfn.IFS(O45&lt;=2,"Express",O45&lt;=5,"Fast",O45&lt;=7,"Normal",O45&gt;7,"Delayed")</f>
        <v>Fast</v>
      </c>
      <c r="X45" s="3" t="str" cm="1">
        <f t="array" ref="X45">_xlfn.IFS(M45&gt;30000,"Excellent",M45&gt;15000,"Good",M45&gt;5000,"Average",M45&lt;=50000,"Poor")</f>
        <v>Poor</v>
      </c>
      <c r="Y45" s="14" t="str" cm="1">
        <f t="array" ref="Y45">_xlfn.IFS(L45&gt;100000,"5%",L45&gt;50000,"10%",L45&lt;=50000,"15%")</f>
        <v>5%</v>
      </c>
    </row>
    <row r="46" spans="1:25" x14ac:dyDescent="0.3">
      <c r="A46" s="6" t="s">
        <v>139</v>
      </c>
      <c r="B46" s="3" t="s">
        <v>140</v>
      </c>
      <c r="C46" s="3" t="s">
        <v>85</v>
      </c>
      <c r="D46" s="3" t="s">
        <v>23</v>
      </c>
      <c r="E46" s="3" t="s">
        <v>48</v>
      </c>
      <c r="F46" s="3" t="s">
        <v>34</v>
      </c>
      <c r="G46" s="3" t="s">
        <v>80</v>
      </c>
      <c r="H46" s="3" t="s">
        <v>36</v>
      </c>
      <c r="I46" s="3">
        <v>7</v>
      </c>
      <c r="J46" s="3">
        <v>15000</v>
      </c>
      <c r="K46" s="3">
        <v>0</v>
      </c>
      <c r="L46" s="3">
        <v>105000</v>
      </c>
      <c r="M46" s="3">
        <v>22751.02</v>
      </c>
      <c r="N46" s="3">
        <v>15</v>
      </c>
      <c r="O46" s="3">
        <v>6</v>
      </c>
      <c r="P46" s="3" t="s">
        <v>67</v>
      </c>
      <c r="Q46" s="3" t="s">
        <v>29</v>
      </c>
      <c r="R46" s="3">
        <v>3</v>
      </c>
      <c r="S46" s="3">
        <v>91921</v>
      </c>
      <c r="T46" s="3">
        <v>90401.41</v>
      </c>
      <c r="U46" s="17" t="str" cm="1">
        <f t="array" ref="U46">_xlfn.IFS(L46&gt;=100000,"Platinum",L46&gt;=70000,"Gold",L46&gt;=40000,"Silver",L46&lt;40000,"Bronze")</f>
        <v>Platinum</v>
      </c>
      <c r="V46" s="3" t="str" cm="1">
        <f t="array" ref="V46">_xlfn.IFS(R46=5,"Excellent",R46=4,"Good",R46=3,"Average",R46=2,"Poor",R46=1,"Bad")</f>
        <v>Average</v>
      </c>
      <c r="W46" s="3" t="str" cm="1">
        <f t="array" ref="W46">_xlfn.IFS(O46&lt;=2,"Express",O46&lt;=5,"Fast",O46&lt;=7,"Normal",O46&gt;7,"Delayed")</f>
        <v>Normal</v>
      </c>
      <c r="X46" s="3" t="str" cm="1">
        <f t="array" ref="X46">_xlfn.IFS(M46&gt;30000,"Excellent",M46&gt;15000,"Good",M46&gt;5000,"Average",M46&lt;=50000,"Poor")</f>
        <v>Good</v>
      </c>
      <c r="Y46" s="14" t="str" cm="1">
        <f t="array" ref="Y46">_xlfn.IFS(L46&gt;100000,"5%",L46&gt;50000,"10%",L46&lt;=50000,"15%")</f>
        <v>5%</v>
      </c>
    </row>
    <row r="47" spans="1:25" x14ac:dyDescent="0.3">
      <c r="A47" s="6" t="s">
        <v>141</v>
      </c>
      <c r="B47" s="3" t="s">
        <v>142</v>
      </c>
      <c r="C47" s="3" t="s">
        <v>51</v>
      </c>
      <c r="D47" s="3" t="s">
        <v>47</v>
      </c>
      <c r="E47" s="3" t="s">
        <v>57</v>
      </c>
      <c r="F47" s="3" t="s">
        <v>25</v>
      </c>
      <c r="G47" s="3" t="s">
        <v>26</v>
      </c>
      <c r="H47" s="3" t="s">
        <v>27</v>
      </c>
      <c r="I47" s="3">
        <v>3</v>
      </c>
      <c r="J47" s="3">
        <v>3500</v>
      </c>
      <c r="K47" s="3">
        <v>20</v>
      </c>
      <c r="L47" s="3">
        <v>8400</v>
      </c>
      <c r="M47" s="3">
        <v>1425.68</v>
      </c>
      <c r="N47" s="3">
        <v>58</v>
      </c>
      <c r="O47" s="3">
        <v>1</v>
      </c>
      <c r="P47" s="3" t="s">
        <v>28</v>
      </c>
      <c r="Q47" s="3" t="s">
        <v>37</v>
      </c>
      <c r="R47" s="3">
        <v>1</v>
      </c>
      <c r="S47" s="3">
        <v>27751</v>
      </c>
      <c r="T47" s="3">
        <v>8568.7900000000009</v>
      </c>
      <c r="U47" s="17" t="str" cm="1">
        <f t="array" ref="U47">_xlfn.IFS(L47&gt;=100000,"Platinum",L47&gt;=70000,"Gold",L47&gt;=40000,"Silver",L47&lt;40000,"Bronze")</f>
        <v>Bronze</v>
      </c>
      <c r="V47" s="3" t="str" cm="1">
        <f t="array" ref="V47">_xlfn.IFS(R47=5,"Excellent",R47=4,"Good",R47=3,"Average",R47=2,"Poor",R47=1,"Bad")</f>
        <v>Bad</v>
      </c>
      <c r="W47" s="3" t="str" cm="1">
        <f t="array" ref="W47">_xlfn.IFS(O47&lt;=2,"Express",O47&lt;=5,"Fast",O47&lt;=7,"Normal",O47&gt;7,"Delayed")</f>
        <v>Express</v>
      </c>
      <c r="X47" s="3" t="str" cm="1">
        <f t="array" ref="X47">_xlfn.IFS(M47&gt;30000,"Excellent",M47&gt;15000,"Good",M47&gt;5000,"Average",M47&lt;=50000,"Poor")</f>
        <v>Poor</v>
      </c>
      <c r="Y47" s="14" t="str" cm="1">
        <f t="array" ref="Y47">_xlfn.IFS(L47&gt;100000,"5%",L47&gt;50000,"10%",L47&lt;=50000,"15%")</f>
        <v>15%</v>
      </c>
    </row>
    <row r="48" spans="1:25" x14ac:dyDescent="0.3">
      <c r="A48" s="6" t="s">
        <v>143</v>
      </c>
      <c r="B48" s="3" t="s">
        <v>69</v>
      </c>
      <c r="C48" s="3" t="s">
        <v>136</v>
      </c>
      <c r="D48" s="3" t="s">
        <v>23</v>
      </c>
      <c r="E48" s="3" t="s">
        <v>48</v>
      </c>
      <c r="F48" s="3" t="s">
        <v>34</v>
      </c>
      <c r="G48" s="3" t="s">
        <v>35</v>
      </c>
      <c r="H48" s="3" t="s">
        <v>36</v>
      </c>
      <c r="I48" s="3">
        <v>1</v>
      </c>
      <c r="J48" s="3">
        <v>65000</v>
      </c>
      <c r="K48" s="3">
        <v>0</v>
      </c>
      <c r="L48" s="3">
        <v>65000</v>
      </c>
      <c r="M48" s="3">
        <v>1504.22</v>
      </c>
      <c r="N48" s="3">
        <v>61</v>
      </c>
      <c r="O48" s="3">
        <v>10</v>
      </c>
      <c r="P48" s="3" t="s">
        <v>28</v>
      </c>
      <c r="Q48" s="3" t="s">
        <v>29</v>
      </c>
      <c r="R48" s="3">
        <v>2</v>
      </c>
      <c r="S48" s="3">
        <v>12113</v>
      </c>
      <c r="T48" s="3">
        <v>68285.53</v>
      </c>
      <c r="U48" s="17" t="str" cm="1">
        <f t="array" ref="U48">_xlfn.IFS(L48&gt;=100000,"Platinum",L48&gt;=70000,"Gold",L48&gt;=40000,"Silver",L48&lt;40000,"Bronze")</f>
        <v>Silver</v>
      </c>
      <c r="V48" s="3" t="str" cm="1">
        <f t="array" ref="V48">_xlfn.IFS(R48=5,"Excellent",R48=4,"Good",R48=3,"Average",R48=2,"Poor",R48=1,"Bad")</f>
        <v>Poor</v>
      </c>
      <c r="W48" s="3" t="str" cm="1">
        <f t="array" ref="W48">_xlfn.IFS(O48&lt;=2,"Express",O48&lt;=5,"Fast",O48&lt;=7,"Normal",O48&gt;7,"Delayed")</f>
        <v>Delayed</v>
      </c>
      <c r="X48" s="3" t="str" cm="1">
        <f t="array" ref="X48">_xlfn.IFS(M48&gt;30000,"Excellent",M48&gt;15000,"Good",M48&gt;5000,"Average",M48&lt;=50000,"Poor")</f>
        <v>Poor</v>
      </c>
      <c r="Y48" s="14" t="str" cm="1">
        <f t="array" ref="Y48">_xlfn.IFS(L48&gt;100000,"5%",L48&gt;50000,"10%",L48&lt;=50000,"15%")</f>
        <v>10%</v>
      </c>
    </row>
    <row r="49" spans="1:25" x14ac:dyDescent="0.3">
      <c r="A49" s="6" t="s">
        <v>144</v>
      </c>
      <c r="B49" s="3" t="s">
        <v>145</v>
      </c>
      <c r="C49" s="3" t="s">
        <v>22</v>
      </c>
      <c r="D49" s="3" t="s">
        <v>33</v>
      </c>
      <c r="E49" s="3" t="s">
        <v>48</v>
      </c>
      <c r="F49" s="3" t="s">
        <v>70</v>
      </c>
      <c r="G49" s="3" t="s">
        <v>53</v>
      </c>
      <c r="H49" s="3" t="s">
        <v>43</v>
      </c>
      <c r="I49" s="3">
        <v>6</v>
      </c>
      <c r="J49" s="3">
        <v>8000</v>
      </c>
      <c r="K49" s="3">
        <v>15</v>
      </c>
      <c r="L49" s="3">
        <v>40800</v>
      </c>
      <c r="M49" s="3">
        <v>-504.62</v>
      </c>
      <c r="N49" s="3">
        <v>70</v>
      </c>
      <c r="O49" s="3">
        <v>10</v>
      </c>
      <c r="P49" s="3" t="s">
        <v>59</v>
      </c>
      <c r="Q49" s="3" t="s">
        <v>29</v>
      </c>
      <c r="R49" s="3">
        <v>2</v>
      </c>
      <c r="S49" s="3">
        <v>52926</v>
      </c>
      <c r="T49" s="3">
        <v>34881.1</v>
      </c>
      <c r="U49" s="17" t="str" cm="1">
        <f t="array" ref="U49">_xlfn.IFS(L49&gt;=100000,"Platinum",L49&gt;=70000,"Gold",L49&gt;=40000,"Silver",L49&lt;40000,"Bronze")</f>
        <v>Silver</v>
      </c>
      <c r="V49" s="3" t="str" cm="1">
        <f t="array" ref="V49">_xlfn.IFS(R49=5,"Excellent",R49=4,"Good",R49=3,"Average",R49=2,"Poor",R49=1,"Bad")</f>
        <v>Poor</v>
      </c>
      <c r="W49" s="3" t="str" cm="1">
        <f t="array" ref="W49">_xlfn.IFS(O49&lt;=2,"Express",O49&lt;=5,"Fast",O49&lt;=7,"Normal",O49&gt;7,"Delayed")</f>
        <v>Delayed</v>
      </c>
      <c r="X49" s="3" t="str" cm="1">
        <f t="array" ref="X49">_xlfn.IFS(M49&gt;30000,"Excellent",M49&gt;15000,"Good",M49&gt;5000,"Average",M49&lt;=50000,"Poor")</f>
        <v>Poor</v>
      </c>
      <c r="Y49" s="14" t="str" cm="1">
        <f t="array" ref="Y49">_xlfn.IFS(L49&gt;100000,"5%",L49&gt;50000,"10%",L49&lt;=50000,"15%")</f>
        <v>15%</v>
      </c>
    </row>
    <row r="50" spans="1:25" x14ac:dyDescent="0.3">
      <c r="A50" s="6" t="s">
        <v>146</v>
      </c>
      <c r="B50" s="3" t="s">
        <v>147</v>
      </c>
      <c r="C50" s="3" t="s">
        <v>51</v>
      </c>
      <c r="D50" s="3" t="s">
        <v>23</v>
      </c>
      <c r="E50" s="3" t="s">
        <v>24</v>
      </c>
      <c r="F50" s="3" t="s">
        <v>34</v>
      </c>
      <c r="G50" s="3" t="s">
        <v>66</v>
      </c>
      <c r="H50" s="3" t="s">
        <v>27</v>
      </c>
      <c r="I50" s="3">
        <v>5</v>
      </c>
      <c r="J50" s="3">
        <v>500</v>
      </c>
      <c r="K50" s="3">
        <v>0</v>
      </c>
      <c r="L50" s="3">
        <v>2500</v>
      </c>
      <c r="M50" s="3">
        <v>428.84</v>
      </c>
      <c r="N50" s="3">
        <v>39</v>
      </c>
      <c r="O50" s="3">
        <v>4</v>
      </c>
      <c r="P50" s="3" t="s">
        <v>28</v>
      </c>
      <c r="Q50" s="3" t="s">
        <v>29</v>
      </c>
      <c r="R50" s="3">
        <v>4</v>
      </c>
      <c r="S50" s="3">
        <v>66587</v>
      </c>
      <c r="T50" s="3">
        <v>2753.49</v>
      </c>
      <c r="U50" s="17" t="str" cm="1">
        <f t="array" ref="U50">_xlfn.IFS(L50&gt;=100000,"Platinum",L50&gt;=70000,"Gold",L50&gt;=40000,"Silver",L50&lt;40000,"Bronze")</f>
        <v>Bronze</v>
      </c>
      <c r="V50" s="3" t="str" cm="1">
        <f t="array" ref="V50">_xlfn.IFS(R50=5,"Excellent",R50=4,"Good",R50=3,"Average",R50=2,"Poor",R50=1,"Bad")</f>
        <v>Good</v>
      </c>
      <c r="W50" s="3" t="str" cm="1">
        <f t="array" ref="W50">_xlfn.IFS(O50&lt;=2,"Express",O50&lt;=5,"Fast",O50&lt;=7,"Normal",O50&gt;7,"Delayed")</f>
        <v>Fast</v>
      </c>
      <c r="X50" s="3" t="str" cm="1">
        <f t="array" ref="X50">_xlfn.IFS(M50&gt;30000,"Excellent",M50&gt;15000,"Good",M50&gt;5000,"Average",M50&lt;=50000,"Poor")</f>
        <v>Poor</v>
      </c>
      <c r="Y50" s="14" t="str" cm="1">
        <f t="array" ref="Y50">_xlfn.IFS(L50&gt;100000,"5%",L50&gt;50000,"10%",L50&lt;=50000,"15%")</f>
        <v>15%</v>
      </c>
    </row>
    <row r="51" spans="1:25" ht="15" thickBot="1" x14ac:dyDescent="0.35">
      <c r="A51" s="8" t="s">
        <v>148</v>
      </c>
      <c r="B51" s="9" t="s">
        <v>31</v>
      </c>
      <c r="C51" s="9" t="s">
        <v>32</v>
      </c>
      <c r="D51" s="9" t="s">
        <v>47</v>
      </c>
      <c r="E51" s="9" t="s">
        <v>57</v>
      </c>
      <c r="F51" s="9" t="s">
        <v>52</v>
      </c>
      <c r="G51" s="9" t="s">
        <v>42</v>
      </c>
      <c r="H51" s="9" t="s">
        <v>43</v>
      </c>
      <c r="I51" s="9">
        <v>5</v>
      </c>
      <c r="J51" s="9">
        <v>65000</v>
      </c>
      <c r="K51" s="9">
        <v>5</v>
      </c>
      <c r="L51" s="9">
        <v>308750</v>
      </c>
      <c r="M51" s="9">
        <v>8887.48</v>
      </c>
      <c r="N51" s="9">
        <v>62</v>
      </c>
      <c r="O51" s="9">
        <v>4</v>
      </c>
      <c r="P51" s="9" t="s">
        <v>44</v>
      </c>
      <c r="Q51" s="9" t="s">
        <v>37</v>
      </c>
      <c r="R51" s="9">
        <v>1</v>
      </c>
      <c r="S51" s="9">
        <v>147908</v>
      </c>
      <c r="T51" s="9">
        <v>359698.57</v>
      </c>
      <c r="U51" s="19" t="str" cm="1">
        <f t="array" ref="U51">_xlfn.IFS(L51&gt;=100000,"Platinum",L51&gt;=70000,"Gold",L51&gt;=40000,"Silver",L51&lt;40000,"Bronze")</f>
        <v>Platinum</v>
      </c>
      <c r="V51" s="16" t="str" cm="1">
        <f t="array" ref="V51">_xlfn.IFS(R51=5,"Excellent",R51=4,"Good",R51=3,"Average",R51=2,"Poor",R51=1,"Bad")</f>
        <v>Bad</v>
      </c>
      <c r="W51" s="16" t="str" cm="1">
        <f t="array" ref="W51">_xlfn.IFS(O51&lt;=2,"Express",O51&lt;=5,"Fast",O51&lt;=7,"Normal",O51&gt;7,"Delayed")</f>
        <v>Fast</v>
      </c>
      <c r="X51" s="16" t="str" cm="1">
        <f t="array" ref="X51">_xlfn.IFS(M51&gt;30000,"Excellent",M51&gt;15000,"Good",M51&gt;5000,"Average",M51&lt;=50000,"Poor")</f>
        <v>Average</v>
      </c>
      <c r="Y51" s="20" t="str" cm="1">
        <f t="array" ref="Y51">_xlfn.IFS(L51&gt;100000,"5%",L51&gt;50000,"10%",L51&lt;=50000,"15%")</f>
        <v>5%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639E-E8FA-44B9-982C-8BAE1046996F}">
  <dimension ref="A1:Z51"/>
  <sheetViews>
    <sheetView topLeftCell="I1" workbookViewId="0">
      <selection activeCell="U7" sqref="U7"/>
    </sheetView>
  </sheetViews>
  <sheetFormatPr defaultRowHeight="14.4" x14ac:dyDescent="0.3"/>
  <cols>
    <col min="1" max="1" width="8.77734375" bestFit="1" customWidth="1"/>
    <col min="2" max="2" width="11" bestFit="1" customWidth="1"/>
    <col min="3" max="3" width="15.5546875" bestFit="1" customWidth="1"/>
    <col min="4" max="4" width="14.5546875" bestFit="1" customWidth="1"/>
    <col min="5" max="5" width="6.88671875" bestFit="1" customWidth="1"/>
    <col min="6" max="6" width="11.33203125" bestFit="1" customWidth="1"/>
    <col min="7" max="7" width="9.5546875" bestFit="1" customWidth="1"/>
    <col min="8" max="8" width="14.109375" bestFit="1" customWidth="1"/>
    <col min="9" max="9" width="8.44140625" bestFit="1" customWidth="1"/>
    <col min="10" max="10" width="10" bestFit="1" customWidth="1"/>
    <col min="11" max="11" width="11" bestFit="1" customWidth="1"/>
    <col min="12" max="12" width="7" bestFit="1" customWidth="1"/>
    <col min="13" max="13" width="10" bestFit="1" customWidth="1"/>
    <col min="14" max="14" width="14.6640625" bestFit="1" customWidth="1"/>
    <col min="15" max="15" width="13.33203125" bestFit="1" customWidth="1"/>
    <col min="16" max="16" width="14.88671875" bestFit="1" customWidth="1"/>
    <col min="17" max="17" width="9" bestFit="1" customWidth="1"/>
    <col min="18" max="18" width="15.77734375" bestFit="1" customWidth="1"/>
    <col min="19" max="19" width="7" bestFit="1" customWidth="1"/>
    <col min="20" max="20" width="11.77734375" bestFit="1" customWidth="1"/>
    <col min="21" max="21" width="16.5546875" customWidth="1"/>
    <col min="22" max="22" width="16" customWidth="1"/>
    <col min="23" max="23" width="17.5546875" customWidth="1"/>
    <col min="24" max="24" width="13.33203125" customWidth="1"/>
    <col min="25" max="25" width="16.77734375" customWidth="1"/>
    <col min="26" max="26" width="15.5546875" customWidth="1"/>
  </cols>
  <sheetData>
    <row r="1" spans="1:2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t="s">
        <v>171</v>
      </c>
      <c r="V1" t="s">
        <v>174</v>
      </c>
      <c r="W1" t="s">
        <v>175</v>
      </c>
      <c r="X1" t="s">
        <v>176</v>
      </c>
      <c r="Y1" t="s">
        <v>177</v>
      </c>
      <c r="Z1" t="s">
        <v>178</v>
      </c>
    </row>
    <row r="2" spans="1:26" x14ac:dyDescent="0.3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>
        <v>4</v>
      </c>
      <c r="J2" s="3">
        <v>500</v>
      </c>
      <c r="K2" s="3">
        <v>15</v>
      </c>
      <c r="L2" s="3">
        <v>1700</v>
      </c>
      <c r="M2" s="3">
        <v>51.99</v>
      </c>
      <c r="N2" s="3">
        <v>91</v>
      </c>
      <c r="O2" s="3">
        <v>5</v>
      </c>
      <c r="P2" s="3" t="s">
        <v>28</v>
      </c>
      <c r="Q2" s="3" t="s">
        <v>29</v>
      </c>
      <c r="R2" s="3">
        <v>2</v>
      </c>
      <c r="S2" s="3">
        <v>132243</v>
      </c>
      <c r="T2" s="3">
        <v>2015.5</v>
      </c>
      <c r="U2" s="17" t="str" cm="1">
        <f t="array" ref="U2">_xlfn.IFS(O2&lt;=2,"Express",O2&lt;=5,"Fast",O2&lt;=7,"Normal",O2&gt;7,"Delayed")</f>
        <v>Fast</v>
      </c>
      <c r="V2" s="3" t="str" cm="1">
        <f t="array" ref="V2">_xlfn.SWITCH(P2,"Cash","C","Card","CR","UPI","U","Net Banking","NB")</f>
        <v>C</v>
      </c>
      <c r="W2" s="3" t="str" cm="1">
        <f t="array" ref="W2">_xlfn.SWITCH(E2,"East","Rahul","West","Amit","North","Priya","South","Karan")</f>
        <v>Amit</v>
      </c>
      <c r="X2" s="3" t="str" cm="1">
        <f t="array" ref="X2">_xlfn.SWITCH(H2,"Electronics","Tech","Furniture","Home","Office Supplies","Office")</f>
        <v>Tech</v>
      </c>
      <c r="Y2" s="3" t="str" cm="1">
        <f t="array" ref="Y2">_xlfn.SWITCH(D2,"Regular","Level 1","Premium","Level 2","VIP","Level 3")</f>
        <v>Level 3</v>
      </c>
      <c r="Z2" s="14" t="str" cm="1">
        <f t="array" ref="Z2">_xlfn.SWITCH(U2,"Express","EXP","Fast","STD","Normal","NOR","Delayed","DLY")</f>
        <v>STD</v>
      </c>
    </row>
    <row r="3" spans="1:26" x14ac:dyDescent="0.3">
      <c r="A3" s="3" t="s">
        <v>30</v>
      </c>
      <c r="B3" s="3" t="s">
        <v>31</v>
      </c>
      <c r="C3" s="3" t="s">
        <v>32</v>
      </c>
      <c r="D3" s="3" t="s">
        <v>33</v>
      </c>
      <c r="E3" s="3" t="s">
        <v>24</v>
      </c>
      <c r="F3" s="3" t="s">
        <v>34</v>
      </c>
      <c r="G3" s="3" t="s">
        <v>35</v>
      </c>
      <c r="H3" s="3" t="s">
        <v>36</v>
      </c>
      <c r="I3" s="3">
        <v>4</v>
      </c>
      <c r="J3" s="3">
        <v>500</v>
      </c>
      <c r="K3" s="3">
        <v>10</v>
      </c>
      <c r="L3" s="3">
        <v>1800</v>
      </c>
      <c r="M3" s="3">
        <v>487.97</v>
      </c>
      <c r="N3" s="3">
        <v>64</v>
      </c>
      <c r="O3" s="3">
        <v>7</v>
      </c>
      <c r="P3" s="3" t="s">
        <v>28</v>
      </c>
      <c r="Q3" s="3" t="s">
        <v>37</v>
      </c>
      <c r="R3" s="3">
        <v>4</v>
      </c>
      <c r="S3" s="3">
        <v>104471</v>
      </c>
      <c r="T3" s="3">
        <v>2019.21</v>
      </c>
      <c r="U3" s="17" t="str" cm="1">
        <f t="array" ref="U3">_xlfn.IFS(O3&lt;=2,"Express",O3&lt;=5,"Fast",O3&lt;=7,"Normal",O3&gt;7,"Delayed")</f>
        <v>Normal</v>
      </c>
      <c r="V3" s="3" t="str" cm="1">
        <f t="array" ref="V3">_xlfn.SWITCH(P3,"Cash","C","Card","CR","UPI","U","Net Banking","NB")</f>
        <v>C</v>
      </c>
      <c r="W3" s="3" t="str" cm="1">
        <f t="array" ref="W3">_xlfn.SWITCH(E3,"East","Rahul","West","Amit","North","Priya","South","Karan")</f>
        <v>Amit</v>
      </c>
      <c r="X3" s="3" t="str" cm="1">
        <f t="array" ref="X3">_xlfn.SWITCH(H3,"Electronics","Tech","Furniture","Home","Office Supplies","Office")</f>
        <v>Home</v>
      </c>
      <c r="Y3" s="3" t="str" cm="1">
        <f t="array" ref="Y3">_xlfn.SWITCH(D3,"Regular","Level 1","Premium","Level 2","VIP","Level 3")</f>
        <v>Level 1</v>
      </c>
      <c r="Z3" s="14" t="str" cm="1">
        <f t="array" ref="Z3">_xlfn.SWITCH(U3,"Express","EXP","Fast","STD","Normal","NOR","Delayed","DLY")</f>
        <v>NOR</v>
      </c>
    </row>
    <row r="4" spans="1:26" x14ac:dyDescent="0.3">
      <c r="A4" s="3" t="s">
        <v>38</v>
      </c>
      <c r="B4" s="3" t="s">
        <v>39</v>
      </c>
      <c r="C4" s="3" t="s">
        <v>40</v>
      </c>
      <c r="D4" s="3" t="s">
        <v>23</v>
      </c>
      <c r="E4" s="3" t="s">
        <v>41</v>
      </c>
      <c r="F4" s="3" t="s">
        <v>34</v>
      </c>
      <c r="G4" s="3" t="s">
        <v>42</v>
      </c>
      <c r="H4" s="3" t="s">
        <v>43</v>
      </c>
      <c r="I4" s="3">
        <v>10</v>
      </c>
      <c r="J4" s="3">
        <v>1200</v>
      </c>
      <c r="K4" s="3">
        <v>20</v>
      </c>
      <c r="L4" s="3">
        <v>9600</v>
      </c>
      <c r="M4" s="3">
        <v>-169.53</v>
      </c>
      <c r="N4" s="3">
        <v>88</v>
      </c>
      <c r="O4" s="3">
        <v>5</v>
      </c>
      <c r="P4" s="3" t="s">
        <v>44</v>
      </c>
      <c r="Q4" s="3" t="s">
        <v>29</v>
      </c>
      <c r="R4" s="3">
        <v>3</v>
      </c>
      <c r="S4" s="3">
        <v>10899</v>
      </c>
      <c r="T4" s="3">
        <v>7827.1</v>
      </c>
      <c r="U4" s="17" t="str" cm="1">
        <f t="array" ref="U4">_xlfn.IFS(O4&lt;=2,"Express",O4&lt;=5,"Fast",O4&lt;=7,"Normal",O4&gt;7,"Delayed")</f>
        <v>Fast</v>
      </c>
      <c r="V4" s="3" t="str" cm="1">
        <f t="array" ref="V4">_xlfn.SWITCH(P4,"Cash","C","Card","CR","UPI","U","Net Banking","NB")</f>
        <v>CR</v>
      </c>
      <c r="W4" s="3" t="str" cm="1">
        <f t="array" ref="W4">_xlfn.SWITCH(E4,"East","Rahul","West","Amit","North","Priya","South","Karan")</f>
        <v>Karan</v>
      </c>
      <c r="X4" s="3" t="str" cm="1">
        <f t="array" ref="X4">_xlfn.SWITCH(H4,"Electronics","Tech","Furniture","Home","Office Supplies","Office")</f>
        <v>Office</v>
      </c>
      <c r="Y4" s="3" t="str" cm="1">
        <f t="array" ref="Y4">_xlfn.SWITCH(D4,"Regular","Level 1","Premium","Level 2","VIP","Level 3")</f>
        <v>Level 3</v>
      </c>
      <c r="Z4" s="14" t="str" cm="1">
        <f t="array" ref="Z4">_xlfn.SWITCH(U4,"Express","EXP","Fast","STD","Normal","NOR","Delayed","DLY")</f>
        <v>STD</v>
      </c>
    </row>
    <row r="5" spans="1:26" x14ac:dyDescent="0.3">
      <c r="A5" s="3" t="s">
        <v>45</v>
      </c>
      <c r="B5" s="3" t="s">
        <v>46</v>
      </c>
      <c r="C5" s="3" t="s">
        <v>22</v>
      </c>
      <c r="D5" s="3" t="s">
        <v>47</v>
      </c>
      <c r="E5" s="3" t="s">
        <v>48</v>
      </c>
      <c r="F5" s="3" t="s">
        <v>34</v>
      </c>
      <c r="G5" s="3" t="s">
        <v>35</v>
      </c>
      <c r="H5" s="3" t="s">
        <v>36</v>
      </c>
      <c r="I5" s="3">
        <v>1</v>
      </c>
      <c r="J5" s="3">
        <v>45000</v>
      </c>
      <c r="K5" s="3">
        <v>20</v>
      </c>
      <c r="L5" s="3">
        <v>36000</v>
      </c>
      <c r="M5" s="3">
        <v>1792.12</v>
      </c>
      <c r="N5" s="3">
        <v>62</v>
      </c>
      <c r="O5" s="3">
        <v>4</v>
      </c>
      <c r="P5" s="3" t="s">
        <v>28</v>
      </c>
      <c r="Q5" s="3" t="s">
        <v>29</v>
      </c>
      <c r="R5" s="3">
        <v>5</v>
      </c>
      <c r="S5" s="3">
        <v>131058</v>
      </c>
      <c r="T5" s="3">
        <v>41969.91</v>
      </c>
      <c r="U5" s="17" t="str" cm="1">
        <f t="array" ref="U5">_xlfn.IFS(O5&lt;=2,"Express",O5&lt;=5,"Fast",O5&lt;=7,"Normal",O5&gt;7,"Delayed")</f>
        <v>Fast</v>
      </c>
      <c r="V5" s="3" t="str" cm="1">
        <f t="array" ref="V5">_xlfn.SWITCH(P5,"Cash","C","Card","CR","UPI","U","Net Banking","NB")</f>
        <v>C</v>
      </c>
      <c r="W5" s="3" t="str" cm="1">
        <f t="array" ref="W5">_xlfn.SWITCH(E5,"East","Rahul","West","Amit","North","Priya","South","Karan")</f>
        <v>Priya</v>
      </c>
      <c r="X5" s="3" t="str" cm="1">
        <f t="array" ref="X5">_xlfn.SWITCH(H5,"Electronics","Tech","Furniture","Home","Office Supplies","Office")</f>
        <v>Home</v>
      </c>
      <c r="Y5" s="3" t="str" cm="1">
        <f t="array" ref="Y5">_xlfn.SWITCH(D5,"Regular","Level 1","Premium","Level 2","VIP","Level 3")</f>
        <v>Level 2</v>
      </c>
      <c r="Z5" s="14" t="str" cm="1">
        <f t="array" ref="Z5">_xlfn.SWITCH(U5,"Express","EXP","Fast","STD","Normal","NOR","Delayed","DLY")</f>
        <v>STD</v>
      </c>
    </row>
    <row r="6" spans="1:26" x14ac:dyDescent="0.3">
      <c r="A6" s="3" t="s">
        <v>49</v>
      </c>
      <c r="B6" s="3" t="s">
        <v>50</v>
      </c>
      <c r="C6" s="3" t="s">
        <v>51</v>
      </c>
      <c r="D6" s="3" t="s">
        <v>47</v>
      </c>
      <c r="E6" s="3" t="s">
        <v>24</v>
      </c>
      <c r="F6" s="3" t="s">
        <v>52</v>
      </c>
      <c r="G6" s="3" t="s">
        <v>53</v>
      </c>
      <c r="H6" s="3" t="s">
        <v>43</v>
      </c>
      <c r="I6" s="3">
        <v>8</v>
      </c>
      <c r="J6" s="3">
        <v>1200</v>
      </c>
      <c r="K6" s="3">
        <v>5</v>
      </c>
      <c r="L6" s="3">
        <v>9120</v>
      </c>
      <c r="M6" s="3">
        <v>349.33</v>
      </c>
      <c r="N6" s="3">
        <v>69</v>
      </c>
      <c r="O6" s="3">
        <v>1</v>
      </c>
      <c r="P6" s="3" t="s">
        <v>44</v>
      </c>
      <c r="Q6" s="3" t="s">
        <v>29</v>
      </c>
      <c r="R6" s="3">
        <v>2</v>
      </c>
      <c r="S6" s="3">
        <v>119588</v>
      </c>
      <c r="T6" s="3">
        <v>7299.86</v>
      </c>
      <c r="U6" s="17" t="str" cm="1">
        <f t="array" ref="U6">_xlfn.IFS(O6&lt;=2,"Express",O6&lt;=5,"Fast",O6&lt;=7,"Normal",O6&gt;7,"Delayed")</f>
        <v>Express</v>
      </c>
      <c r="V6" s="3" t="str" cm="1">
        <f t="array" ref="V6">_xlfn.SWITCH(P6,"Cash","C","Card","CR","UPI","U","Net Banking","NB")</f>
        <v>CR</v>
      </c>
      <c r="W6" s="3" t="str" cm="1">
        <f t="array" ref="W6">_xlfn.SWITCH(E6,"East","Rahul","West","Amit","North","Priya","South","Karan")</f>
        <v>Amit</v>
      </c>
      <c r="X6" s="3" t="str" cm="1">
        <f t="array" ref="X6">_xlfn.SWITCH(H6,"Electronics","Tech","Furniture","Home","Office Supplies","Office")</f>
        <v>Office</v>
      </c>
      <c r="Y6" s="3" t="str" cm="1">
        <f t="array" ref="Y6">_xlfn.SWITCH(D6,"Regular","Level 1","Premium","Level 2","VIP","Level 3")</f>
        <v>Level 2</v>
      </c>
      <c r="Z6" s="14" t="str" cm="1">
        <f t="array" ref="Z6">_xlfn.SWITCH(U6,"Express","EXP","Fast","STD","Normal","NOR","Delayed","DLY")</f>
        <v>EXP</v>
      </c>
    </row>
    <row r="7" spans="1:26" x14ac:dyDescent="0.3">
      <c r="A7" s="3" t="s">
        <v>54</v>
      </c>
      <c r="B7" s="3" t="s">
        <v>55</v>
      </c>
      <c r="C7" s="3" t="s">
        <v>56</v>
      </c>
      <c r="D7" s="3" t="s">
        <v>47</v>
      </c>
      <c r="E7" s="3" t="s">
        <v>57</v>
      </c>
      <c r="F7" s="3" t="s">
        <v>58</v>
      </c>
      <c r="G7" s="3" t="s">
        <v>35</v>
      </c>
      <c r="H7" s="3" t="s">
        <v>36</v>
      </c>
      <c r="I7" s="3">
        <v>1</v>
      </c>
      <c r="J7" s="3">
        <v>8000</v>
      </c>
      <c r="K7" s="3">
        <v>5</v>
      </c>
      <c r="L7" s="3">
        <v>7600</v>
      </c>
      <c r="M7" s="3">
        <v>604.42999999999995</v>
      </c>
      <c r="N7" s="3">
        <v>99</v>
      </c>
      <c r="O7" s="3">
        <v>5</v>
      </c>
      <c r="P7" s="3" t="s">
        <v>59</v>
      </c>
      <c r="Q7" s="3" t="s">
        <v>29</v>
      </c>
      <c r="R7" s="3">
        <v>3</v>
      </c>
      <c r="S7" s="3">
        <v>132166</v>
      </c>
      <c r="T7" s="3">
        <v>8696.07</v>
      </c>
      <c r="U7" s="17" t="str" cm="1">
        <f t="array" ref="U7">_xlfn.IFS(O7&lt;=2,"Express",O7&lt;=5,"Fast",O7&lt;=7,"Normal",O7&gt;7,"Delayed")</f>
        <v>Fast</v>
      </c>
      <c r="V7" s="3" t="str" cm="1">
        <f t="array" ref="V7">_xlfn.SWITCH(P7,"Cash","C","Card","CR","UPI","U","Net Banking","NB")</f>
        <v>NB</v>
      </c>
      <c r="W7" s="3" t="str" cm="1">
        <f t="array" ref="W7">_xlfn.SWITCH(E7,"East","Rahul","West","Amit","North","Priya","South","Karan")</f>
        <v>Rahul</v>
      </c>
      <c r="X7" s="3" t="str" cm="1">
        <f t="array" ref="X7">_xlfn.SWITCH(H7,"Electronics","Tech","Furniture","Home","Office Supplies","Office")</f>
        <v>Home</v>
      </c>
      <c r="Y7" s="3" t="str" cm="1">
        <f t="array" ref="Y7">_xlfn.SWITCH(D7,"Regular","Level 1","Premium","Level 2","VIP","Level 3")</f>
        <v>Level 2</v>
      </c>
      <c r="Z7" s="14" t="str" cm="1">
        <f t="array" ref="Z7">_xlfn.SWITCH(U7,"Express","EXP","Fast","STD","Normal","NOR","Delayed","DLY")</f>
        <v>STD</v>
      </c>
    </row>
    <row r="8" spans="1:26" x14ac:dyDescent="0.3">
      <c r="A8" s="3" t="s">
        <v>60</v>
      </c>
      <c r="B8" s="3" t="s">
        <v>61</v>
      </c>
      <c r="C8" s="3" t="s">
        <v>32</v>
      </c>
      <c r="D8" s="3" t="s">
        <v>33</v>
      </c>
      <c r="E8" s="3" t="s">
        <v>41</v>
      </c>
      <c r="F8" s="3" t="s">
        <v>34</v>
      </c>
      <c r="G8" s="3" t="s">
        <v>35</v>
      </c>
      <c r="H8" s="3" t="s">
        <v>36</v>
      </c>
      <c r="I8" s="3">
        <v>2</v>
      </c>
      <c r="J8" s="3">
        <v>65000</v>
      </c>
      <c r="K8" s="3">
        <v>10</v>
      </c>
      <c r="L8" s="3">
        <v>117000</v>
      </c>
      <c r="M8" s="3">
        <v>27229.17</v>
      </c>
      <c r="N8" s="3">
        <v>43</v>
      </c>
      <c r="O8" s="3">
        <v>1</v>
      </c>
      <c r="P8" s="3" t="s">
        <v>59</v>
      </c>
      <c r="Q8" s="3" t="s">
        <v>29</v>
      </c>
      <c r="R8" s="3">
        <v>1</v>
      </c>
      <c r="S8" s="3">
        <v>149850</v>
      </c>
      <c r="T8" s="3">
        <v>128230.79</v>
      </c>
      <c r="U8" s="17" t="str" cm="1">
        <f t="array" ref="U8">_xlfn.IFS(O8&lt;=2,"Express",O8&lt;=5,"Fast",O8&lt;=7,"Normal",O8&gt;7,"Delayed")</f>
        <v>Express</v>
      </c>
      <c r="V8" s="3" t="str" cm="1">
        <f t="array" ref="V8">_xlfn.SWITCH(P8,"Cash","C","Card","CR","UPI","U","Net Banking","NB")</f>
        <v>NB</v>
      </c>
      <c r="W8" s="3" t="str" cm="1">
        <f t="array" ref="W8">_xlfn.SWITCH(E8,"East","Rahul","West","Amit","North","Priya","South","Karan")</f>
        <v>Karan</v>
      </c>
      <c r="X8" s="3" t="str" cm="1">
        <f t="array" ref="X8">_xlfn.SWITCH(H8,"Electronics","Tech","Furniture","Home","Office Supplies","Office")</f>
        <v>Home</v>
      </c>
      <c r="Y8" s="3" t="str" cm="1">
        <f t="array" ref="Y8">_xlfn.SWITCH(D8,"Regular","Level 1","Premium","Level 2","VIP","Level 3")</f>
        <v>Level 1</v>
      </c>
      <c r="Z8" s="14" t="str" cm="1">
        <f t="array" ref="Z8">_xlfn.SWITCH(U8,"Express","EXP","Fast","STD","Normal","NOR","Delayed","DLY")</f>
        <v>EXP</v>
      </c>
    </row>
    <row r="9" spans="1:26" x14ac:dyDescent="0.3">
      <c r="A9" s="3" t="s">
        <v>62</v>
      </c>
      <c r="B9" s="3" t="s">
        <v>63</v>
      </c>
      <c r="C9" s="3" t="s">
        <v>40</v>
      </c>
      <c r="D9" s="3" t="s">
        <v>23</v>
      </c>
      <c r="E9" s="3" t="s">
        <v>24</v>
      </c>
      <c r="F9" s="3" t="s">
        <v>52</v>
      </c>
      <c r="G9" s="3" t="s">
        <v>35</v>
      </c>
      <c r="H9" s="3" t="s">
        <v>36</v>
      </c>
      <c r="I9" s="3">
        <v>2</v>
      </c>
      <c r="J9" s="3">
        <v>3500</v>
      </c>
      <c r="K9" s="3">
        <v>15</v>
      </c>
      <c r="L9" s="3">
        <v>5950</v>
      </c>
      <c r="M9" s="3">
        <v>1094.46</v>
      </c>
      <c r="N9" s="3">
        <v>50</v>
      </c>
      <c r="O9" s="3">
        <v>5</v>
      </c>
      <c r="P9" s="3" t="s">
        <v>28</v>
      </c>
      <c r="Q9" s="3" t="s">
        <v>29</v>
      </c>
      <c r="R9" s="3">
        <v>4</v>
      </c>
      <c r="S9" s="3">
        <v>84194</v>
      </c>
      <c r="T9" s="3">
        <v>4805.29</v>
      </c>
      <c r="U9" s="17" t="str" cm="1">
        <f t="array" ref="U9">_xlfn.IFS(O9&lt;=2,"Express",O9&lt;=5,"Fast",O9&lt;=7,"Normal",O9&gt;7,"Delayed")</f>
        <v>Fast</v>
      </c>
      <c r="V9" s="3" t="str" cm="1">
        <f t="array" ref="V9">_xlfn.SWITCH(P9,"Cash","C","Card","CR","UPI","U","Net Banking","NB")</f>
        <v>C</v>
      </c>
      <c r="W9" s="3" t="str" cm="1">
        <f t="array" ref="W9">_xlfn.SWITCH(E9,"East","Rahul","West","Amit","North","Priya","South","Karan")</f>
        <v>Amit</v>
      </c>
      <c r="X9" s="3" t="str" cm="1">
        <f t="array" ref="X9">_xlfn.SWITCH(H9,"Electronics","Tech","Furniture","Home","Office Supplies","Office")</f>
        <v>Home</v>
      </c>
      <c r="Y9" s="3" t="str" cm="1">
        <f t="array" ref="Y9">_xlfn.SWITCH(D9,"Regular","Level 1","Premium","Level 2","VIP","Level 3")</f>
        <v>Level 3</v>
      </c>
      <c r="Z9" s="14" t="str" cm="1">
        <f t="array" ref="Z9">_xlfn.SWITCH(U9,"Express","EXP","Fast","STD","Normal","NOR","Delayed","DLY")</f>
        <v>STD</v>
      </c>
    </row>
    <row r="10" spans="1:26" x14ac:dyDescent="0.3">
      <c r="A10" s="3" t="s">
        <v>64</v>
      </c>
      <c r="B10" s="3" t="s">
        <v>65</v>
      </c>
      <c r="C10" s="3" t="s">
        <v>40</v>
      </c>
      <c r="D10" s="3" t="s">
        <v>47</v>
      </c>
      <c r="E10" s="3" t="s">
        <v>48</v>
      </c>
      <c r="F10" s="3" t="s">
        <v>52</v>
      </c>
      <c r="G10" s="3" t="s">
        <v>66</v>
      </c>
      <c r="H10" s="3" t="s">
        <v>27</v>
      </c>
      <c r="I10" s="3">
        <v>7</v>
      </c>
      <c r="J10" s="3">
        <v>8000</v>
      </c>
      <c r="K10" s="3">
        <v>15</v>
      </c>
      <c r="L10" s="3">
        <v>47600</v>
      </c>
      <c r="M10" s="3">
        <v>314.55</v>
      </c>
      <c r="N10" s="3">
        <v>2</v>
      </c>
      <c r="O10" s="3">
        <v>5</v>
      </c>
      <c r="P10" s="3" t="s">
        <v>67</v>
      </c>
      <c r="Q10" s="3" t="s">
        <v>37</v>
      </c>
      <c r="R10" s="3">
        <v>3</v>
      </c>
      <c r="S10" s="3">
        <v>79719</v>
      </c>
      <c r="T10" s="3">
        <v>39771.78</v>
      </c>
      <c r="U10" s="17" t="str" cm="1">
        <f t="array" ref="U10">_xlfn.IFS(O10&lt;=2,"Express",O10&lt;=5,"Fast",O10&lt;=7,"Normal",O10&gt;7,"Delayed")</f>
        <v>Fast</v>
      </c>
      <c r="V10" s="3" t="str" cm="1">
        <f t="array" ref="V10">_xlfn.SWITCH(P10,"Cash","C","Card","CR","UPI","U","Net Banking","NB")</f>
        <v>U</v>
      </c>
      <c r="W10" s="3" t="str" cm="1">
        <f t="array" ref="W10">_xlfn.SWITCH(E10,"East","Rahul","West","Amit","North","Priya","South","Karan")</f>
        <v>Priya</v>
      </c>
      <c r="X10" s="3" t="str" cm="1">
        <f t="array" ref="X10">_xlfn.SWITCH(H10,"Electronics","Tech","Furniture","Home","Office Supplies","Office")</f>
        <v>Tech</v>
      </c>
      <c r="Y10" s="3" t="str" cm="1">
        <f t="array" ref="Y10">_xlfn.SWITCH(D10,"Regular","Level 1","Premium","Level 2","VIP","Level 3")</f>
        <v>Level 2</v>
      </c>
      <c r="Z10" s="14" t="str" cm="1">
        <f t="array" ref="Z10">_xlfn.SWITCH(U10,"Express","EXP","Fast","STD","Normal","NOR","Delayed","DLY")</f>
        <v>STD</v>
      </c>
    </row>
    <row r="11" spans="1:26" x14ac:dyDescent="0.3">
      <c r="A11" s="3" t="s">
        <v>68</v>
      </c>
      <c r="B11" s="3" t="s">
        <v>69</v>
      </c>
      <c r="C11" s="3" t="s">
        <v>22</v>
      </c>
      <c r="D11" s="3" t="s">
        <v>47</v>
      </c>
      <c r="E11" s="3" t="s">
        <v>24</v>
      </c>
      <c r="F11" s="3" t="s">
        <v>70</v>
      </c>
      <c r="G11" s="3" t="s">
        <v>66</v>
      </c>
      <c r="H11" s="3" t="s">
        <v>27</v>
      </c>
      <c r="I11" s="3">
        <v>6</v>
      </c>
      <c r="J11" s="3">
        <v>15000</v>
      </c>
      <c r="K11" s="3">
        <v>15</v>
      </c>
      <c r="L11" s="3">
        <v>76500</v>
      </c>
      <c r="M11" s="3">
        <v>26298.31</v>
      </c>
      <c r="N11" s="3">
        <v>12</v>
      </c>
      <c r="O11" s="3">
        <v>2</v>
      </c>
      <c r="P11" s="3" t="s">
        <v>28</v>
      </c>
      <c r="Q11" s="3" t="s">
        <v>29</v>
      </c>
      <c r="R11" s="3">
        <v>1</v>
      </c>
      <c r="S11" s="3">
        <v>134669</v>
      </c>
      <c r="T11" s="3">
        <v>79515.14</v>
      </c>
      <c r="U11" s="17" t="str" cm="1">
        <f t="array" ref="U11">_xlfn.IFS(O11&lt;=2,"Express",O11&lt;=5,"Fast",O11&lt;=7,"Normal",O11&gt;7,"Delayed")</f>
        <v>Express</v>
      </c>
      <c r="V11" s="3" t="str" cm="1">
        <f t="array" ref="V11">_xlfn.SWITCH(P11,"Cash","C","Card","CR","UPI","U","Net Banking","NB")</f>
        <v>C</v>
      </c>
      <c r="W11" s="3" t="str" cm="1">
        <f t="array" ref="W11">_xlfn.SWITCH(E11,"East","Rahul","West","Amit","North","Priya","South","Karan")</f>
        <v>Amit</v>
      </c>
      <c r="X11" s="3" t="str" cm="1">
        <f t="array" ref="X11">_xlfn.SWITCH(H11,"Electronics","Tech","Furniture","Home","Office Supplies","Office")</f>
        <v>Tech</v>
      </c>
      <c r="Y11" s="3" t="str" cm="1">
        <f t="array" ref="Y11">_xlfn.SWITCH(D11,"Regular","Level 1","Premium","Level 2","VIP","Level 3")</f>
        <v>Level 2</v>
      </c>
      <c r="Z11" s="14" t="str" cm="1">
        <f t="array" ref="Z11">_xlfn.SWITCH(U11,"Express","EXP","Fast","STD","Normal","NOR","Delayed","DLY")</f>
        <v>EXP</v>
      </c>
    </row>
    <row r="12" spans="1:26" x14ac:dyDescent="0.3">
      <c r="A12" s="3" t="s">
        <v>71</v>
      </c>
      <c r="B12" s="3" t="s">
        <v>72</v>
      </c>
      <c r="C12" s="3" t="s">
        <v>40</v>
      </c>
      <c r="D12" s="3" t="s">
        <v>47</v>
      </c>
      <c r="E12" s="3" t="s">
        <v>41</v>
      </c>
      <c r="F12" s="3" t="s">
        <v>52</v>
      </c>
      <c r="G12" s="3" t="s">
        <v>66</v>
      </c>
      <c r="H12" s="3" t="s">
        <v>27</v>
      </c>
      <c r="I12" s="3">
        <v>4</v>
      </c>
      <c r="J12" s="3">
        <v>1200</v>
      </c>
      <c r="K12" s="3">
        <v>20</v>
      </c>
      <c r="L12" s="3">
        <v>3840</v>
      </c>
      <c r="M12" s="3">
        <v>1238.3599999999999</v>
      </c>
      <c r="N12" s="3">
        <v>53</v>
      </c>
      <c r="O12" s="3">
        <v>5</v>
      </c>
      <c r="P12" s="3" t="s">
        <v>67</v>
      </c>
      <c r="Q12" s="3" t="s">
        <v>37</v>
      </c>
      <c r="R12" s="3">
        <v>1</v>
      </c>
      <c r="S12" s="3">
        <v>18666</v>
      </c>
      <c r="T12" s="3">
        <v>3814.81</v>
      </c>
      <c r="U12" s="17" t="str" cm="1">
        <f t="array" ref="U12">_xlfn.IFS(O12&lt;=2,"Express",O12&lt;=5,"Fast",O12&lt;=7,"Normal",O12&gt;7,"Delayed")</f>
        <v>Fast</v>
      </c>
      <c r="V12" s="3" t="str" cm="1">
        <f t="array" ref="V12">_xlfn.SWITCH(P12,"Cash","C","Card","CR","UPI","U","Net Banking","NB")</f>
        <v>U</v>
      </c>
      <c r="W12" s="3" t="str" cm="1">
        <f t="array" ref="W12">_xlfn.SWITCH(E12,"East","Rahul","West","Amit","North","Priya","South","Karan")</f>
        <v>Karan</v>
      </c>
      <c r="X12" s="3" t="str" cm="1">
        <f t="array" ref="X12">_xlfn.SWITCH(H12,"Electronics","Tech","Furniture","Home","Office Supplies","Office")</f>
        <v>Tech</v>
      </c>
      <c r="Y12" s="3" t="str" cm="1">
        <f t="array" ref="Y12">_xlfn.SWITCH(D12,"Regular","Level 1","Premium","Level 2","VIP","Level 3")</f>
        <v>Level 2</v>
      </c>
      <c r="Z12" s="14" t="str" cm="1">
        <f t="array" ref="Z12">_xlfn.SWITCH(U12,"Express","EXP","Fast","STD","Normal","NOR","Delayed","DLY")</f>
        <v>STD</v>
      </c>
    </row>
    <row r="13" spans="1:26" x14ac:dyDescent="0.3">
      <c r="A13" s="3" t="s">
        <v>73</v>
      </c>
      <c r="B13" s="3" t="s">
        <v>74</v>
      </c>
      <c r="C13" s="3" t="s">
        <v>32</v>
      </c>
      <c r="D13" s="3" t="s">
        <v>33</v>
      </c>
      <c r="E13" s="3" t="s">
        <v>57</v>
      </c>
      <c r="F13" s="3" t="s">
        <v>34</v>
      </c>
      <c r="G13" s="3" t="s">
        <v>26</v>
      </c>
      <c r="H13" s="3" t="s">
        <v>27</v>
      </c>
      <c r="I13" s="3">
        <v>2</v>
      </c>
      <c r="J13" s="3">
        <v>15000</v>
      </c>
      <c r="K13" s="3">
        <v>20</v>
      </c>
      <c r="L13" s="3">
        <v>24000</v>
      </c>
      <c r="M13" s="3">
        <v>8213.57</v>
      </c>
      <c r="N13" s="3">
        <v>21</v>
      </c>
      <c r="O13" s="3">
        <v>8</v>
      </c>
      <c r="P13" s="3" t="s">
        <v>44</v>
      </c>
      <c r="Q13" s="3" t="s">
        <v>37</v>
      </c>
      <c r="R13" s="3">
        <v>1</v>
      </c>
      <c r="S13" s="3">
        <v>50024</v>
      </c>
      <c r="T13" s="3">
        <v>20129.91</v>
      </c>
      <c r="U13" s="17" t="str" cm="1">
        <f t="array" ref="U13">_xlfn.IFS(O13&lt;=2,"Express",O13&lt;=5,"Fast",O13&lt;=7,"Normal",O13&gt;7,"Delayed")</f>
        <v>Delayed</v>
      </c>
      <c r="V13" s="3" t="str" cm="1">
        <f t="array" ref="V13">_xlfn.SWITCH(P13,"Cash","C","Card","CR","UPI","U","Net Banking","NB")</f>
        <v>CR</v>
      </c>
      <c r="W13" s="3" t="str" cm="1">
        <f t="array" ref="W13">_xlfn.SWITCH(E13,"East","Rahul","West","Amit","North","Priya","South","Karan")</f>
        <v>Rahul</v>
      </c>
      <c r="X13" s="3" t="str" cm="1">
        <f t="array" ref="X13">_xlfn.SWITCH(H13,"Electronics","Tech","Furniture","Home","Office Supplies","Office")</f>
        <v>Tech</v>
      </c>
      <c r="Y13" s="3" t="str" cm="1">
        <f t="array" ref="Y13">_xlfn.SWITCH(D13,"Regular","Level 1","Premium","Level 2","VIP","Level 3")</f>
        <v>Level 1</v>
      </c>
      <c r="Z13" s="14" t="str" cm="1">
        <f t="array" ref="Z13">_xlfn.SWITCH(U13,"Express","EXP","Fast","STD","Normal","NOR","Delayed","DLY")</f>
        <v>DLY</v>
      </c>
    </row>
    <row r="14" spans="1:26" x14ac:dyDescent="0.3">
      <c r="A14" s="3" t="s">
        <v>75</v>
      </c>
      <c r="B14" s="3" t="s">
        <v>76</v>
      </c>
      <c r="C14" s="3" t="s">
        <v>77</v>
      </c>
      <c r="D14" s="3" t="s">
        <v>23</v>
      </c>
      <c r="E14" s="3" t="s">
        <v>57</v>
      </c>
      <c r="F14" s="3" t="s">
        <v>70</v>
      </c>
      <c r="G14" s="3" t="s">
        <v>66</v>
      </c>
      <c r="H14" s="3" t="s">
        <v>27</v>
      </c>
      <c r="I14" s="3">
        <v>9</v>
      </c>
      <c r="J14" s="3">
        <v>3500</v>
      </c>
      <c r="K14" s="3">
        <v>20</v>
      </c>
      <c r="L14" s="3">
        <v>25200</v>
      </c>
      <c r="M14" s="3">
        <v>437.3</v>
      </c>
      <c r="N14" s="3">
        <v>70</v>
      </c>
      <c r="O14" s="3">
        <v>1</v>
      </c>
      <c r="P14" s="3" t="s">
        <v>28</v>
      </c>
      <c r="Q14" s="3" t="s">
        <v>37</v>
      </c>
      <c r="R14" s="3">
        <v>3</v>
      </c>
      <c r="S14" s="3">
        <v>44189</v>
      </c>
      <c r="T14" s="3">
        <v>29089.43</v>
      </c>
      <c r="U14" s="17" t="str" cm="1">
        <f t="array" ref="U14">_xlfn.IFS(O14&lt;=2,"Express",O14&lt;=5,"Fast",O14&lt;=7,"Normal",O14&gt;7,"Delayed")</f>
        <v>Express</v>
      </c>
      <c r="V14" s="3" t="str" cm="1">
        <f t="array" ref="V14">_xlfn.SWITCH(P14,"Cash","C","Card","CR","UPI","U","Net Banking","NB")</f>
        <v>C</v>
      </c>
      <c r="W14" s="3" t="str" cm="1">
        <f t="array" ref="W14">_xlfn.SWITCH(E14,"East","Rahul","West","Amit","North","Priya","South","Karan")</f>
        <v>Rahul</v>
      </c>
      <c r="X14" s="3" t="str" cm="1">
        <f t="array" ref="X14">_xlfn.SWITCH(H14,"Electronics","Tech","Furniture","Home","Office Supplies","Office")</f>
        <v>Tech</v>
      </c>
      <c r="Y14" s="3" t="str" cm="1">
        <f t="array" ref="Y14">_xlfn.SWITCH(D14,"Regular","Level 1","Premium","Level 2","VIP","Level 3")</f>
        <v>Level 3</v>
      </c>
      <c r="Z14" s="14" t="str" cm="1">
        <f t="array" ref="Z14">_xlfn.SWITCH(U14,"Express","EXP","Fast","STD","Normal","NOR","Delayed","DLY")</f>
        <v>EXP</v>
      </c>
    </row>
    <row r="15" spans="1:26" x14ac:dyDescent="0.3">
      <c r="A15" s="3" t="s">
        <v>78</v>
      </c>
      <c r="B15" s="3" t="s">
        <v>74</v>
      </c>
      <c r="C15" s="3" t="s">
        <v>79</v>
      </c>
      <c r="D15" s="3" t="s">
        <v>23</v>
      </c>
      <c r="E15" s="3" t="s">
        <v>57</v>
      </c>
      <c r="F15" s="3" t="s">
        <v>52</v>
      </c>
      <c r="G15" s="3" t="s">
        <v>80</v>
      </c>
      <c r="H15" s="3" t="s">
        <v>36</v>
      </c>
      <c r="I15" s="3">
        <v>10</v>
      </c>
      <c r="J15" s="3">
        <v>65000</v>
      </c>
      <c r="K15" s="3">
        <v>15</v>
      </c>
      <c r="L15" s="3">
        <v>552500</v>
      </c>
      <c r="M15" s="3">
        <v>107781.23</v>
      </c>
      <c r="N15" s="3">
        <v>47</v>
      </c>
      <c r="O15" s="3">
        <v>1</v>
      </c>
      <c r="P15" s="3" t="s">
        <v>28</v>
      </c>
      <c r="Q15" s="3" t="s">
        <v>29</v>
      </c>
      <c r="R15" s="3">
        <v>1</v>
      </c>
      <c r="S15" s="3">
        <v>71563</v>
      </c>
      <c r="T15" s="3">
        <v>488233.7</v>
      </c>
      <c r="U15" s="17" t="str" cm="1">
        <f t="array" ref="U15">_xlfn.IFS(O15&lt;=2,"Express",O15&lt;=5,"Fast",O15&lt;=7,"Normal",O15&gt;7,"Delayed")</f>
        <v>Express</v>
      </c>
      <c r="V15" s="3" t="str" cm="1">
        <f t="array" ref="V15">_xlfn.SWITCH(P15,"Cash","C","Card","CR","UPI","U","Net Banking","NB")</f>
        <v>C</v>
      </c>
      <c r="W15" s="3" t="str" cm="1">
        <f t="array" ref="W15">_xlfn.SWITCH(E15,"East","Rahul","West","Amit","North","Priya","South","Karan")</f>
        <v>Rahul</v>
      </c>
      <c r="X15" s="3" t="str" cm="1">
        <f t="array" ref="X15">_xlfn.SWITCH(H15,"Electronics","Tech","Furniture","Home","Office Supplies","Office")</f>
        <v>Home</v>
      </c>
      <c r="Y15" s="3" t="str" cm="1">
        <f t="array" ref="Y15">_xlfn.SWITCH(D15,"Regular","Level 1","Premium","Level 2","VIP","Level 3")</f>
        <v>Level 3</v>
      </c>
      <c r="Z15" s="14" t="str" cm="1">
        <f t="array" ref="Z15">_xlfn.SWITCH(U15,"Express","EXP","Fast","STD","Normal","NOR","Delayed","DLY")</f>
        <v>EXP</v>
      </c>
    </row>
    <row r="16" spans="1:26" x14ac:dyDescent="0.3">
      <c r="A16" s="3" t="s">
        <v>81</v>
      </c>
      <c r="B16" s="3" t="s">
        <v>82</v>
      </c>
      <c r="C16" s="3" t="s">
        <v>32</v>
      </c>
      <c r="D16" s="3" t="s">
        <v>47</v>
      </c>
      <c r="E16" s="3" t="s">
        <v>57</v>
      </c>
      <c r="F16" s="3" t="s">
        <v>70</v>
      </c>
      <c r="G16" s="3" t="s">
        <v>80</v>
      </c>
      <c r="H16" s="3" t="s">
        <v>36</v>
      </c>
      <c r="I16" s="3">
        <v>4</v>
      </c>
      <c r="J16" s="3">
        <v>8000</v>
      </c>
      <c r="K16" s="3">
        <v>5</v>
      </c>
      <c r="L16" s="3">
        <v>30400</v>
      </c>
      <c r="M16" s="3">
        <v>1141.05</v>
      </c>
      <c r="N16" s="3">
        <v>89</v>
      </c>
      <c r="O16" s="3">
        <v>5</v>
      </c>
      <c r="P16" s="3" t="s">
        <v>44</v>
      </c>
      <c r="Q16" s="3" t="s">
        <v>37</v>
      </c>
      <c r="R16" s="3">
        <v>3</v>
      </c>
      <c r="S16" s="3">
        <v>45147</v>
      </c>
      <c r="T16" s="3">
        <v>27310.69</v>
      </c>
      <c r="U16" s="17" t="str" cm="1">
        <f t="array" ref="U16">_xlfn.IFS(O16&lt;=2,"Express",O16&lt;=5,"Fast",O16&lt;=7,"Normal",O16&gt;7,"Delayed")</f>
        <v>Fast</v>
      </c>
      <c r="V16" s="3" t="str" cm="1">
        <f t="array" ref="V16">_xlfn.SWITCH(P16,"Cash","C","Card","CR","UPI","U","Net Banking","NB")</f>
        <v>CR</v>
      </c>
      <c r="W16" s="3" t="str" cm="1">
        <f t="array" ref="W16">_xlfn.SWITCH(E16,"East","Rahul","West","Amit","North","Priya","South","Karan")</f>
        <v>Rahul</v>
      </c>
      <c r="X16" s="3" t="str" cm="1">
        <f t="array" ref="X16">_xlfn.SWITCH(H16,"Electronics","Tech","Furniture","Home","Office Supplies","Office")</f>
        <v>Home</v>
      </c>
      <c r="Y16" s="3" t="str" cm="1">
        <f t="array" ref="Y16">_xlfn.SWITCH(D16,"Regular","Level 1","Premium","Level 2","VIP","Level 3")</f>
        <v>Level 2</v>
      </c>
      <c r="Z16" s="14" t="str" cm="1">
        <f t="array" ref="Z16">_xlfn.SWITCH(U16,"Express","EXP","Fast","STD","Normal","NOR","Delayed","DLY")</f>
        <v>STD</v>
      </c>
    </row>
    <row r="17" spans="1:26" x14ac:dyDescent="0.3">
      <c r="A17" s="3" t="s">
        <v>83</v>
      </c>
      <c r="B17" s="3" t="s">
        <v>84</v>
      </c>
      <c r="C17" s="3" t="s">
        <v>85</v>
      </c>
      <c r="D17" s="3" t="s">
        <v>23</v>
      </c>
      <c r="E17" s="3" t="s">
        <v>48</v>
      </c>
      <c r="F17" s="3" t="s">
        <v>34</v>
      </c>
      <c r="G17" s="3" t="s">
        <v>66</v>
      </c>
      <c r="H17" s="3" t="s">
        <v>27</v>
      </c>
      <c r="I17" s="3">
        <v>2</v>
      </c>
      <c r="J17" s="3">
        <v>500</v>
      </c>
      <c r="K17" s="3">
        <v>10</v>
      </c>
      <c r="L17" s="3">
        <v>900</v>
      </c>
      <c r="M17" s="3">
        <v>202.34</v>
      </c>
      <c r="N17" s="3">
        <v>3</v>
      </c>
      <c r="O17" s="3">
        <v>2</v>
      </c>
      <c r="P17" s="3" t="s">
        <v>67</v>
      </c>
      <c r="Q17" s="3" t="s">
        <v>37</v>
      </c>
      <c r="R17" s="3">
        <v>4</v>
      </c>
      <c r="S17" s="3">
        <v>28722</v>
      </c>
      <c r="T17" s="3">
        <v>1051.6400000000001</v>
      </c>
      <c r="U17" s="17" t="str" cm="1">
        <f t="array" ref="U17">_xlfn.IFS(O17&lt;=2,"Express",O17&lt;=5,"Fast",O17&lt;=7,"Normal",O17&gt;7,"Delayed")</f>
        <v>Express</v>
      </c>
      <c r="V17" s="3" t="str" cm="1">
        <f t="array" ref="V17">_xlfn.SWITCH(P17,"Cash","C","Card","CR","UPI","U","Net Banking","NB")</f>
        <v>U</v>
      </c>
      <c r="W17" s="3" t="str" cm="1">
        <f t="array" ref="W17">_xlfn.SWITCH(E17,"East","Rahul","West","Amit","North","Priya","South","Karan")</f>
        <v>Priya</v>
      </c>
      <c r="X17" s="3" t="str" cm="1">
        <f t="array" ref="X17">_xlfn.SWITCH(H17,"Electronics","Tech","Furniture","Home","Office Supplies","Office")</f>
        <v>Tech</v>
      </c>
      <c r="Y17" s="3" t="str" cm="1">
        <f t="array" ref="Y17">_xlfn.SWITCH(D17,"Regular","Level 1","Premium","Level 2","VIP","Level 3")</f>
        <v>Level 3</v>
      </c>
      <c r="Z17" s="14" t="str" cm="1">
        <f t="array" ref="Z17">_xlfn.SWITCH(U17,"Express","EXP","Fast","STD","Normal","NOR","Delayed","DLY")</f>
        <v>EXP</v>
      </c>
    </row>
    <row r="18" spans="1:26" x14ac:dyDescent="0.3">
      <c r="A18" s="3" t="s">
        <v>86</v>
      </c>
      <c r="B18" s="3" t="s">
        <v>87</v>
      </c>
      <c r="C18" s="3" t="s">
        <v>77</v>
      </c>
      <c r="D18" s="3" t="s">
        <v>47</v>
      </c>
      <c r="E18" s="3" t="s">
        <v>24</v>
      </c>
      <c r="F18" s="3" t="s">
        <v>34</v>
      </c>
      <c r="G18" s="3" t="s">
        <v>53</v>
      </c>
      <c r="H18" s="3" t="s">
        <v>43</v>
      </c>
      <c r="I18" s="3">
        <v>2</v>
      </c>
      <c r="J18" s="3">
        <v>65000</v>
      </c>
      <c r="K18" s="3">
        <v>15</v>
      </c>
      <c r="L18" s="3">
        <v>110500</v>
      </c>
      <c r="M18" s="3">
        <v>2356.96</v>
      </c>
      <c r="N18" s="3">
        <v>13</v>
      </c>
      <c r="O18" s="3">
        <v>1</v>
      </c>
      <c r="P18" s="3" t="s">
        <v>67</v>
      </c>
      <c r="Q18" s="3" t="s">
        <v>29</v>
      </c>
      <c r="R18" s="3">
        <v>4</v>
      </c>
      <c r="S18" s="3">
        <v>74450</v>
      </c>
      <c r="T18" s="3">
        <v>94516.06</v>
      </c>
      <c r="U18" s="17" t="str" cm="1">
        <f t="array" ref="U18">_xlfn.IFS(O18&lt;=2,"Express",O18&lt;=5,"Fast",O18&lt;=7,"Normal",O18&gt;7,"Delayed")</f>
        <v>Express</v>
      </c>
      <c r="V18" s="3" t="str" cm="1">
        <f t="array" ref="V18">_xlfn.SWITCH(P18,"Cash","C","Card","CR","UPI","U","Net Banking","NB")</f>
        <v>U</v>
      </c>
      <c r="W18" s="3" t="str" cm="1">
        <f t="array" ref="W18">_xlfn.SWITCH(E18,"East","Rahul","West","Amit","North","Priya","South","Karan")</f>
        <v>Amit</v>
      </c>
      <c r="X18" s="3" t="str" cm="1">
        <f t="array" ref="X18">_xlfn.SWITCH(H18,"Electronics","Tech","Furniture","Home","Office Supplies","Office")</f>
        <v>Office</v>
      </c>
      <c r="Y18" s="3" t="str" cm="1">
        <f t="array" ref="Y18">_xlfn.SWITCH(D18,"Regular","Level 1","Premium","Level 2","VIP","Level 3")</f>
        <v>Level 2</v>
      </c>
      <c r="Z18" s="14" t="str" cm="1">
        <f t="array" ref="Z18">_xlfn.SWITCH(U18,"Express","EXP","Fast","STD","Normal","NOR","Delayed","DLY")</f>
        <v>EXP</v>
      </c>
    </row>
    <row r="19" spans="1:26" x14ac:dyDescent="0.3">
      <c r="A19" s="3" t="s">
        <v>88</v>
      </c>
      <c r="B19" s="3" t="s">
        <v>89</v>
      </c>
      <c r="C19" s="3" t="s">
        <v>79</v>
      </c>
      <c r="D19" s="3" t="s">
        <v>33</v>
      </c>
      <c r="E19" s="3" t="s">
        <v>57</v>
      </c>
      <c r="F19" s="3" t="s">
        <v>52</v>
      </c>
      <c r="G19" s="3" t="s">
        <v>42</v>
      </c>
      <c r="H19" s="3" t="s">
        <v>43</v>
      </c>
      <c r="I19" s="3">
        <v>4</v>
      </c>
      <c r="J19" s="3">
        <v>8000</v>
      </c>
      <c r="K19" s="3">
        <v>10</v>
      </c>
      <c r="L19" s="3">
        <v>28800</v>
      </c>
      <c r="M19" s="3">
        <v>7737.61</v>
      </c>
      <c r="N19" s="3">
        <v>85</v>
      </c>
      <c r="O19" s="3">
        <v>3</v>
      </c>
      <c r="P19" s="3" t="s">
        <v>67</v>
      </c>
      <c r="Q19" s="3" t="s">
        <v>37</v>
      </c>
      <c r="R19" s="3">
        <v>1</v>
      </c>
      <c r="S19" s="3">
        <v>43805</v>
      </c>
      <c r="T19" s="3">
        <v>29524.89</v>
      </c>
      <c r="U19" s="17" t="str" cm="1">
        <f t="array" ref="U19">_xlfn.IFS(O19&lt;=2,"Express",O19&lt;=5,"Fast",O19&lt;=7,"Normal",O19&gt;7,"Delayed")</f>
        <v>Fast</v>
      </c>
      <c r="V19" s="3" t="str" cm="1">
        <f t="array" ref="V19">_xlfn.SWITCH(P19,"Cash","C","Card","CR","UPI","U","Net Banking","NB")</f>
        <v>U</v>
      </c>
      <c r="W19" s="3" t="str" cm="1">
        <f t="array" ref="W19">_xlfn.SWITCH(E19,"East","Rahul","West","Amit","North","Priya","South","Karan")</f>
        <v>Rahul</v>
      </c>
      <c r="X19" s="3" t="str" cm="1">
        <f t="array" ref="X19">_xlfn.SWITCH(H19,"Electronics","Tech","Furniture","Home","Office Supplies","Office")</f>
        <v>Office</v>
      </c>
      <c r="Y19" s="3" t="str" cm="1">
        <f t="array" ref="Y19">_xlfn.SWITCH(D19,"Regular","Level 1","Premium","Level 2","VIP","Level 3")</f>
        <v>Level 1</v>
      </c>
      <c r="Z19" s="14" t="str" cm="1">
        <f t="array" ref="Z19">_xlfn.SWITCH(U19,"Express","EXP","Fast","STD","Normal","NOR","Delayed","DLY")</f>
        <v>STD</v>
      </c>
    </row>
    <row r="20" spans="1:26" x14ac:dyDescent="0.3">
      <c r="A20" s="3" t="s">
        <v>90</v>
      </c>
      <c r="B20" s="3" t="s">
        <v>91</v>
      </c>
      <c r="C20" s="3" t="s">
        <v>51</v>
      </c>
      <c r="D20" s="3" t="s">
        <v>33</v>
      </c>
      <c r="E20" s="3" t="s">
        <v>24</v>
      </c>
      <c r="F20" s="3" t="s">
        <v>34</v>
      </c>
      <c r="G20" s="3" t="s">
        <v>42</v>
      </c>
      <c r="H20" s="3" t="s">
        <v>43</v>
      </c>
      <c r="I20" s="3">
        <v>10</v>
      </c>
      <c r="J20" s="3">
        <v>65000</v>
      </c>
      <c r="K20" s="3">
        <v>20</v>
      </c>
      <c r="L20" s="3">
        <v>520000</v>
      </c>
      <c r="M20" s="3">
        <v>-5447.07</v>
      </c>
      <c r="N20" s="3">
        <v>38</v>
      </c>
      <c r="O20" s="3">
        <v>3</v>
      </c>
      <c r="P20" s="3" t="s">
        <v>67</v>
      </c>
      <c r="Q20" s="3" t="s">
        <v>37</v>
      </c>
      <c r="R20" s="3">
        <v>2</v>
      </c>
      <c r="S20" s="3">
        <v>77469</v>
      </c>
      <c r="T20" s="3">
        <v>476870.19</v>
      </c>
      <c r="U20" s="17" t="str" cm="1">
        <f t="array" ref="U20">_xlfn.IFS(O20&lt;=2,"Express",O20&lt;=5,"Fast",O20&lt;=7,"Normal",O20&gt;7,"Delayed")</f>
        <v>Fast</v>
      </c>
      <c r="V20" s="3" t="str" cm="1">
        <f t="array" ref="V20">_xlfn.SWITCH(P20,"Cash","C","Card","CR","UPI","U","Net Banking","NB")</f>
        <v>U</v>
      </c>
      <c r="W20" s="3" t="str" cm="1">
        <f t="array" ref="W20">_xlfn.SWITCH(E20,"East","Rahul","West","Amit","North","Priya","South","Karan")</f>
        <v>Amit</v>
      </c>
      <c r="X20" s="3" t="str" cm="1">
        <f t="array" ref="X20">_xlfn.SWITCH(H20,"Electronics","Tech","Furniture","Home","Office Supplies","Office")</f>
        <v>Office</v>
      </c>
      <c r="Y20" s="3" t="str" cm="1">
        <f t="array" ref="Y20">_xlfn.SWITCH(D20,"Regular","Level 1","Premium","Level 2","VIP","Level 3")</f>
        <v>Level 1</v>
      </c>
      <c r="Z20" s="14" t="str" cm="1">
        <f t="array" ref="Z20">_xlfn.SWITCH(U20,"Express","EXP","Fast","STD","Normal","NOR","Delayed","DLY")</f>
        <v>STD</v>
      </c>
    </row>
    <row r="21" spans="1:26" x14ac:dyDescent="0.3">
      <c r="A21" s="3" t="s">
        <v>92</v>
      </c>
      <c r="B21" s="3" t="s">
        <v>93</v>
      </c>
      <c r="C21" s="3" t="s">
        <v>32</v>
      </c>
      <c r="D21" s="3" t="s">
        <v>23</v>
      </c>
      <c r="E21" s="3" t="s">
        <v>41</v>
      </c>
      <c r="F21" s="3" t="s">
        <v>34</v>
      </c>
      <c r="G21" s="3" t="s">
        <v>26</v>
      </c>
      <c r="H21" s="3" t="s">
        <v>27</v>
      </c>
      <c r="I21" s="3">
        <v>5</v>
      </c>
      <c r="J21" s="3">
        <v>45000</v>
      </c>
      <c r="K21" s="3">
        <v>15</v>
      </c>
      <c r="L21" s="3">
        <v>191250</v>
      </c>
      <c r="M21" s="3">
        <v>4887.8900000000003</v>
      </c>
      <c r="N21" s="3">
        <v>32</v>
      </c>
      <c r="O21" s="3">
        <v>5</v>
      </c>
      <c r="P21" s="3" t="s">
        <v>59</v>
      </c>
      <c r="Q21" s="3" t="s">
        <v>29</v>
      </c>
      <c r="R21" s="3">
        <v>5</v>
      </c>
      <c r="S21" s="3">
        <v>122385</v>
      </c>
      <c r="T21" s="3">
        <v>191035.76</v>
      </c>
      <c r="U21" s="17" t="str" cm="1">
        <f t="array" ref="U21">_xlfn.IFS(O21&lt;=2,"Express",O21&lt;=5,"Fast",O21&lt;=7,"Normal",O21&gt;7,"Delayed")</f>
        <v>Fast</v>
      </c>
      <c r="V21" s="3" t="str" cm="1">
        <f t="array" ref="V21">_xlfn.SWITCH(P21,"Cash","C","Card","CR","UPI","U","Net Banking","NB")</f>
        <v>NB</v>
      </c>
      <c r="W21" s="3" t="str" cm="1">
        <f t="array" ref="W21">_xlfn.SWITCH(E21,"East","Rahul","West","Amit","North","Priya","South","Karan")</f>
        <v>Karan</v>
      </c>
      <c r="X21" s="3" t="str" cm="1">
        <f t="array" ref="X21">_xlfn.SWITCH(H21,"Electronics","Tech","Furniture","Home","Office Supplies","Office")</f>
        <v>Tech</v>
      </c>
      <c r="Y21" s="3" t="str" cm="1">
        <f t="array" ref="Y21">_xlfn.SWITCH(D21,"Regular","Level 1","Premium","Level 2","VIP","Level 3")</f>
        <v>Level 3</v>
      </c>
      <c r="Z21" s="14" t="str" cm="1">
        <f t="array" ref="Z21">_xlfn.SWITCH(U21,"Express","EXP","Fast","STD","Normal","NOR","Delayed","DLY")</f>
        <v>STD</v>
      </c>
    </row>
    <row r="22" spans="1:26" x14ac:dyDescent="0.3">
      <c r="A22" s="3" t="s">
        <v>94</v>
      </c>
      <c r="B22" s="3" t="s">
        <v>95</v>
      </c>
      <c r="C22" s="3" t="s">
        <v>56</v>
      </c>
      <c r="D22" s="3" t="s">
        <v>33</v>
      </c>
      <c r="E22" s="3" t="s">
        <v>48</v>
      </c>
      <c r="F22" s="3" t="s">
        <v>52</v>
      </c>
      <c r="G22" s="3" t="s">
        <v>26</v>
      </c>
      <c r="H22" s="3" t="s">
        <v>27</v>
      </c>
      <c r="I22" s="3">
        <v>5</v>
      </c>
      <c r="J22" s="3">
        <v>45000</v>
      </c>
      <c r="K22" s="3">
        <v>5</v>
      </c>
      <c r="L22" s="3">
        <v>213750</v>
      </c>
      <c r="M22" s="3">
        <v>34299.47</v>
      </c>
      <c r="N22" s="3">
        <v>7</v>
      </c>
      <c r="O22" s="3">
        <v>10</v>
      </c>
      <c r="P22" s="3" t="s">
        <v>28</v>
      </c>
      <c r="Q22" s="3" t="s">
        <v>37</v>
      </c>
      <c r="R22" s="3">
        <v>4</v>
      </c>
      <c r="S22" s="3">
        <v>23150</v>
      </c>
      <c r="T22" s="3">
        <v>233374.18</v>
      </c>
      <c r="U22" s="17" t="str" cm="1">
        <f t="array" ref="U22">_xlfn.IFS(O22&lt;=2,"Express",O22&lt;=5,"Fast",O22&lt;=7,"Normal",O22&gt;7,"Delayed")</f>
        <v>Delayed</v>
      </c>
      <c r="V22" s="3" t="str" cm="1">
        <f t="array" ref="V22">_xlfn.SWITCH(P22,"Cash","C","Card","CR","UPI","U","Net Banking","NB")</f>
        <v>C</v>
      </c>
      <c r="W22" s="3" t="str" cm="1">
        <f t="array" ref="W22">_xlfn.SWITCH(E22,"East","Rahul","West","Amit","North","Priya","South","Karan")</f>
        <v>Priya</v>
      </c>
      <c r="X22" s="3" t="str" cm="1">
        <f t="array" ref="X22">_xlfn.SWITCH(H22,"Electronics","Tech","Furniture","Home","Office Supplies","Office")</f>
        <v>Tech</v>
      </c>
      <c r="Y22" s="3" t="str" cm="1">
        <f t="array" ref="Y22">_xlfn.SWITCH(D22,"Regular","Level 1","Premium","Level 2","VIP","Level 3")</f>
        <v>Level 1</v>
      </c>
      <c r="Z22" s="14" t="str" cm="1">
        <f t="array" ref="Z22">_xlfn.SWITCH(U22,"Express","EXP","Fast","STD","Normal","NOR","Delayed","DLY")</f>
        <v>DLY</v>
      </c>
    </row>
    <row r="23" spans="1:26" x14ac:dyDescent="0.3">
      <c r="A23" s="3" t="s">
        <v>96</v>
      </c>
      <c r="B23" s="3" t="s">
        <v>65</v>
      </c>
      <c r="C23" s="3" t="s">
        <v>97</v>
      </c>
      <c r="D23" s="3" t="s">
        <v>33</v>
      </c>
      <c r="E23" s="3" t="s">
        <v>41</v>
      </c>
      <c r="F23" s="3" t="s">
        <v>25</v>
      </c>
      <c r="G23" s="3" t="s">
        <v>66</v>
      </c>
      <c r="H23" s="3" t="s">
        <v>27</v>
      </c>
      <c r="I23" s="3">
        <v>6</v>
      </c>
      <c r="J23" s="3">
        <v>8000</v>
      </c>
      <c r="K23" s="3">
        <v>5</v>
      </c>
      <c r="L23" s="3">
        <v>45600</v>
      </c>
      <c r="M23" s="3">
        <v>7280.44</v>
      </c>
      <c r="N23" s="3">
        <v>7</v>
      </c>
      <c r="O23" s="3">
        <v>4</v>
      </c>
      <c r="P23" s="3" t="s">
        <v>59</v>
      </c>
      <c r="Q23" s="3" t="s">
        <v>29</v>
      </c>
      <c r="R23" s="3">
        <v>2</v>
      </c>
      <c r="S23" s="3">
        <v>149728</v>
      </c>
      <c r="T23" s="3">
        <v>45999.06</v>
      </c>
      <c r="U23" s="17" t="str" cm="1">
        <f t="array" ref="U23">_xlfn.IFS(O23&lt;=2,"Express",O23&lt;=5,"Fast",O23&lt;=7,"Normal",O23&gt;7,"Delayed")</f>
        <v>Fast</v>
      </c>
      <c r="V23" s="3" t="str" cm="1">
        <f t="array" ref="V23">_xlfn.SWITCH(P23,"Cash","C","Card","CR","UPI","U","Net Banking","NB")</f>
        <v>NB</v>
      </c>
      <c r="W23" s="3" t="str" cm="1">
        <f t="array" ref="W23">_xlfn.SWITCH(E23,"East","Rahul","West","Amit","North","Priya","South","Karan")</f>
        <v>Karan</v>
      </c>
      <c r="X23" s="3" t="str" cm="1">
        <f t="array" ref="X23">_xlfn.SWITCH(H23,"Electronics","Tech","Furniture","Home","Office Supplies","Office")</f>
        <v>Tech</v>
      </c>
      <c r="Y23" s="3" t="str" cm="1">
        <f t="array" ref="Y23">_xlfn.SWITCH(D23,"Regular","Level 1","Premium","Level 2","VIP","Level 3")</f>
        <v>Level 1</v>
      </c>
      <c r="Z23" s="14" t="str" cm="1">
        <f t="array" ref="Z23">_xlfn.SWITCH(U23,"Express","EXP","Fast","STD","Normal","NOR","Delayed","DLY")</f>
        <v>STD</v>
      </c>
    </row>
    <row r="24" spans="1:26" x14ac:dyDescent="0.3">
      <c r="A24" s="3" t="s">
        <v>98</v>
      </c>
      <c r="B24" s="3" t="s">
        <v>99</v>
      </c>
      <c r="C24" s="3" t="s">
        <v>77</v>
      </c>
      <c r="D24" s="3" t="s">
        <v>23</v>
      </c>
      <c r="E24" s="3" t="s">
        <v>24</v>
      </c>
      <c r="F24" s="3" t="s">
        <v>52</v>
      </c>
      <c r="G24" s="3" t="s">
        <v>26</v>
      </c>
      <c r="H24" s="3" t="s">
        <v>27</v>
      </c>
      <c r="I24" s="3">
        <v>5</v>
      </c>
      <c r="J24" s="3">
        <v>65000</v>
      </c>
      <c r="K24" s="3">
        <v>15</v>
      </c>
      <c r="L24" s="3">
        <v>276250</v>
      </c>
      <c r="M24" s="3">
        <v>66751.67</v>
      </c>
      <c r="N24" s="3">
        <v>67</v>
      </c>
      <c r="O24" s="3">
        <v>5</v>
      </c>
      <c r="P24" s="3" t="s">
        <v>59</v>
      </c>
      <c r="Q24" s="3" t="s">
        <v>29</v>
      </c>
      <c r="R24" s="3">
        <v>5</v>
      </c>
      <c r="S24" s="3">
        <v>94579</v>
      </c>
      <c r="T24" s="3">
        <v>313749.99</v>
      </c>
      <c r="U24" s="17" t="str" cm="1">
        <f t="array" ref="U24">_xlfn.IFS(O24&lt;=2,"Express",O24&lt;=5,"Fast",O24&lt;=7,"Normal",O24&gt;7,"Delayed")</f>
        <v>Fast</v>
      </c>
      <c r="V24" s="3" t="str" cm="1">
        <f t="array" ref="V24">_xlfn.SWITCH(P24,"Cash","C","Card","CR","UPI","U","Net Banking","NB")</f>
        <v>NB</v>
      </c>
      <c r="W24" s="3" t="str" cm="1">
        <f t="array" ref="W24">_xlfn.SWITCH(E24,"East","Rahul","West","Amit","North","Priya","South","Karan")</f>
        <v>Amit</v>
      </c>
      <c r="X24" s="3" t="str" cm="1">
        <f t="array" ref="X24">_xlfn.SWITCH(H24,"Electronics","Tech","Furniture","Home","Office Supplies","Office")</f>
        <v>Tech</v>
      </c>
      <c r="Y24" s="3" t="str" cm="1">
        <f t="array" ref="Y24">_xlfn.SWITCH(D24,"Regular","Level 1","Premium","Level 2","VIP","Level 3")</f>
        <v>Level 3</v>
      </c>
      <c r="Z24" s="14" t="str" cm="1">
        <f t="array" ref="Z24">_xlfn.SWITCH(U24,"Express","EXP","Fast","STD","Normal","NOR","Delayed","DLY")</f>
        <v>STD</v>
      </c>
    </row>
    <row r="25" spans="1:26" x14ac:dyDescent="0.3">
      <c r="A25" s="3" t="s">
        <v>100</v>
      </c>
      <c r="B25" s="3" t="s">
        <v>101</v>
      </c>
      <c r="C25" s="3" t="s">
        <v>85</v>
      </c>
      <c r="D25" s="3" t="s">
        <v>23</v>
      </c>
      <c r="E25" s="3" t="s">
        <v>57</v>
      </c>
      <c r="F25" s="3" t="s">
        <v>58</v>
      </c>
      <c r="G25" s="3" t="s">
        <v>26</v>
      </c>
      <c r="H25" s="3" t="s">
        <v>27</v>
      </c>
      <c r="I25" s="3">
        <v>9</v>
      </c>
      <c r="J25" s="3">
        <v>65000</v>
      </c>
      <c r="K25" s="3">
        <v>10</v>
      </c>
      <c r="L25" s="3">
        <v>526500</v>
      </c>
      <c r="M25" s="3">
        <v>66234.98</v>
      </c>
      <c r="N25" s="3">
        <v>46</v>
      </c>
      <c r="O25" s="3">
        <v>9</v>
      </c>
      <c r="P25" s="3" t="s">
        <v>28</v>
      </c>
      <c r="Q25" s="3" t="s">
        <v>29</v>
      </c>
      <c r="R25" s="3">
        <v>4</v>
      </c>
      <c r="S25" s="3">
        <v>143639</v>
      </c>
      <c r="T25" s="3">
        <v>507590.40000000002</v>
      </c>
      <c r="U25" s="17" t="str" cm="1">
        <f t="array" ref="U25">_xlfn.IFS(O25&lt;=2,"Express",O25&lt;=5,"Fast",O25&lt;=7,"Normal",O25&gt;7,"Delayed")</f>
        <v>Delayed</v>
      </c>
      <c r="V25" s="3" t="str" cm="1">
        <f t="array" ref="V25">_xlfn.SWITCH(P25,"Cash","C","Card","CR","UPI","U","Net Banking","NB")</f>
        <v>C</v>
      </c>
      <c r="W25" s="3" t="str" cm="1">
        <f t="array" ref="W25">_xlfn.SWITCH(E25,"East","Rahul","West","Amit","North","Priya","South","Karan")</f>
        <v>Rahul</v>
      </c>
      <c r="X25" s="3" t="str" cm="1">
        <f t="array" ref="X25">_xlfn.SWITCH(H25,"Electronics","Tech","Furniture","Home","Office Supplies","Office")</f>
        <v>Tech</v>
      </c>
      <c r="Y25" s="3" t="str" cm="1">
        <f t="array" ref="Y25">_xlfn.SWITCH(D25,"Regular","Level 1","Premium","Level 2","VIP","Level 3")</f>
        <v>Level 3</v>
      </c>
      <c r="Z25" s="14" t="str" cm="1">
        <f t="array" ref="Z25">_xlfn.SWITCH(U25,"Express","EXP","Fast","STD","Normal","NOR","Delayed","DLY")</f>
        <v>DLY</v>
      </c>
    </row>
    <row r="26" spans="1:26" x14ac:dyDescent="0.3">
      <c r="A26" s="3" t="s">
        <v>102</v>
      </c>
      <c r="B26" s="3" t="s">
        <v>103</v>
      </c>
      <c r="C26" s="3" t="s">
        <v>77</v>
      </c>
      <c r="D26" s="3" t="s">
        <v>23</v>
      </c>
      <c r="E26" s="3" t="s">
        <v>24</v>
      </c>
      <c r="F26" s="3" t="s">
        <v>70</v>
      </c>
      <c r="G26" s="3" t="s">
        <v>80</v>
      </c>
      <c r="H26" s="3" t="s">
        <v>36</v>
      </c>
      <c r="I26" s="3">
        <v>4</v>
      </c>
      <c r="J26" s="3">
        <v>1200</v>
      </c>
      <c r="K26" s="3">
        <v>0</v>
      </c>
      <c r="L26" s="3">
        <v>4800</v>
      </c>
      <c r="M26" s="3">
        <v>1491.21</v>
      </c>
      <c r="N26" s="3">
        <v>28</v>
      </c>
      <c r="O26" s="3">
        <v>7</v>
      </c>
      <c r="P26" s="3" t="s">
        <v>67</v>
      </c>
      <c r="Q26" s="3" t="s">
        <v>37</v>
      </c>
      <c r="R26" s="3">
        <v>1</v>
      </c>
      <c r="S26" s="3">
        <v>45429</v>
      </c>
      <c r="T26" s="3">
        <v>5032.3999999999996</v>
      </c>
      <c r="U26" s="17" t="str" cm="1">
        <f t="array" ref="U26">_xlfn.IFS(O26&lt;=2,"Express",O26&lt;=5,"Fast",O26&lt;=7,"Normal",O26&gt;7,"Delayed")</f>
        <v>Normal</v>
      </c>
      <c r="V26" s="3" t="str" cm="1">
        <f t="array" ref="V26">_xlfn.SWITCH(P26,"Cash","C","Card","CR","UPI","U","Net Banking","NB")</f>
        <v>U</v>
      </c>
      <c r="W26" s="3" t="str" cm="1">
        <f t="array" ref="W26">_xlfn.SWITCH(E26,"East","Rahul","West","Amit","North","Priya","South","Karan")</f>
        <v>Amit</v>
      </c>
      <c r="X26" s="3" t="str" cm="1">
        <f t="array" ref="X26">_xlfn.SWITCH(H26,"Electronics","Tech","Furniture","Home","Office Supplies","Office")</f>
        <v>Home</v>
      </c>
      <c r="Y26" s="3" t="str" cm="1">
        <f t="array" ref="Y26">_xlfn.SWITCH(D26,"Regular","Level 1","Premium","Level 2","VIP","Level 3")</f>
        <v>Level 3</v>
      </c>
      <c r="Z26" s="14" t="str" cm="1">
        <f t="array" ref="Z26">_xlfn.SWITCH(U26,"Express","EXP","Fast","STD","Normal","NOR","Delayed","DLY")</f>
        <v>NOR</v>
      </c>
    </row>
    <row r="27" spans="1:26" x14ac:dyDescent="0.3">
      <c r="A27" s="3" t="s">
        <v>104</v>
      </c>
      <c r="B27" s="3" t="s">
        <v>105</v>
      </c>
      <c r="C27" s="3" t="s">
        <v>79</v>
      </c>
      <c r="D27" s="3" t="s">
        <v>47</v>
      </c>
      <c r="E27" s="3" t="s">
        <v>48</v>
      </c>
      <c r="F27" s="3" t="s">
        <v>34</v>
      </c>
      <c r="G27" s="3" t="s">
        <v>42</v>
      </c>
      <c r="H27" s="3" t="s">
        <v>43</v>
      </c>
      <c r="I27" s="3">
        <v>5</v>
      </c>
      <c r="J27" s="3">
        <v>500</v>
      </c>
      <c r="K27" s="3">
        <v>0</v>
      </c>
      <c r="L27" s="3">
        <v>2500</v>
      </c>
      <c r="M27" s="3">
        <v>599.72</v>
      </c>
      <c r="N27" s="3">
        <v>11</v>
      </c>
      <c r="O27" s="3">
        <v>2</v>
      </c>
      <c r="P27" s="3" t="s">
        <v>28</v>
      </c>
      <c r="Q27" s="3" t="s">
        <v>37</v>
      </c>
      <c r="R27" s="3">
        <v>3</v>
      </c>
      <c r="S27" s="3">
        <v>48512</v>
      </c>
      <c r="T27" s="3">
        <v>2719.1</v>
      </c>
      <c r="U27" s="17" t="str" cm="1">
        <f t="array" ref="U27">_xlfn.IFS(O27&lt;=2,"Express",O27&lt;=5,"Fast",O27&lt;=7,"Normal",O27&gt;7,"Delayed")</f>
        <v>Express</v>
      </c>
      <c r="V27" s="3" t="str" cm="1">
        <f t="array" ref="V27">_xlfn.SWITCH(P27,"Cash","C","Card","CR","UPI","U","Net Banking","NB")</f>
        <v>C</v>
      </c>
      <c r="W27" s="3" t="str" cm="1">
        <f t="array" ref="W27">_xlfn.SWITCH(E27,"East","Rahul","West","Amit","North","Priya","South","Karan")</f>
        <v>Priya</v>
      </c>
      <c r="X27" s="3" t="str" cm="1">
        <f t="array" ref="X27">_xlfn.SWITCH(H27,"Electronics","Tech","Furniture","Home","Office Supplies","Office")</f>
        <v>Office</v>
      </c>
      <c r="Y27" s="3" t="str" cm="1">
        <f t="array" ref="Y27">_xlfn.SWITCH(D27,"Regular","Level 1","Premium","Level 2","VIP","Level 3")</f>
        <v>Level 2</v>
      </c>
      <c r="Z27" s="14" t="str" cm="1">
        <f t="array" ref="Z27">_xlfn.SWITCH(U27,"Express","EXP","Fast","STD","Normal","NOR","Delayed","DLY")</f>
        <v>EXP</v>
      </c>
    </row>
    <row r="28" spans="1:26" x14ac:dyDescent="0.3">
      <c r="A28" s="3" t="s">
        <v>106</v>
      </c>
      <c r="B28" s="3" t="s">
        <v>105</v>
      </c>
      <c r="C28" s="3" t="s">
        <v>51</v>
      </c>
      <c r="D28" s="3" t="s">
        <v>23</v>
      </c>
      <c r="E28" s="3" t="s">
        <v>57</v>
      </c>
      <c r="F28" s="3" t="s">
        <v>25</v>
      </c>
      <c r="G28" s="3" t="s">
        <v>26</v>
      </c>
      <c r="H28" s="3" t="s">
        <v>27</v>
      </c>
      <c r="I28" s="3">
        <v>6</v>
      </c>
      <c r="J28" s="3">
        <v>15000</v>
      </c>
      <c r="K28" s="3">
        <v>5</v>
      </c>
      <c r="L28" s="3">
        <v>85500</v>
      </c>
      <c r="M28" s="3">
        <v>15768.3</v>
      </c>
      <c r="N28" s="3">
        <v>4</v>
      </c>
      <c r="O28" s="3">
        <v>1</v>
      </c>
      <c r="P28" s="3" t="s">
        <v>59</v>
      </c>
      <c r="Q28" s="3" t="s">
        <v>37</v>
      </c>
      <c r="R28" s="3">
        <v>5</v>
      </c>
      <c r="S28" s="3">
        <v>131477</v>
      </c>
      <c r="T28" s="3">
        <v>90164.43</v>
      </c>
      <c r="U28" s="17" t="str" cm="1">
        <f t="array" ref="U28">_xlfn.IFS(O28&lt;=2,"Express",O28&lt;=5,"Fast",O28&lt;=7,"Normal",O28&gt;7,"Delayed")</f>
        <v>Express</v>
      </c>
      <c r="V28" s="3" t="str" cm="1">
        <f t="array" ref="V28">_xlfn.SWITCH(P28,"Cash","C","Card","CR","UPI","U","Net Banking","NB")</f>
        <v>NB</v>
      </c>
      <c r="W28" s="3" t="str" cm="1">
        <f t="array" ref="W28">_xlfn.SWITCH(E28,"East","Rahul","West","Amit","North","Priya","South","Karan")</f>
        <v>Rahul</v>
      </c>
      <c r="X28" s="3" t="str" cm="1">
        <f t="array" ref="X28">_xlfn.SWITCH(H28,"Electronics","Tech","Furniture","Home","Office Supplies","Office")</f>
        <v>Tech</v>
      </c>
      <c r="Y28" s="3" t="str" cm="1">
        <f t="array" ref="Y28">_xlfn.SWITCH(D28,"Regular","Level 1","Premium","Level 2","VIP","Level 3")</f>
        <v>Level 3</v>
      </c>
      <c r="Z28" s="14" t="str" cm="1">
        <f t="array" ref="Z28">_xlfn.SWITCH(U28,"Express","EXP","Fast","STD","Normal","NOR","Delayed","DLY")</f>
        <v>EXP</v>
      </c>
    </row>
    <row r="29" spans="1:26" x14ac:dyDescent="0.3">
      <c r="A29" s="3" t="s">
        <v>107</v>
      </c>
      <c r="B29" s="3" t="s">
        <v>108</v>
      </c>
      <c r="C29" s="3" t="s">
        <v>22</v>
      </c>
      <c r="D29" s="3" t="s">
        <v>23</v>
      </c>
      <c r="E29" s="3" t="s">
        <v>57</v>
      </c>
      <c r="F29" s="3" t="s">
        <v>58</v>
      </c>
      <c r="G29" s="3" t="s">
        <v>53</v>
      </c>
      <c r="H29" s="3" t="s">
        <v>43</v>
      </c>
      <c r="I29" s="3">
        <v>7</v>
      </c>
      <c r="J29" s="3">
        <v>8000</v>
      </c>
      <c r="K29" s="3">
        <v>10</v>
      </c>
      <c r="L29" s="3">
        <v>50400</v>
      </c>
      <c r="M29" s="3">
        <v>-2262.5</v>
      </c>
      <c r="N29" s="3">
        <v>3</v>
      </c>
      <c r="O29" s="3">
        <v>7</v>
      </c>
      <c r="P29" s="3" t="s">
        <v>28</v>
      </c>
      <c r="Q29" s="3" t="s">
        <v>29</v>
      </c>
      <c r="R29" s="3">
        <v>2</v>
      </c>
      <c r="S29" s="3">
        <v>99353</v>
      </c>
      <c r="T29" s="3">
        <v>47719.85</v>
      </c>
      <c r="U29" s="17" t="str" cm="1">
        <f t="array" ref="U29">_xlfn.IFS(O29&lt;=2,"Express",O29&lt;=5,"Fast",O29&lt;=7,"Normal",O29&gt;7,"Delayed")</f>
        <v>Normal</v>
      </c>
      <c r="V29" s="3" t="str" cm="1">
        <f t="array" ref="V29">_xlfn.SWITCH(P29,"Cash","C","Card","CR","UPI","U","Net Banking","NB")</f>
        <v>C</v>
      </c>
      <c r="W29" s="3" t="str" cm="1">
        <f t="array" ref="W29">_xlfn.SWITCH(E29,"East","Rahul","West","Amit","North","Priya","South","Karan")</f>
        <v>Rahul</v>
      </c>
      <c r="X29" s="3" t="str" cm="1">
        <f t="array" ref="X29">_xlfn.SWITCH(H29,"Electronics","Tech","Furniture","Home","Office Supplies","Office")</f>
        <v>Office</v>
      </c>
      <c r="Y29" s="3" t="str" cm="1">
        <f t="array" ref="Y29">_xlfn.SWITCH(D29,"Regular","Level 1","Premium","Level 2","VIP","Level 3")</f>
        <v>Level 3</v>
      </c>
      <c r="Z29" s="14" t="str" cm="1">
        <f t="array" ref="Z29">_xlfn.SWITCH(U29,"Express","EXP","Fast","STD","Normal","NOR","Delayed","DLY")</f>
        <v>NOR</v>
      </c>
    </row>
    <row r="30" spans="1:26" x14ac:dyDescent="0.3">
      <c r="A30" s="3" t="s">
        <v>109</v>
      </c>
      <c r="B30" s="3" t="s">
        <v>110</v>
      </c>
      <c r="C30" s="3" t="s">
        <v>22</v>
      </c>
      <c r="D30" s="3" t="s">
        <v>23</v>
      </c>
      <c r="E30" s="3" t="s">
        <v>24</v>
      </c>
      <c r="F30" s="3" t="s">
        <v>70</v>
      </c>
      <c r="G30" s="3" t="s">
        <v>53</v>
      </c>
      <c r="H30" s="3" t="s">
        <v>43</v>
      </c>
      <c r="I30" s="3">
        <v>8</v>
      </c>
      <c r="J30" s="3">
        <v>500</v>
      </c>
      <c r="K30" s="3">
        <v>15</v>
      </c>
      <c r="L30" s="3">
        <v>3400</v>
      </c>
      <c r="M30" s="3">
        <v>0.1</v>
      </c>
      <c r="N30" s="3">
        <v>65</v>
      </c>
      <c r="O30" s="3">
        <v>2</v>
      </c>
      <c r="P30" s="3" t="s">
        <v>44</v>
      </c>
      <c r="Q30" s="3" t="s">
        <v>29</v>
      </c>
      <c r="R30" s="3">
        <v>1</v>
      </c>
      <c r="S30" s="3">
        <v>133638</v>
      </c>
      <c r="T30" s="3">
        <v>3643.81</v>
      </c>
      <c r="U30" s="17" t="str" cm="1">
        <f t="array" ref="U30">_xlfn.IFS(O30&lt;=2,"Express",O30&lt;=5,"Fast",O30&lt;=7,"Normal",O30&gt;7,"Delayed")</f>
        <v>Express</v>
      </c>
      <c r="V30" s="3" t="str" cm="1">
        <f t="array" ref="V30">_xlfn.SWITCH(P30,"Cash","C","Card","CR","UPI","U","Net Banking","NB")</f>
        <v>CR</v>
      </c>
      <c r="W30" s="3" t="str" cm="1">
        <f t="array" ref="W30">_xlfn.SWITCH(E30,"East","Rahul","West","Amit","North","Priya","South","Karan")</f>
        <v>Amit</v>
      </c>
      <c r="X30" s="3" t="str" cm="1">
        <f t="array" ref="X30">_xlfn.SWITCH(H30,"Electronics","Tech","Furniture","Home","Office Supplies","Office")</f>
        <v>Office</v>
      </c>
      <c r="Y30" s="3" t="str" cm="1">
        <f t="array" ref="Y30">_xlfn.SWITCH(D30,"Regular","Level 1","Premium","Level 2","VIP","Level 3")</f>
        <v>Level 3</v>
      </c>
      <c r="Z30" s="14" t="str" cm="1">
        <f t="array" ref="Z30">_xlfn.SWITCH(U30,"Express","EXP","Fast","STD","Normal","NOR","Delayed","DLY")</f>
        <v>EXP</v>
      </c>
    </row>
    <row r="31" spans="1:26" x14ac:dyDescent="0.3">
      <c r="A31" s="3" t="s">
        <v>111</v>
      </c>
      <c r="B31" s="3" t="s">
        <v>112</v>
      </c>
      <c r="C31" s="3" t="s">
        <v>51</v>
      </c>
      <c r="D31" s="3" t="s">
        <v>47</v>
      </c>
      <c r="E31" s="3" t="s">
        <v>24</v>
      </c>
      <c r="F31" s="3" t="s">
        <v>25</v>
      </c>
      <c r="G31" s="3" t="s">
        <v>35</v>
      </c>
      <c r="H31" s="3" t="s">
        <v>36</v>
      </c>
      <c r="I31" s="3">
        <v>2</v>
      </c>
      <c r="J31" s="3">
        <v>45000</v>
      </c>
      <c r="K31" s="3">
        <v>5</v>
      </c>
      <c r="L31" s="3">
        <v>85500</v>
      </c>
      <c r="M31" s="3">
        <v>20503.240000000002</v>
      </c>
      <c r="N31" s="3">
        <v>60</v>
      </c>
      <c r="O31" s="3">
        <v>1</v>
      </c>
      <c r="P31" s="3" t="s">
        <v>44</v>
      </c>
      <c r="Q31" s="3" t="s">
        <v>29</v>
      </c>
      <c r="R31" s="3">
        <v>1</v>
      </c>
      <c r="S31" s="3">
        <v>39652</v>
      </c>
      <c r="T31" s="3">
        <v>90343.98</v>
      </c>
      <c r="U31" s="17" t="str" cm="1">
        <f t="array" ref="U31">_xlfn.IFS(O31&lt;=2,"Express",O31&lt;=5,"Fast",O31&lt;=7,"Normal",O31&gt;7,"Delayed")</f>
        <v>Express</v>
      </c>
      <c r="V31" s="3" t="str" cm="1">
        <f t="array" ref="V31">_xlfn.SWITCH(P31,"Cash","C","Card","CR","UPI","U","Net Banking","NB")</f>
        <v>CR</v>
      </c>
      <c r="W31" s="3" t="str" cm="1">
        <f t="array" ref="W31">_xlfn.SWITCH(E31,"East","Rahul","West","Amit","North","Priya","South","Karan")</f>
        <v>Amit</v>
      </c>
      <c r="X31" s="3" t="str" cm="1">
        <f t="array" ref="X31">_xlfn.SWITCH(H31,"Electronics","Tech","Furniture","Home","Office Supplies","Office")</f>
        <v>Home</v>
      </c>
      <c r="Y31" s="3" t="str" cm="1">
        <f t="array" ref="Y31">_xlfn.SWITCH(D31,"Regular","Level 1","Premium","Level 2","VIP","Level 3")</f>
        <v>Level 2</v>
      </c>
      <c r="Z31" s="14" t="str" cm="1">
        <f t="array" ref="Z31">_xlfn.SWITCH(U31,"Express","EXP","Fast","STD","Normal","NOR","Delayed","DLY")</f>
        <v>EXP</v>
      </c>
    </row>
    <row r="32" spans="1:26" x14ac:dyDescent="0.3">
      <c r="A32" s="3" t="s">
        <v>113</v>
      </c>
      <c r="B32" s="3" t="s">
        <v>114</v>
      </c>
      <c r="C32" s="3" t="s">
        <v>77</v>
      </c>
      <c r="D32" s="3" t="s">
        <v>33</v>
      </c>
      <c r="E32" s="3" t="s">
        <v>57</v>
      </c>
      <c r="F32" s="3" t="s">
        <v>34</v>
      </c>
      <c r="G32" s="3" t="s">
        <v>80</v>
      </c>
      <c r="H32" s="3" t="s">
        <v>36</v>
      </c>
      <c r="I32" s="3">
        <v>1</v>
      </c>
      <c r="J32" s="3">
        <v>45000</v>
      </c>
      <c r="K32" s="3">
        <v>10</v>
      </c>
      <c r="L32" s="3">
        <v>40500</v>
      </c>
      <c r="M32" s="3">
        <v>13451.25</v>
      </c>
      <c r="N32" s="3">
        <v>99</v>
      </c>
      <c r="O32" s="3">
        <v>10</v>
      </c>
      <c r="P32" s="3" t="s">
        <v>67</v>
      </c>
      <c r="Q32" s="3" t="s">
        <v>29</v>
      </c>
      <c r="R32" s="3">
        <v>4</v>
      </c>
      <c r="S32" s="3">
        <v>133203</v>
      </c>
      <c r="T32" s="3">
        <v>40774.160000000003</v>
      </c>
      <c r="U32" s="17" t="str" cm="1">
        <f t="array" ref="U32">_xlfn.IFS(O32&lt;=2,"Express",O32&lt;=5,"Fast",O32&lt;=7,"Normal",O32&gt;7,"Delayed")</f>
        <v>Delayed</v>
      </c>
      <c r="V32" s="3" t="str" cm="1">
        <f t="array" ref="V32">_xlfn.SWITCH(P32,"Cash","C","Card","CR","UPI","U","Net Banking","NB")</f>
        <v>U</v>
      </c>
      <c r="W32" s="3" t="str" cm="1">
        <f t="array" ref="W32">_xlfn.SWITCH(E32,"East","Rahul","West","Amit","North","Priya","South","Karan")</f>
        <v>Rahul</v>
      </c>
      <c r="X32" s="3" t="str" cm="1">
        <f t="array" ref="X32">_xlfn.SWITCH(H32,"Electronics","Tech","Furniture","Home","Office Supplies","Office")</f>
        <v>Home</v>
      </c>
      <c r="Y32" s="3" t="str" cm="1">
        <f t="array" ref="Y32">_xlfn.SWITCH(D32,"Regular","Level 1","Premium","Level 2","VIP","Level 3")</f>
        <v>Level 1</v>
      </c>
      <c r="Z32" s="14" t="str" cm="1">
        <f t="array" ref="Z32">_xlfn.SWITCH(U32,"Express","EXP","Fast","STD","Normal","NOR","Delayed","DLY")</f>
        <v>DLY</v>
      </c>
    </row>
    <row r="33" spans="1:26" x14ac:dyDescent="0.3">
      <c r="A33" s="3" t="s">
        <v>115</v>
      </c>
      <c r="B33" s="3" t="s">
        <v>50</v>
      </c>
      <c r="C33" s="3" t="s">
        <v>77</v>
      </c>
      <c r="D33" s="3" t="s">
        <v>33</v>
      </c>
      <c r="E33" s="3" t="s">
        <v>24</v>
      </c>
      <c r="F33" s="3" t="s">
        <v>70</v>
      </c>
      <c r="G33" s="3" t="s">
        <v>53</v>
      </c>
      <c r="H33" s="3" t="s">
        <v>43</v>
      </c>
      <c r="I33" s="3">
        <v>5</v>
      </c>
      <c r="J33" s="3">
        <v>3500</v>
      </c>
      <c r="K33" s="3">
        <v>20</v>
      </c>
      <c r="L33" s="3">
        <v>14000</v>
      </c>
      <c r="M33" s="3">
        <v>-305.06</v>
      </c>
      <c r="N33" s="3">
        <v>94</v>
      </c>
      <c r="O33" s="3">
        <v>6</v>
      </c>
      <c r="P33" s="3" t="s">
        <v>67</v>
      </c>
      <c r="Q33" s="3" t="s">
        <v>29</v>
      </c>
      <c r="R33" s="3">
        <v>1</v>
      </c>
      <c r="S33" s="3">
        <v>41754</v>
      </c>
      <c r="T33" s="3">
        <v>11516.25</v>
      </c>
      <c r="U33" s="17" t="str" cm="1">
        <f t="array" ref="U33">_xlfn.IFS(O33&lt;=2,"Express",O33&lt;=5,"Fast",O33&lt;=7,"Normal",O33&gt;7,"Delayed")</f>
        <v>Normal</v>
      </c>
      <c r="V33" s="3" t="str" cm="1">
        <f t="array" ref="V33">_xlfn.SWITCH(P33,"Cash","C","Card","CR","UPI","U","Net Banking","NB")</f>
        <v>U</v>
      </c>
      <c r="W33" s="3" t="str" cm="1">
        <f t="array" ref="W33">_xlfn.SWITCH(E33,"East","Rahul","West","Amit","North","Priya","South","Karan")</f>
        <v>Amit</v>
      </c>
      <c r="X33" s="3" t="str" cm="1">
        <f t="array" ref="X33">_xlfn.SWITCH(H33,"Electronics","Tech","Furniture","Home","Office Supplies","Office")</f>
        <v>Office</v>
      </c>
      <c r="Y33" s="3" t="str" cm="1">
        <f t="array" ref="Y33">_xlfn.SWITCH(D33,"Regular","Level 1","Premium","Level 2","VIP","Level 3")</f>
        <v>Level 1</v>
      </c>
      <c r="Z33" s="14" t="str" cm="1">
        <f t="array" ref="Z33">_xlfn.SWITCH(U33,"Express","EXP","Fast","STD","Normal","NOR","Delayed","DLY")</f>
        <v>NOR</v>
      </c>
    </row>
    <row r="34" spans="1:26" x14ac:dyDescent="0.3">
      <c r="A34" s="3" t="s">
        <v>116</v>
      </c>
      <c r="B34" s="3" t="s">
        <v>117</v>
      </c>
      <c r="C34" s="3" t="s">
        <v>51</v>
      </c>
      <c r="D34" s="3" t="s">
        <v>47</v>
      </c>
      <c r="E34" s="3" t="s">
        <v>48</v>
      </c>
      <c r="F34" s="3" t="s">
        <v>70</v>
      </c>
      <c r="G34" s="3" t="s">
        <v>26</v>
      </c>
      <c r="H34" s="3" t="s">
        <v>27</v>
      </c>
      <c r="I34" s="3">
        <v>10</v>
      </c>
      <c r="J34" s="3">
        <v>45000</v>
      </c>
      <c r="K34" s="3">
        <v>20</v>
      </c>
      <c r="L34" s="3">
        <v>360000</v>
      </c>
      <c r="M34" s="3">
        <v>6498.18</v>
      </c>
      <c r="N34" s="3">
        <v>100</v>
      </c>
      <c r="O34" s="3">
        <v>7</v>
      </c>
      <c r="P34" s="3" t="s">
        <v>67</v>
      </c>
      <c r="Q34" s="3" t="s">
        <v>29</v>
      </c>
      <c r="R34" s="3">
        <v>2</v>
      </c>
      <c r="S34" s="3">
        <v>117623</v>
      </c>
      <c r="T34" s="3">
        <v>394047.61</v>
      </c>
      <c r="U34" s="17" t="str" cm="1">
        <f t="array" ref="U34">_xlfn.IFS(O34&lt;=2,"Express",O34&lt;=5,"Fast",O34&lt;=7,"Normal",O34&gt;7,"Delayed")</f>
        <v>Normal</v>
      </c>
      <c r="V34" s="3" t="str" cm="1">
        <f t="array" ref="V34">_xlfn.SWITCH(P34,"Cash","C","Card","CR","UPI","U","Net Banking","NB")</f>
        <v>U</v>
      </c>
      <c r="W34" s="3" t="str" cm="1">
        <f t="array" ref="W34">_xlfn.SWITCH(E34,"East","Rahul","West","Amit","North","Priya","South","Karan")</f>
        <v>Priya</v>
      </c>
      <c r="X34" s="3" t="str" cm="1">
        <f t="array" ref="X34">_xlfn.SWITCH(H34,"Electronics","Tech","Furniture","Home","Office Supplies","Office")</f>
        <v>Tech</v>
      </c>
      <c r="Y34" s="3" t="str" cm="1">
        <f t="array" ref="Y34">_xlfn.SWITCH(D34,"Regular","Level 1","Premium","Level 2","VIP","Level 3")</f>
        <v>Level 2</v>
      </c>
      <c r="Z34" s="14" t="str" cm="1">
        <f t="array" ref="Z34">_xlfn.SWITCH(U34,"Express","EXP","Fast","STD","Normal","NOR","Delayed","DLY")</f>
        <v>NOR</v>
      </c>
    </row>
    <row r="35" spans="1:26" x14ac:dyDescent="0.3">
      <c r="A35" s="3" t="s">
        <v>118</v>
      </c>
      <c r="B35" s="3" t="s">
        <v>119</v>
      </c>
      <c r="C35" s="3" t="s">
        <v>32</v>
      </c>
      <c r="D35" s="3" t="s">
        <v>33</v>
      </c>
      <c r="E35" s="3" t="s">
        <v>41</v>
      </c>
      <c r="F35" s="3" t="s">
        <v>25</v>
      </c>
      <c r="G35" s="3" t="s">
        <v>26</v>
      </c>
      <c r="H35" s="3" t="s">
        <v>27</v>
      </c>
      <c r="I35" s="3">
        <v>1</v>
      </c>
      <c r="J35" s="3">
        <v>3500</v>
      </c>
      <c r="K35" s="3">
        <v>10</v>
      </c>
      <c r="L35" s="3">
        <v>3150</v>
      </c>
      <c r="M35" s="3">
        <v>509.87</v>
      </c>
      <c r="N35" s="3">
        <v>89</v>
      </c>
      <c r="O35" s="3">
        <v>10</v>
      </c>
      <c r="P35" s="3" t="s">
        <v>28</v>
      </c>
      <c r="Q35" s="3" t="s">
        <v>29</v>
      </c>
      <c r="R35" s="3">
        <v>5</v>
      </c>
      <c r="S35" s="3">
        <v>29904</v>
      </c>
      <c r="T35" s="3">
        <v>2859.85</v>
      </c>
      <c r="U35" s="17" t="str" cm="1">
        <f t="array" ref="U35">_xlfn.IFS(O35&lt;=2,"Express",O35&lt;=5,"Fast",O35&lt;=7,"Normal",O35&gt;7,"Delayed")</f>
        <v>Delayed</v>
      </c>
      <c r="V35" s="3" t="str" cm="1">
        <f t="array" ref="V35">_xlfn.SWITCH(P35,"Cash","C","Card","CR","UPI","U","Net Banking","NB")</f>
        <v>C</v>
      </c>
      <c r="W35" s="3" t="str" cm="1">
        <f t="array" ref="W35">_xlfn.SWITCH(E35,"East","Rahul","West","Amit","North","Priya","South","Karan")</f>
        <v>Karan</v>
      </c>
      <c r="X35" s="3" t="str" cm="1">
        <f t="array" ref="X35">_xlfn.SWITCH(H35,"Electronics","Tech","Furniture","Home","Office Supplies","Office")</f>
        <v>Tech</v>
      </c>
      <c r="Y35" s="3" t="str" cm="1">
        <f t="array" ref="Y35">_xlfn.SWITCH(D35,"Regular","Level 1","Premium","Level 2","VIP","Level 3")</f>
        <v>Level 1</v>
      </c>
      <c r="Z35" s="14" t="str" cm="1">
        <f t="array" ref="Z35">_xlfn.SWITCH(U35,"Express","EXP","Fast","STD","Normal","NOR","Delayed","DLY")</f>
        <v>DLY</v>
      </c>
    </row>
    <row r="36" spans="1:26" x14ac:dyDescent="0.3">
      <c r="A36" s="3" t="s">
        <v>120</v>
      </c>
      <c r="B36" s="3" t="s">
        <v>121</v>
      </c>
      <c r="C36" s="3" t="s">
        <v>40</v>
      </c>
      <c r="D36" s="3" t="s">
        <v>33</v>
      </c>
      <c r="E36" s="3" t="s">
        <v>48</v>
      </c>
      <c r="F36" s="3" t="s">
        <v>34</v>
      </c>
      <c r="G36" s="3" t="s">
        <v>53</v>
      </c>
      <c r="H36" s="3" t="s">
        <v>43</v>
      </c>
      <c r="I36" s="3">
        <v>8</v>
      </c>
      <c r="J36" s="3">
        <v>45000</v>
      </c>
      <c r="K36" s="3">
        <v>5</v>
      </c>
      <c r="L36" s="3">
        <v>342000</v>
      </c>
      <c r="M36" s="3">
        <v>90433.11</v>
      </c>
      <c r="N36" s="3">
        <v>60</v>
      </c>
      <c r="O36" s="3">
        <v>3</v>
      </c>
      <c r="P36" s="3" t="s">
        <v>28</v>
      </c>
      <c r="Q36" s="3" t="s">
        <v>37</v>
      </c>
      <c r="R36" s="3">
        <v>1</v>
      </c>
      <c r="S36" s="3">
        <v>74842</v>
      </c>
      <c r="T36" s="3">
        <v>329549.21999999997</v>
      </c>
      <c r="U36" s="17" t="str" cm="1">
        <f t="array" ref="U36">_xlfn.IFS(O36&lt;=2,"Express",O36&lt;=5,"Fast",O36&lt;=7,"Normal",O36&gt;7,"Delayed")</f>
        <v>Fast</v>
      </c>
      <c r="V36" s="3" t="str" cm="1">
        <f t="array" ref="V36">_xlfn.SWITCH(P36,"Cash","C","Card","CR","UPI","U","Net Banking","NB")</f>
        <v>C</v>
      </c>
      <c r="W36" s="3" t="str" cm="1">
        <f t="array" ref="W36">_xlfn.SWITCH(E36,"East","Rahul","West","Amit","North","Priya","South","Karan")</f>
        <v>Priya</v>
      </c>
      <c r="X36" s="3" t="str" cm="1">
        <f t="array" ref="X36">_xlfn.SWITCH(H36,"Electronics","Tech","Furniture","Home","Office Supplies","Office")</f>
        <v>Office</v>
      </c>
      <c r="Y36" s="3" t="str" cm="1">
        <f t="array" ref="Y36">_xlfn.SWITCH(D36,"Regular","Level 1","Premium","Level 2","VIP","Level 3")</f>
        <v>Level 1</v>
      </c>
      <c r="Z36" s="14" t="str" cm="1">
        <f t="array" ref="Z36">_xlfn.SWITCH(U36,"Express","EXP","Fast","STD","Normal","NOR","Delayed","DLY")</f>
        <v>STD</v>
      </c>
    </row>
    <row r="37" spans="1:26" x14ac:dyDescent="0.3">
      <c r="A37" s="3" t="s">
        <v>122</v>
      </c>
      <c r="B37" s="3" t="s">
        <v>123</v>
      </c>
      <c r="C37" s="3" t="s">
        <v>85</v>
      </c>
      <c r="D37" s="3" t="s">
        <v>23</v>
      </c>
      <c r="E37" s="3" t="s">
        <v>41</v>
      </c>
      <c r="F37" s="3" t="s">
        <v>34</v>
      </c>
      <c r="G37" s="3" t="s">
        <v>53</v>
      </c>
      <c r="H37" s="3" t="s">
        <v>43</v>
      </c>
      <c r="I37" s="3">
        <v>7</v>
      </c>
      <c r="J37" s="3">
        <v>45000</v>
      </c>
      <c r="K37" s="3">
        <v>20</v>
      </c>
      <c r="L37" s="3">
        <v>252000</v>
      </c>
      <c r="M37" s="3">
        <v>72242.14</v>
      </c>
      <c r="N37" s="3">
        <v>67</v>
      </c>
      <c r="O37" s="3">
        <v>6</v>
      </c>
      <c r="P37" s="3" t="s">
        <v>44</v>
      </c>
      <c r="Q37" s="3" t="s">
        <v>29</v>
      </c>
      <c r="R37" s="3">
        <v>1</v>
      </c>
      <c r="S37" s="3">
        <v>49967</v>
      </c>
      <c r="T37" s="3">
        <v>219729.33</v>
      </c>
      <c r="U37" s="17" t="str" cm="1">
        <f t="array" ref="U37">_xlfn.IFS(O37&lt;=2,"Express",O37&lt;=5,"Fast",O37&lt;=7,"Normal",O37&gt;7,"Delayed")</f>
        <v>Normal</v>
      </c>
      <c r="V37" s="3" t="str" cm="1">
        <f t="array" ref="V37">_xlfn.SWITCH(P37,"Cash","C","Card","CR","UPI","U","Net Banking","NB")</f>
        <v>CR</v>
      </c>
      <c r="W37" s="3" t="str" cm="1">
        <f t="array" ref="W37">_xlfn.SWITCH(E37,"East","Rahul","West","Amit","North","Priya","South","Karan")</f>
        <v>Karan</v>
      </c>
      <c r="X37" s="3" t="str" cm="1">
        <f t="array" ref="X37">_xlfn.SWITCH(H37,"Electronics","Tech","Furniture","Home","Office Supplies","Office")</f>
        <v>Office</v>
      </c>
      <c r="Y37" s="3" t="str" cm="1">
        <f t="array" ref="Y37">_xlfn.SWITCH(D37,"Regular","Level 1","Premium","Level 2","VIP","Level 3")</f>
        <v>Level 3</v>
      </c>
      <c r="Z37" s="14" t="str" cm="1">
        <f t="array" ref="Z37">_xlfn.SWITCH(U37,"Express","EXP","Fast","STD","Normal","NOR","Delayed","DLY")</f>
        <v>NOR</v>
      </c>
    </row>
    <row r="38" spans="1:26" x14ac:dyDescent="0.3">
      <c r="A38" s="3" t="s">
        <v>124</v>
      </c>
      <c r="B38" s="3" t="s">
        <v>125</v>
      </c>
      <c r="C38" s="3" t="s">
        <v>77</v>
      </c>
      <c r="D38" s="3" t="s">
        <v>23</v>
      </c>
      <c r="E38" s="3" t="s">
        <v>48</v>
      </c>
      <c r="F38" s="3" t="s">
        <v>25</v>
      </c>
      <c r="G38" s="3" t="s">
        <v>26</v>
      </c>
      <c r="H38" s="3" t="s">
        <v>27</v>
      </c>
      <c r="I38" s="3">
        <v>7</v>
      </c>
      <c r="J38" s="3">
        <v>45000</v>
      </c>
      <c r="K38" s="3">
        <v>5</v>
      </c>
      <c r="L38" s="3">
        <v>299250</v>
      </c>
      <c r="M38" s="3">
        <v>-3977.36</v>
      </c>
      <c r="N38" s="3">
        <v>60</v>
      </c>
      <c r="O38" s="3">
        <v>8</v>
      </c>
      <c r="P38" s="3" t="s">
        <v>59</v>
      </c>
      <c r="Q38" s="3" t="s">
        <v>37</v>
      </c>
      <c r="R38" s="3">
        <v>1</v>
      </c>
      <c r="S38" s="3">
        <v>86849</v>
      </c>
      <c r="T38" s="3">
        <v>335366.17</v>
      </c>
      <c r="U38" s="17" t="str" cm="1">
        <f t="array" ref="U38">_xlfn.IFS(O38&lt;=2,"Express",O38&lt;=5,"Fast",O38&lt;=7,"Normal",O38&gt;7,"Delayed")</f>
        <v>Delayed</v>
      </c>
      <c r="V38" s="3" t="str" cm="1">
        <f t="array" ref="V38">_xlfn.SWITCH(P38,"Cash","C","Card","CR","UPI","U","Net Banking","NB")</f>
        <v>NB</v>
      </c>
      <c r="W38" s="3" t="str" cm="1">
        <f t="array" ref="W38">_xlfn.SWITCH(E38,"East","Rahul","West","Amit","North","Priya","South","Karan")</f>
        <v>Priya</v>
      </c>
      <c r="X38" s="3" t="str" cm="1">
        <f t="array" ref="X38">_xlfn.SWITCH(H38,"Electronics","Tech","Furniture","Home","Office Supplies","Office")</f>
        <v>Tech</v>
      </c>
      <c r="Y38" s="3" t="str" cm="1">
        <f t="array" ref="Y38">_xlfn.SWITCH(D38,"Regular","Level 1","Premium","Level 2","VIP","Level 3")</f>
        <v>Level 3</v>
      </c>
      <c r="Z38" s="14" t="str" cm="1">
        <f t="array" ref="Z38">_xlfn.SWITCH(U38,"Express","EXP","Fast","STD","Normal","NOR","Delayed","DLY")</f>
        <v>DLY</v>
      </c>
    </row>
    <row r="39" spans="1:26" x14ac:dyDescent="0.3">
      <c r="A39" s="3" t="s">
        <v>126</v>
      </c>
      <c r="B39" s="3" t="s">
        <v>61</v>
      </c>
      <c r="C39" s="3" t="s">
        <v>77</v>
      </c>
      <c r="D39" s="3" t="s">
        <v>33</v>
      </c>
      <c r="E39" s="3" t="s">
        <v>48</v>
      </c>
      <c r="F39" s="3" t="s">
        <v>70</v>
      </c>
      <c r="G39" s="3" t="s">
        <v>80</v>
      </c>
      <c r="H39" s="3" t="s">
        <v>36</v>
      </c>
      <c r="I39" s="3">
        <v>4</v>
      </c>
      <c r="J39" s="3">
        <v>15000</v>
      </c>
      <c r="K39" s="3">
        <v>20</v>
      </c>
      <c r="L39" s="3">
        <v>48000</v>
      </c>
      <c r="M39" s="3">
        <v>8450.57</v>
      </c>
      <c r="N39" s="3">
        <v>11</v>
      </c>
      <c r="O39" s="3">
        <v>1</v>
      </c>
      <c r="P39" s="3" t="s">
        <v>28</v>
      </c>
      <c r="Q39" s="3" t="s">
        <v>29</v>
      </c>
      <c r="R39" s="3">
        <v>5</v>
      </c>
      <c r="S39" s="3">
        <v>65265</v>
      </c>
      <c r="T39" s="3">
        <v>51474.15</v>
      </c>
      <c r="U39" s="17" t="str" cm="1">
        <f t="array" ref="U39">_xlfn.IFS(O39&lt;=2,"Express",O39&lt;=5,"Fast",O39&lt;=7,"Normal",O39&gt;7,"Delayed")</f>
        <v>Express</v>
      </c>
      <c r="V39" s="3" t="str" cm="1">
        <f t="array" ref="V39">_xlfn.SWITCH(P39,"Cash","C","Card","CR","UPI","U","Net Banking","NB")</f>
        <v>C</v>
      </c>
      <c r="W39" s="3" t="str" cm="1">
        <f t="array" ref="W39">_xlfn.SWITCH(E39,"East","Rahul","West","Amit","North","Priya","South","Karan")</f>
        <v>Priya</v>
      </c>
      <c r="X39" s="3" t="str" cm="1">
        <f t="array" ref="X39">_xlfn.SWITCH(H39,"Electronics","Tech","Furniture","Home","Office Supplies","Office")</f>
        <v>Home</v>
      </c>
      <c r="Y39" s="3" t="str" cm="1">
        <f t="array" ref="Y39">_xlfn.SWITCH(D39,"Regular","Level 1","Premium","Level 2","VIP","Level 3")</f>
        <v>Level 1</v>
      </c>
      <c r="Z39" s="14" t="str" cm="1">
        <f t="array" ref="Z39">_xlfn.SWITCH(U39,"Express","EXP","Fast","STD","Normal","NOR","Delayed","DLY")</f>
        <v>EXP</v>
      </c>
    </row>
    <row r="40" spans="1:26" x14ac:dyDescent="0.3">
      <c r="A40" s="3" t="s">
        <v>127</v>
      </c>
      <c r="B40" s="3" t="s">
        <v>128</v>
      </c>
      <c r="C40" s="3" t="s">
        <v>79</v>
      </c>
      <c r="D40" s="3" t="s">
        <v>23</v>
      </c>
      <c r="E40" s="3" t="s">
        <v>41</v>
      </c>
      <c r="F40" s="3" t="s">
        <v>25</v>
      </c>
      <c r="G40" s="3" t="s">
        <v>26</v>
      </c>
      <c r="H40" s="3" t="s">
        <v>27</v>
      </c>
      <c r="I40" s="3">
        <v>1</v>
      </c>
      <c r="J40" s="3">
        <v>8000</v>
      </c>
      <c r="K40" s="3">
        <v>10</v>
      </c>
      <c r="L40" s="3">
        <v>7200</v>
      </c>
      <c r="M40" s="3">
        <v>1538.42</v>
      </c>
      <c r="N40" s="3">
        <v>87</v>
      </c>
      <c r="O40" s="3">
        <v>10</v>
      </c>
      <c r="P40" s="3" t="s">
        <v>59</v>
      </c>
      <c r="Q40" s="3" t="s">
        <v>29</v>
      </c>
      <c r="R40" s="3">
        <v>2</v>
      </c>
      <c r="S40" s="3">
        <v>50957</v>
      </c>
      <c r="T40" s="3">
        <v>7027.61</v>
      </c>
      <c r="U40" s="17" t="str" cm="1">
        <f t="array" ref="U40">_xlfn.IFS(O40&lt;=2,"Express",O40&lt;=5,"Fast",O40&lt;=7,"Normal",O40&gt;7,"Delayed")</f>
        <v>Delayed</v>
      </c>
      <c r="V40" s="3" t="str" cm="1">
        <f t="array" ref="V40">_xlfn.SWITCH(P40,"Cash","C","Card","CR","UPI","U","Net Banking","NB")</f>
        <v>NB</v>
      </c>
      <c r="W40" s="3" t="str" cm="1">
        <f t="array" ref="W40">_xlfn.SWITCH(E40,"East","Rahul","West","Amit","North","Priya","South","Karan")</f>
        <v>Karan</v>
      </c>
      <c r="X40" s="3" t="str" cm="1">
        <f t="array" ref="X40">_xlfn.SWITCH(H40,"Electronics","Tech","Furniture","Home","Office Supplies","Office")</f>
        <v>Tech</v>
      </c>
      <c r="Y40" s="3" t="str" cm="1">
        <f t="array" ref="Y40">_xlfn.SWITCH(D40,"Regular","Level 1","Premium","Level 2","VIP","Level 3")</f>
        <v>Level 3</v>
      </c>
      <c r="Z40" s="14" t="str" cm="1">
        <f t="array" ref="Z40">_xlfn.SWITCH(U40,"Express","EXP","Fast","STD","Normal","NOR","Delayed","DLY")</f>
        <v>DLY</v>
      </c>
    </row>
    <row r="41" spans="1:26" x14ac:dyDescent="0.3">
      <c r="A41" s="3" t="s">
        <v>129</v>
      </c>
      <c r="B41" s="3" t="s">
        <v>130</v>
      </c>
      <c r="C41" s="3" t="s">
        <v>40</v>
      </c>
      <c r="D41" s="3" t="s">
        <v>47</v>
      </c>
      <c r="E41" s="3" t="s">
        <v>48</v>
      </c>
      <c r="F41" s="3" t="s">
        <v>58</v>
      </c>
      <c r="G41" s="3" t="s">
        <v>53</v>
      </c>
      <c r="H41" s="3" t="s">
        <v>43</v>
      </c>
      <c r="I41" s="3">
        <v>6</v>
      </c>
      <c r="J41" s="3">
        <v>3500</v>
      </c>
      <c r="K41" s="3">
        <v>10</v>
      </c>
      <c r="L41" s="3">
        <v>18900</v>
      </c>
      <c r="M41" s="3">
        <v>5426.08</v>
      </c>
      <c r="N41" s="3">
        <v>33</v>
      </c>
      <c r="O41" s="3">
        <v>10</v>
      </c>
      <c r="P41" s="3" t="s">
        <v>44</v>
      </c>
      <c r="Q41" s="3" t="s">
        <v>29</v>
      </c>
      <c r="R41" s="3">
        <v>3</v>
      </c>
      <c r="S41" s="3">
        <v>142260</v>
      </c>
      <c r="T41" s="3">
        <v>18375.349999999999</v>
      </c>
      <c r="U41" s="17" t="str" cm="1">
        <f t="array" ref="U41">_xlfn.IFS(O41&lt;=2,"Express",O41&lt;=5,"Fast",O41&lt;=7,"Normal",O41&gt;7,"Delayed")</f>
        <v>Delayed</v>
      </c>
      <c r="V41" s="3" t="str" cm="1">
        <f t="array" ref="V41">_xlfn.SWITCH(P41,"Cash","C","Card","CR","UPI","U","Net Banking","NB")</f>
        <v>CR</v>
      </c>
      <c r="W41" s="3" t="str" cm="1">
        <f t="array" ref="W41">_xlfn.SWITCH(E41,"East","Rahul","West","Amit","North","Priya","South","Karan")</f>
        <v>Priya</v>
      </c>
      <c r="X41" s="3" t="str" cm="1">
        <f t="array" ref="X41">_xlfn.SWITCH(H41,"Electronics","Tech","Furniture","Home","Office Supplies","Office")</f>
        <v>Office</v>
      </c>
      <c r="Y41" s="3" t="str" cm="1">
        <f t="array" ref="Y41">_xlfn.SWITCH(D41,"Regular","Level 1","Premium","Level 2","VIP","Level 3")</f>
        <v>Level 2</v>
      </c>
      <c r="Z41" s="14" t="str" cm="1">
        <f t="array" ref="Z41">_xlfn.SWITCH(U41,"Express","EXP","Fast","STD","Normal","NOR","Delayed","DLY")</f>
        <v>DLY</v>
      </c>
    </row>
    <row r="42" spans="1:26" x14ac:dyDescent="0.3">
      <c r="A42" s="3" t="s">
        <v>131</v>
      </c>
      <c r="B42" s="3" t="s">
        <v>132</v>
      </c>
      <c r="C42" s="3" t="s">
        <v>85</v>
      </c>
      <c r="D42" s="3" t="s">
        <v>23</v>
      </c>
      <c r="E42" s="3" t="s">
        <v>48</v>
      </c>
      <c r="F42" s="3" t="s">
        <v>70</v>
      </c>
      <c r="G42" s="3" t="s">
        <v>53</v>
      </c>
      <c r="H42" s="3" t="s">
        <v>43</v>
      </c>
      <c r="I42" s="3">
        <v>2</v>
      </c>
      <c r="J42" s="3">
        <v>1200</v>
      </c>
      <c r="K42" s="3">
        <v>0</v>
      </c>
      <c r="L42" s="3">
        <v>2400</v>
      </c>
      <c r="M42" s="3">
        <v>665.11</v>
      </c>
      <c r="N42" s="3">
        <v>96</v>
      </c>
      <c r="O42" s="3">
        <v>5</v>
      </c>
      <c r="P42" s="3" t="s">
        <v>59</v>
      </c>
      <c r="Q42" s="3" t="s">
        <v>37</v>
      </c>
      <c r="R42" s="3">
        <v>5</v>
      </c>
      <c r="S42" s="3">
        <v>87229</v>
      </c>
      <c r="T42" s="3">
        <v>2305.17</v>
      </c>
      <c r="U42" s="17" t="str" cm="1">
        <f t="array" ref="U42">_xlfn.IFS(O42&lt;=2,"Express",O42&lt;=5,"Fast",O42&lt;=7,"Normal",O42&gt;7,"Delayed")</f>
        <v>Fast</v>
      </c>
      <c r="V42" s="3" t="str" cm="1">
        <f t="array" ref="V42">_xlfn.SWITCH(P42,"Cash","C","Card","CR","UPI","U","Net Banking","NB")</f>
        <v>NB</v>
      </c>
      <c r="W42" s="3" t="str" cm="1">
        <f t="array" ref="W42">_xlfn.SWITCH(E42,"East","Rahul","West","Amit","North","Priya","South","Karan")</f>
        <v>Priya</v>
      </c>
      <c r="X42" s="3" t="str" cm="1">
        <f t="array" ref="X42">_xlfn.SWITCH(H42,"Electronics","Tech","Furniture","Home","Office Supplies","Office")</f>
        <v>Office</v>
      </c>
      <c r="Y42" s="3" t="str" cm="1">
        <f t="array" ref="Y42">_xlfn.SWITCH(D42,"Regular","Level 1","Premium","Level 2","VIP","Level 3")</f>
        <v>Level 3</v>
      </c>
      <c r="Z42" s="14" t="str" cm="1">
        <f t="array" ref="Z42">_xlfn.SWITCH(U42,"Express","EXP","Fast","STD","Normal","NOR","Delayed","DLY")</f>
        <v>STD</v>
      </c>
    </row>
    <row r="43" spans="1:26" x14ac:dyDescent="0.3">
      <c r="A43" s="3" t="s">
        <v>133</v>
      </c>
      <c r="B43" s="3" t="s">
        <v>134</v>
      </c>
      <c r="C43" s="3" t="s">
        <v>51</v>
      </c>
      <c r="D43" s="3" t="s">
        <v>23</v>
      </c>
      <c r="E43" s="3" t="s">
        <v>41</v>
      </c>
      <c r="F43" s="3" t="s">
        <v>58</v>
      </c>
      <c r="G43" s="3" t="s">
        <v>66</v>
      </c>
      <c r="H43" s="3" t="s">
        <v>27</v>
      </c>
      <c r="I43" s="3">
        <v>6</v>
      </c>
      <c r="J43" s="3">
        <v>8000</v>
      </c>
      <c r="K43" s="3">
        <v>20</v>
      </c>
      <c r="L43" s="3">
        <v>38400</v>
      </c>
      <c r="M43" s="3">
        <v>9753.4500000000007</v>
      </c>
      <c r="N43" s="3">
        <v>39</v>
      </c>
      <c r="O43" s="3">
        <v>10</v>
      </c>
      <c r="P43" s="3" t="s">
        <v>44</v>
      </c>
      <c r="Q43" s="3" t="s">
        <v>37</v>
      </c>
      <c r="R43" s="3">
        <v>5</v>
      </c>
      <c r="S43" s="3">
        <v>118560</v>
      </c>
      <c r="T43" s="3">
        <v>44269.48</v>
      </c>
      <c r="U43" s="17" t="str" cm="1">
        <f t="array" ref="U43">_xlfn.IFS(O43&lt;=2,"Express",O43&lt;=5,"Fast",O43&lt;=7,"Normal",O43&gt;7,"Delayed")</f>
        <v>Delayed</v>
      </c>
      <c r="V43" s="3" t="str" cm="1">
        <f t="array" ref="V43">_xlfn.SWITCH(P43,"Cash","C","Card","CR","UPI","U","Net Banking","NB")</f>
        <v>CR</v>
      </c>
      <c r="W43" s="3" t="str" cm="1">
        <f t="array" ref="W43">_xlfn.SWITCH(E43,"East","Rahul","West","Amit","North","Priya","South","Karan")</f>
        <v>Karan</v>
      </c>
      <c r="X43" s="3" t="str" cm="1">
        <f t="array" ref="X43">_xlfn.SWITCH(H43,"Electronics","Tech","Furniture","Home","Office Supplies","Office")</f>
        <v>Tech</v>
      </c>
      <c r="Y43" s="3" t="str" cm="1">
        <f t="array" ref="Y43">_xlfn.SWITCH(D43,"Regular","Level 1","Premium","Level 2","VIP","Level 3")</f>
        <v>Level 3</v>
      </c>
      <c r="Z43" s="14" t="str" cm="1">
        <f t="array" ref="Z43">_xlfn.SWITCH(U43,"Express","EXP","Fast","STD","Normal","NOR","Delayed","DLY")</f>
        <v>DLY</v>
      </c>
    </row>
    <row r="44" spans="1:26" x14ac:dyDescent="0.3">
      <c r="A44" s="3" t="s">
        <v>135</v>
      </c>
      <c r="B44" s="3" t="s">
        <v>31</v>
      </c>
      <c r="C44" s="3" t="s">
        <v>136</v>
      </c>
      <c r="D44" s="3" t="s">
        <v>23</v>
      </c>
      <c r="E44" s="3" t="s">
        <v>24</v>
      </c>
      <c r="F44" s="3" t="s">
        <v>25</v>
      </c>
      <c r="G44" s="3" t="s">
        <v>42</v>
      </c>
      <c r="H44" s="3" t="s">
        <v>43</v>
      </c>
      <c r="I44" s="3">
        <v>2</v>
      </c>
      <c r="J44" s="3">
        <v>1200</v>
      </c>
      <c r="K44" s="3">
        <v>10</v>
      </c>
      <c r="L44" s="3">
        <v>2160</v>
      </c>
      <c r="M44" s="3">
        <v>292.62</v>
      </c>
      <c r="N44" s="3">
        <v>15</v>
      </c>
      <c r="O44" s="3">
        <v>7</v>
      </c>
      <c r="P44" s="3" t="s">
        <v>44</v>
      </c>
      <c r="Q44" s="3" t="s">
        <v>29</v>
      </c>
      <c r="R44" s="3">
        <v>3</v>
      </c>
      <c r="S44" s="3">
        <v>87612</v>
      </c>
      <c r="T44" s="3">
        <v>2207.94</v>
      </c>
      <c r="U44" s="17" t="str" cm="1">
        <f t="array" ref="U44">_xlfn.IFS(O44&lt;=2,"Express",O44&lt;=5,"Fast",O44&lt;=7,"Normal",O44&gt;7,"Delayed")</f>
        <v>Normal</v>
      </c>
      <c r="V44" s="3" t="str" cm="1">
        <f t="array" ref="V44">_xlfn.SWITCH(P44,"Cash","C","Card","CR","UPI","U","Net Banking","NB")</f>
        <v>CR</v>
      </c>
      <c r="W44" s="3" t="str" cm="1">
        <f t="array" ref="W44">_xlfn.SWITCH(E44,"East","Rahul","West","Amit","North","Priya","South","Karan")</f>
        <v>Amit</v>
      </c>
      <c r="X44" s="3" t="str" cm="1">
        <f t="array" ref="X44">_xlfn.SWITCH(H44,"Electronics","Tech","Furniture","Home","Office Supplies","Office")</f>
        <v>Office</v>
      </c>
      <c r="Y44" s="3" t="str" cm="1">
        <f t="array" ref="Y44">_xlfn.SWITCH(D44,"Regular","Level 1","Premium","Level 2","VIP","Level 3")</f>
        <v>Level 3</v>
      </c>
      <c r="Z44" s="14" t="str" cm="1">
        <f t="array" ref="Z44">_xlfn.SWITCH(U44,"Express","EXP","Fast","STD","Normal","NOR","Delayed","DLY")</f>
        <v>NOR</v>
      </c>
    </row>
    <row r="45" spans="1:26" x14ac:dyDescent="0.3">
      <c r="A45" s="3" t="s">
        <v>137</v>
      </c>
      <c r="B45" s="3" t="s">
        <v>138</v>
      </c>
      <c r="C45" s="3" t="s">
        <v>77</v>
      </c>
      <c r="D45" s="3" t="s">
        <v>33</v>
      </c>
      <c r="E45" s="3" t="s">
        <v>41</v>
      </c>
      <c r="F45" s="3" t="s">
        <v>70</v>
      </c>
      <c r="G45" s="3" t="s">
        <v>66</v>
      </c>
      <c r="H45" s="3" t="s">
        <v>27</v>
      </c>
      <c r="I45" s="3">
        <v>7</v>
      </c>
      <c r="J45" s="3">
        <v>15000</v>
      </c>
      <c r="K45" s="3">
        <v>0</v>
      </c>
      <c r="L45" s="3">
        <v>105000</v>
      </c>
      <c r="M45" s="3">
        <v>555.34</v>
      </c>
      <c r="N45" s="3">
        <v>44</v>
      </c>
      <c r="O45" s="3">
        <v>5</v>
      </c>
      <c r="P45" s="3" t="s">
        <v>67</v>
      </c>
      <c r="Q45" s="3" t="s">
        <v>37</v>
      </c>
      <c r="R45" s="3">
        <v>2</v>
      </c>
      <c r="S45" s="3">
        <v>65464</v>
      </c>
      <c r="T45" s="3">
        <v>125208.66</v>
      </c>
      <c r="U45" s="17" t="str" cm="1">
        <f t="array" ref="U45">_xlfn.IFS(O45&lt;=2,"Express",O45&lt;=5,"Fast",O45&lt;=7,"Normal",O45&gt;7,"Delayed")</f>
        <v>Fast</v>
      </c>
      <c r="V45" s="3" t="str" cm="1">
        <f t="array" ref="V45">_xlfn.SWITCH(P45,"Cash","C","Card","CR","UPI","U","Net Banking","NB")</f>
        <v>U</v>
      </c>
      <c r="W45" s="3" t="str" cm="1">
        <f t="array" ref="W45">_xlfn.SWITCH(E45,"East","Rahul","West","Amit","North","Priya","South","Karan")</f>
        <v>Karan</v>
      </c>
      <c r="X45" s="3" t="str" cm="1">
        <f t="array" ref="X45">_xlfn.SWITCH(H45,"Electronics","Tech","Furniture","Home","Office Supplies","Office")</f>
        <v>Tech</v>
      </c>
      <c r="Y45" s="3" t="str" cm="1">
        <f t="array" ref="Y45">_xlfn.SWITCH(D45,"Regular","Level 1","Premium","Level 2","VIP","Level 3")</f>
        <v>Level 1</v>
      </c>
      <c r="Z45" s="14" t="str" cm="1">
        <f t="array" ref="Z45">_xlfn.SWITCH(U45,"Express","EXP","Fast","STD","Normal","NOR","Delayed","DLY")</f>
        <v>STD</v>
      </c>
    </row>
    <row r="46" spans="1:26" x14ac:dyDescent="0.3">
      <c r="A46" s="3" t="s">
        <v>139</v>
      </c>
      <c r="B46" s="3" t="s">
        <v>140</v>
      </c>
      <c r="C46" s="3" t="s">
        <v>85</v>
      </c>
      <c r="D46" s="3" t="s">
        <v>23</v>
      </c>
      <c r="E46" s="3" t="s">
        <v>48</v>
      </c>
      <c r="F46" s="3" t="s">
        <v>34</v>
      </c>
      <c r="G46" s="3" t="s">
        <v>80</v>
      </c>
      <c r="H46" s="3" t="s">
        <v>36</v>
      </c>
      <c r="I46" s="3">
        <v>7</v>
      </c>
      <c r="J46" s="3">
        <v>15000</v>
      </c>
      <c r="K46" s="3">
        <v>0</v>
      </c>
      <c r="L46" s="3">
        <v>105000</v>
      </c>
      <c r="M46" s="3">
        <v>22751.02</v>
      </c>
      <c r="N46" s="3">
        <v>15</v>
      </c>
      <c r="O46" s="3">
        <v>6</v>
      </c>
      <c r="P46" s="3" t="s">
        <v>67</v>
      </c>
      <c r="Q46" s="3" t="s">
        <v>29</v>
      </c>
      <c r="R46" s="3">
        <v>3</v>
      </c>
      <c r="S46" s="3">
        <v>91921</v>
      </c>
      <c r="T46" s="3">
        <v>90401.41</v>
      </c>
      <c r="U46" s="17" t="str" cm="1">
        <f t="array" ref="U46">_xlfn.IFS(O46&lt;=2,"Express",O46&lt;=5,"Fast",O46&lt;=7,"Normal",O46&gt;7,"Delayed")</f>
        <v>Normal</v>
      </c>
      <c r="V46" s="3" t="str" cm="1">
        <f t="array" ref="V46">_xlfn.SWITCH(P46,"Cash","C","Card","CR","UPI","U","Net Banking","NB")</f>
        <v>U</v>
      </c>
      <c r="W46" s="3" t="str" cm="1">
        <f t="array" ref="W46">_xlfn.SWITCH(E46,"East","Rahul","West","Amit","North","Priya","South","Karan")</f>
        <v>Priya</v>
      </c>
      <c r="X46" s="3" t="str" cm="1">
        <f t="array" ref="X46">_xlfn.SWITCH(H46,"Electronics","Tech","Furniture","Home","Office Supplies","Office")</f>
        <v>Home</v>
      </c>
      <c r="Y46" s="3" t="str" cm="1">
        <f t="array" ref="Y46">_xlfn.SWITCH(D46,"Regular","Level 1","Premium","Level 2","VIP","Level 3")</f>
        <v>Level 3</v>
      </c>
      <c r="Z46" s="14" t="str" cm="1">
        <f t="array" ref="Z46">_xlfn.SWITCH(U46,"Express","EXP","Fast","STD","Normal","NOR","Delayed","DLY")</f>
        <v>NOR</v>
      </c>
    </row>
    <row r="47" spans="1:26" x14ac:dyDescent="0.3">
      <c r="A47" s="3" t="s">
        <v>141</v>
      </c>
      <c r="B47" s="3" t="s">
        <v>142</v>
      </c>
      <c r="C47" s="3" t="s">
        <v>51</v>
      </c>
      <c r="D47" s="3" t="s">
        <v>47</v>
      </c>
      <c r="E47" s="3" t="s">
        <v>57</v>
      </c>
      <c r="F47" s="3" t="s">
        <v>25</v>
      </c>
      <c r="G47" s="3" t="s">
        <v>26</v>
      </c>
      <c r="H47" s="3" t="s">
        <v>27</v>
      </c>
      <c r="I47" s="3">
        <v>3</v>
      </c>
      <c r="J47" s="3">
        <v>3500</v>
      </c>
      <c r="K47" s="3">
        <v>20</v>
      </c>
      <c r="L47" s="3">
        <v>8400</v>
      </c>
      <c r="M47" s="3">
        <v>1425.68</v>
      </c>
      <c r="N47" s="3">
        <v>58</v>
      </c>
      <c r="O47" s="3">
        <v>1</v>
      </c>
      <c r="P47" s="3" t="s">
        <v>28</v>
      </c>
      <c r="Q47" s="3" t="s">
        <v>37</v>
      </c>
      <c r="R47" s="3">
        <v>1</v>
      </c>
      <c r="S47" s="3">
        <v>27751</v>
      </c>
      <c r="T47" s="3">
        <v>8568.7900000000009</v>
      </c>
      <c r="U47" s="17" t="str" cm="1">
        <f t="array" ref="U47">_xlfn.IFS(O47&lt;=2,"Express",O47&lt;=5,"Fast",O47&lt;=7,"Normal",O47&gt;7,"Delayed")</f>
        <v>Express</v>
      </c>
      <c r="V47" s="3" t="str" cm="1">
        <f t="array" ref="V47">_xlfn.SWITCH(P47,"Cash","C","Card","CR","UPI","U","Net Banking","NB")</f>
        <v>C</v>
      </c>
      <c r="W47" s="3" t="str" cm="1">
        <f t="array" ref="W47">_xlfn.SWITCH(E47,"East","Rahul","West","Amit","North","Priya","South","Karan")</f>
        <v>Rahul</v>
      </c>
      <c r="X47" s="3" t="str" cm="1">
        <f t="array" ref="X47">_xlfn.SWITCH(H47,"Electronics","Tech","Furniture","Home","Office Supplies","Office")</f>
        <v>Tech</v>
      </c>
      <c r="Y47" s="3" t="str" cm="1">
        <f t="array" ref="Y47">_xlfn.SWITCH(D47,"Regular","Level 1","Premium","Level 2","VIP","Level 3")</f>
        <v>Level 2</v>
      </c>
      <c r="Z47" s="14" t="str" cm="1">
        <f t="array" ref="Z47">_xlfn.SWITCH(U47,"Express","EXP","Fast","STD","Normal","NOR","Delayed","DLY")</f>
        <v>EXP</v>
      </c>
    </row>
    <row r="48" spans="1:26" x14ac:dyDescent="0.3">
      <c r="A48" s="3" t="s">
        <v>143</v>
      </c>
      <c r="B48" s="3" t="s">
        <v>69</v>
      </c>
      <c r="C48" s="3" t="s">
        <v>136</v>
      </c>
      <c r="D48" s="3" t="s">
        <v>23</v>
      </c>
      <c r="E48" s="3" t="s">
        <v>48</v>
      </c>
      <c r="F48" s="3" t="s">
        <v>34</v>
      </c>
      <c r="G48" s="3" t="s">
        <v>35</v>
      </c>
      <c r="H48" s="3" t="s">
        <v>36</v>
      </c>
      <c r="I48" s="3">
        <v>1</v>
      </c>
      <c r="J48" s="3">
        <v>65000</v>
      </c>
      <c r="K48" s="3">
        <v>0</v>
      </c>
      <c r="L48" s="3">
        <v>65000</v>
      </c>
      <c r="M48" s="3">
        <v>1504.22</v>
      </c>
      <c r="N48" s="3">
        <v>61</v>
      </c>
      <c r="O48" s="3">
        <v>10</v>
      </c>
      <c r="P48" s="3" t="s">
        <v>28</v>
      </c>
      <c r="Q48" s="3" t="s">
        <v>29</v>
      </c>
      <c r="R48" s="3">
        <v>2</v>
      </c>
      <c r="S48" s="3">
        <v>12113</v>
      </c>
      <c r="T48" s="3">
        <v>68285.53</v>
      </c>
      <c r="U48" s="17" t="str" cm="1">
        <f t="array" ref="U48">_xlfn.IFS(O48&lt;=2,"Express",O48&lt;=5,"Fast",O48&lt;=7,"Normal",O48&gt;7,"Delayed")</f>
        <v>Delayed</v>
      </c>
      <c r="V48" s="3" t="str" cm="1">
        <f t="array" ref="V48">_xlfn.SWITCH(P48,"Cash","C","Card","CR","UPI","U","Net Banking","NB")</f>
        <v>C</v>
      </c>
      <c r="W48" s="3" t="str" cm="1">
        <f t="array" ref="W48">_xlfn.SWITCH(E48,"East","Rahul","West","Amit","North","Priya","South","Karan")</f>
        <v>Priya</v>
      </c>
      <c r="X48" s="3" t="str" cm="1">
        <f t="array" ref="X48">_xlfn.SWITCH(H48,"Electronics","Tech","Furniture","Home","Office Supplies","Office")</f>
        <v>Home</v>
      </c>
      <c r="Y48" s="3" t="str" cm="1">
        <f t="array" ref="Y48">_xlfn.SWITCH(D48,"Regular","Level 1","Premium","Level 2","VIP","Level 3")</f>
        <v>Level 3</v>
      </c>
      <c r="Z48" s="14" t="str" cm="1">
        <f t="array" ref="Z48">_xlfn.SWITCH(U48,"Express","EXP","Fast","STD","Normal","NOR","Delayed","DLY")</f>
        <v>DLY</v>
      </c>
    </row>
    <row r="49" spans="1:26" x14ac:dyDescent="0.3">
      <c r="A49" s="3" t="s">
        <v>144</v>
      </c>
      <c r="B49" s="3" t="s">
        <v>145</v>
      </c>
      <c r="C49" s="3" t="s">
        <v>22</v>
      </c>
      <c r="D49" s="3" t="s">
        <v>33</v>
      </c>
      <c r="E49" s="3" t="s">
        <v>48</v>
      </c>
      <c r="F49" s="3" t="s">
        <v>70</v>
      </c>
      <c r="G49" s="3" t="s">
        <v>53</v>
      </c>
      <c r="H49" s="3" t="s">
        <v>43</v>
      </c>
      <c r="I49" s="3">
        <v>6</v>
      </c>
      <c r="J49" s="3">
        <v>8000</v>
      </c>
      <c r="K49" s="3">
        <v>15</v>
      </c>
      <c r="L49" s="3">
        <v>40800</v>
      </c>
      <c r="M49" s="3">
        <v>-504.62</v>
      </c>
      <c r="N49" s="3">
        <v>70</v>
      </c>
      <c r="O49" s="3">
        <v>10</v>
      </c>
      <c r="P49" s="3" t="s">
        <v>59</v>
      </c>
      <c r="Q49" s="3" t="s">
        <v>29</v>
      </c>
      <c r="R49" s="3">
        <v>2</v>
      </c>
      <c r="S49" s="3">
        <v>52926</v>
      </c>
      <c r="T49" s="3">
        <v>34881.1</v>
      </c>
      <c r="U49" s="17" t="str" cm="1">
        <f t="array" ref="U49">_xlfn.IFS(O49&lt;=2,"Express",O49&lt;=5,"Fast",O49&lt;=7,"Normal",O49&gt;7,"Delayed")</f>
        <v>Delayed</v>
      </c>
      <c r="V49" s="3" t="str" cm="1">
        <f t="array" ref="V49">_xlfn.SWITCH(P49,"Cash","C","Card","CR","UPI","U","Net Banking","NB")</f>
        <v>NB</v>
      </c>
      <c r="W49" s="3" t="str" cm="1">
        <f t="array" ref="W49">_xlfn.SWITCH(E49,"East","Rahul","West","Amit","North","Priya","South","Karan")</f>
        <v>Priya</v>
      </c>
      <c r="X49" s="3" t="str" cm="1">
        <f t="array" ref="X49">_xlfn.SWITCH(H49,"Electronics","Tech","Furniture","Home","Office Supplies","Office")</f>
        <v>Office</v>
      </c>
      <c r="Y49" s="3" t="str" cm="1">
        <f t="array" ref="Y49">_xlfn.SWITCH(D49,"Regular","Level 1","Premium","Level 2","VIP","Level 3")</f>
        <v>Level 1</v>
      </c>
      <c r="Z49" s="14" t="str" cm="1">
        <f t="array" ref="Z49">_xlfn.SWITCH(U49,"Express","EXP","Fast","STD","Normal","NOR","Delayed","DLY")</f>
        <v>DLY</v>
      </c>
    </row>
    <row r="50" spans="1:26" x14ac:dyDescent="0.3">
      <c r="A50" s="3" t="s">
        <v>146</v>
      </c>
      <c r="B50" s="3" t="s">
        <v>147</v>
      </c>
      <c r="C50" s="3" t="s">
        <v>51</v>
      </c>
      <c r="D50" s="3" t="s">
        <v>23</v>
      </c>
      <c r="E50" s="3" t="s">
        <v>24</v>
      </c>
      <c r="F50" s="3" t="s">
        <v>34</v>
      </c>
      <c r="G50" s="3" t="s">
        <v>66</v>
      </c>
      <c r="H50" s="3" t="s">
        <v>27</v>
      </c>
      <c r="I50" s="3">
        <v>5</v>
      </c>
      <c r="J50" s="3">
        <v>500</v>
      </c>
      <c r="K50" s="3">
        <v>0</v>
      </c>
      <c r="L50" s="3">
        <v>2500</v>
      </c>
      <c r="M50" s="3">
        <v>428.84</v>
      </c>
      <c r="N50" s="3">
        <v>39</v>
      </c>
      <c r="O50" s="3">
        <v>4</v>
      </c>
      <c r="P50" s="3" t="s">
        <v>28</v>
      </c>
      <c r="Q50" s="3" t="s">
        <v>29</v>
      </c>
      <c r="R50" s="3">
        <v>4</v>
      </c>
      <c r="S50" s="3">
        <v>66587</v>
      </c>
      <c r="T50" s="3">
        <v>2753.49</v>
      </c>
      <c r="U50" s="17" t="str" cm="1">
        <f t="array" ref="U50">_xlfn.IFS(O50&lt;=2,"Express",O50&lt;=5,"Fast",O50&lt;=7,"Normal",O50&gt;7,"Delayed")</f>
        <v>Fast</v>
      </c>
      <c r="V50" s="3" t="str" cm="1">
        <f t="array" ref="V50">_xlfn.SWITCH(P50,"Cash","C","Card","CR","UPI","U","Net Banking","NB")</f>
        <v>C</v>
      </c>
      <c r="W50" s="3" t="str" cm="1">
        <f t="array" ref="W50">_xlfn.SWITCH(E50,"East","Rahul","West","Amit","North","Priya","South","Karan")</f>
        <v>Amit</v>
      </c>
      <c r="X50" s="3" t="str" cm="1">
        <f t="array" ref="X50">_xlfn.SWITCH(H50,"Electronics","Tech","Furniture","Home","Office Supplies","Office")</f>
        <v>Tech</v>
      </c>
      <c r="Y50" s="3" t="str" cm="1">
        <f t="array" ref="Y50">_xlfn.SWITCH(D50,"Regular","Level 1","Premium","Level 2","VIP","Level 3")</f>
        <v>Level 3</v>
      </c>
      <c r="Z50" s="14" t="str" cm="1">
        <f t="array" ref="Z50">_xlfn.SWITCH(U50,"Express","EXP","Fast","STD","Normal","NOR","Delayed","DLY")</f>
        <v>STD</v>
      </c>
    </row>
    <row r="51" spans="1:26" x14ac:dyDescent="0.3">
      <c r="A51" s="3" t="s">
        <v>148</v>
      </c>
      <c r="B51" s="3" t="s">
        <v>31</v>
      </c>
      <c r="C51" s="3" t="s">
        <v>32</v>
      </c>
      <c r="D51" s="3" t="s">
        <v>47</v>
      </c>
      <c r="E51" s="3" t="s">
        <v>57</v>
      </c>
      <c r="F51" s="3" t="s">
        <v>52</v>
      </c>
      <c r="G51" s="3" t="s">
        <v>42</v>
      </c>
      <c r="H51" s="3" t="s">
        <v>43</v>
      </c>
      <c r="I51" s="3">
        <v>5</v>
      </c>
      <c r="J51" s="3">
        <v>65000</v>
      </c>
      <c r="K51" s="3">
        <v>5</v>
      </c>
      <c r="L51" s="3">
        <v>308750</v>
      </c>
      <c r="M51" s="3">
        <v>8887.48</v>
      </c>
      <c r="N51" s="3">
        <v>62</v>
      </c>
      <c r="O51" s="3">
        <v>4</v>
      </c>
      <c r="P51" s="3" t="s">
        <v>44</v>
      </c>
      <c r="Q51" s="3" t="s">
        <v>37</v>
      </c>
      <c r="R51" s="3">
        <v>1</v>
      </c>
      <c r="S51" s="3">
        <v>147908</v>
      </c>
      <c r="T51" s="3">
        <v>359698.57</v>
      </c>
      <c r="U51" s="19" t="str" cm="1">
        <f t="array" ref="U51">_xlfn.IFS(O51&lt;=2,"Express",O51&lt;=5,"Fast",O51&lt;=7,"Normal",O51&gt;7,"Delayed")</f>
        <v>Fast</v>
      </c>
      <c r="V51" s="16" t="str" cm="1">
        <f t="array" ref="V51">_xlfn.SWITCH(P51,"Cash","C","Card","CR","UPI","U","Net Banking","NB")</f>
        <v>CR</v>
      </c>
      <c r="W51" s="16" t="str" cm="1">
        <f t="array" ref="W51">_xlfn.SWITCH(E51,"East","Rahul","West","Amit","North","Priya","South","Karan")</f>
        <v>Rahul</v>
      </c>
      <c r="X51" s="16" t="str" cm="1">
        <f t="array" ref="X51">_xlfn.SWITCH(H51,"Electronics","Tech","Furniture","Home","Office Supplies","Office")</f>
        <v>Office</v>
      </c>
      <c r="Y51" s="16" t="str" cm="1">
        <f t="array" ref="Y51">_xlfn.SWITCH(D51,"Regular","Level 1","Premium","Level 2","VIP","Level 3")</f>
        <v>Level 2</v>
      </c>
      <c r="Z51" s="20" t="str" cm="1">
        <f t="array" ref="Z51">_xlfn.SWITCH(U51,"Express","EXP","Fast","STD","Normal","NOR","Delayed","DLY")</f>
        <v>STD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F12C-A239-49D8-A6B7-61903587F0D4}">
  <dimension ref="A1:Z51"/>
  <sheetViews>
    <sheetView topLeftCell="G1" workbookViewId="0">
      <selection activeCell="W27" sqref="W27"/>
    </sheetView>
  </sheetViews>
  <sheetFormatPr defaultRowHeight="14.4" x14ac:dyDescent="0.3"/>
  <cols>
    <col min="1" max="1" width="8.77734375" bestFit="1" customWidth="1"/>
    <col min="2" max="2" width="11" bestFit="1" customWidth="1"/>
    <col min="3" max="3" width="15.5546875" bestFit="1" customWidth="1"/>
    <col min="4" max="4" width="14.5546875" bestFit="1" customWidth="1"/>
    <col min="5" max="5" width="6.88671875" bestFit="1" customWidth="1"/>
    <col min="6" max="6" width="11.33203125" bestFit="1" customWidth="1"/>
    <col min="7" max="7" width="9.5546875" bestFit="1" customWidth="1"/>
    <col min="8" max="8" width="14.109375" bestFit="1" customWidth="1"/>
    <col min="9" max="9" width="8.44140625" bestFit="1" customWidth="1"/>
    <col min="10" max="10" width="10" bestFit="1" customWidth="1"/>
    <col min="11" max="11" width="11" bestFit="1" customWidth="1"/>
    <col min="12" max="12" width="7" bestFit="1" customWidth="1"/>
    <col min="13" max="13" width="10" bestFit="1" customWidth="1"/>
    <col min="14" max="14" width="14.6640625" bestFit="1" customWidth="1"/>
    <col min="15" max="15" width="13.33203125" bestFit="1" customWidth="1"/>
    <col min="16" max="16" width="14.88671875" bestFit="1" customWidth="1"/>
    <col min="17" max="17" width="9" bestFit="1" customWidth="1"/>
    <col min="18" max="18" width="15.77734375" bestFit="1" customWidth="1"/>
    <col min="19" max="19" width="7" bestFit="1" customWidth="1"/>
    <col min="20" max="20" width="11.77734375" bestFit="1" customWidth="1"/>
    <col min="21" max="21" width="14.44140625" customWidth="1"/>
    <col min="22" max="22" width="13.5546875" bestFit="1" customWidth="1"/>
    <col min="23" max="23" width="18.21875" bestFit="1" customWidth="1"/>
    <col min="24" max="24" width="18.77734375" customWidth="1"/>
    <col min="25" max="25" width="20.33203125" customWidth="1"/>
    <col min="26" max="26" width="18.33203125" customWidth="1"/>
  </cols>
  <sheetData>
    <row r="1" spans="1:26" s="4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8" t="s">
        <v>19</v>
      </c>
      <c r="U1" t="s">
        <v>183</v>
      </c>
      <c r="V1" t="s">
        <v>179</v>
      </c>
      <c r="W1" t="s">
        <v>180</v>
      </c>
      <c r="X1" t="s">
        <v>181</v>
      </c>
      <c r="Y1" t="s">
        <v>182</v>
      </c>
      <c r="Z1" t="s">
        <v>184</v>
      </c>
    </row>
    <row r="2" spans="1:26" x14ac:dyDescent="0.3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>
        <v>4</v>
      </c>
      <c r="J2" s="3">
        <v>500</v>
      </c>
      <c r="K2" s="3">
        <v>15</v>
      </c>
      <c r="L2" s="3">
        <v>1700</v>
      </c>
      <c r="M2" s="3">
        <v>51.99</v>
      </c>
      <c r="N2" s="3">
        <v>91</v>
      </c>
      <c r="O2" s="3">
        <v>5</v>
      </c>
      <c r="P2" s="3" t="s">
        <v>28</v>
      </c>
      <c r="Q2" s="3" t="s">
        <v>29</v>
      </c>
      <c r="R2" s="3">
        <v>2</v>
      </c>
      <c r="S2" s="3">
        <v>132243</v>
      </c>
      <c r="T2" s="14">
        <v>2015.5</v>
      </c>
      <c r="U2" s="13">
        <f>L2/S2*100</f>
        <v>1.2855122766422418</v>
      </c>
      <c r="V2" s="3" t="str">
        <f>IF(AND(L2&gt;100000,P2="Cash",Q2="Yes"),"Possible Fraud","Normal")</f>
        <v>Normal</v>
      </c>
      <c r="W2" s="3" t="str" cm="1">
        <f t="array" ref="W2">_xlfn.IFS(
AND(D2="VIP",R2&gt;=4),"VIP Loyalty",
AND(D2="Premium",R2&gt;=4),"Premium Loyalty",
AND(D2="Regular",R2&gt;=4),"Regular Loyalty",
TRUE,"Need Improvement"
)</f>
        <v>Need Improvement</v>
      </c>
      <c r="X2" s="3" t="str">
        <f>IF(OR(N2&lt;5,O2&gt;8,Q2="Yes"),"Alert","Not Alert")</f>
        <v>Not Alert</v>
      </c>
      <c r="Y2" s="3" t="str" cm="1">
        <f t="array" ref="Y2">_xlfn.IFS(
U2&gt;120,"A",
U2&gt;=100,"B",
U2&gt;=80,"C",
TRUE,"D"
)</f>
        <v>D</v>
      </c>
      <c r="Z2" s="14" t="str" cm="1">
        <f t="array" ref="Z2">_xlfn.IFS(
AND(M2&gt;20000,R2&gt;=4),"Green",
M2&gt;10000,"Yellow",
TRUE,"Red"
)</f>
        <v>Red</v>
      </c>
    </row>
    <row r="3" spans="1:26" x14ac:dyDescent="0.3">
      <c r="A3" s="3" t="s">
        <v>30</v>
      </c>
      <c r="B3" s="3" t="s">
        <v>31</v>
      </c>
      <c r="C3" s="3" t="s">
        <v>32</v>
      </c>
      <c r="D3" s="3" t="s">
        <v>33</v>
      </c>
      <c r="E3" s="3" t="s">
        <v>24</v>
      </c>
      <c r="F3" s="3" t="s">
        <v>34</v>
      </c>
      <c r="G3" s="3" t="s">
        <v>35</v>
      </c>
      <c r="H3" s="3" t="s">
        <v>36</v>
      </c>
      <c r="I3" s="3">
        <v>4</v>
      </c>
      <c r="J3" s="3">
        <v>500</v>
      </c>
      <c r="K3" s="3">
        <v>10</v>
      </c>
      <c r="L3" s="3">
        <v>1800</v>
      </c>
      <c r="M3" s="3">
        <v>487.97</v>
      </c>
      <c r="N3" s="3">
        <v>64</v>
      </c>
      <c r="O3" s="3">
        <v>7</v>
      </c>
      <c r="P3" s="3" t="s">
        <v>28</v>
      </c>
      <c r="Q3" s="3" t="s">
        <v>37</v>
      </c>
      <c r="R3" s="3">
        <v>4</v>
      </c>
      <c r="S3" s="3">
        <v>104471</v>
      </c>
      <c r="T3" s="14">
        <v>2019.21</v>
      </c>
      <c r="U3" s="13">
        <f t="shared" ref="U3:U51" si="0">L3/S3*100</f>
        <v>1.7229661820026609</v>
      </c>
      <c r="V3" s="3" t="str">
        <f t="shared" ref="V3:V51" si="1">IF(AND(L3&gt;100000,P3="Cash",Q3="Yes"),"Possible Fraud","Normal")</f>
        <v>Normal</v>
      </c>
      <c r="W3" s="3" t="str" cm="1">
        <f t="array" ref="W3">_xlfn.IFS(
AND(D3="VIP",R3&gt;=4),"VIP Loyalty",
AND(D3="Premium",R3&gt;=4),"Premium Loyalty",
AND(D3="Regular",R3&gt;=4),"Regular Loyalty",
TRUE,"Need Improvement"
)</f>
        <v>Regular Loyalty</v>
      </c>
      <c r="X3" s="3" t="str">
        <f t="shared" ref="X3:X51" si="2">IF(OR(N3&lt;5,O3&gt;8,Q3="Yes"),"Alert","Not Alert")</f>
        <v>Alert</v>
      </c>
      <c r="Y3" s="3" t="str" cm="1">
        <f t="array" ref="Y3">_xlfn.IFS(
U3&gt;120,"A",
U3&gt;=100,"B",
U3&gt;=80,"C",
TRUE,"D"
)</f>
        <v>D</v>
      </c>
      <c r="Z3" s="14" t="str" cm="1">
        <f t="array" ref="Z3">_xlfn.IFS(
AND(M3&gt;20000,R3&gt;=4),"Green",
M3&gt;10000,"Yellow",
TRUE,"Red"
)</f>
        <v>Red</v>
      </c>
    </row>
    <row r="4" spans="1:26" x14ac:dyDescent="0.3">
      <c r="A4" s="3" t="s">
        <v>38</v>
      </c>
      <c r="B4" s="3" t="s">
        <v>39</v>
      </c>
      <c r="C4" s="3" t="s">
        <v>40</v>
      </c>
      <c r="D4" s="3" t="s">
        <v>23</v>
      </c>
      <c r="E4" s="3" t="s">
        <v>41</v>
      </c>
      <c r="F4" s="3" t="s">
        <v>34</v>
      </c>
      <c r="G4" s="3" t="s">
        <v>42</v>
      </c>
      <c r="H4" s="3" t="s">
        <v>43</v>
      </c>
      <c r="I4" s="3">
        <v>10</v>
      </c>
      <c r="J4" s="3">
        <v>1200</v>
      </c>
      <c r="K4" s="3">
        <v>20</v>
      </c>
      <c r="L4" s="3">
        <v>9600</v>
      </c>
      <c r="M4" s="3">
        <v>-169.53</v>
      </c>
      <c r="N4" s="3">
        <v>88</v>
      </c>
      <c r="O4" s="3">
        <v>5</v>
      </c>
      <c r="P4" s="3" t="s">
        <v>44</v>
      </c>
      <c r="Q4" s="3" t="s">
        <v>29</v>
      </c>
      <c r="R4" s="3">
        <v>3</v>
      </c>
      <c r="S4" s="3">
        <v>10899</v>
      </c>
      <c r="T4" s="14">
        <v>7827.1</v>
      </c>
      <c r="U4" s="13">
        <f t="shared" si="0"/>
        <v>88.081475364712361</v>
      </c>
      <c r="V4" s="3" t="str">
        <f t="shared" si="1"/>
        <v>Normal</v>
      </c>
      <c r="W4" s="3" t="str" cm="1">
        <f t="array" ref="W4">_xlfn.IFS(
AND(D4="VIP",R4&gt;=4),"VIP Loyalty",
AND(D4="Premium",R4&gt;=4),"Premium Loyalty",
AND(D4="Regular",R4&gt;=4),"Regular Loyalty",
TRUE,"Need Improvement"
)</f>
        <v>Need Improvement</v>
      </c>
      <c r="X4" s="3" t="str">
        <f t="shared" si="2"/>
        <v>Not Alert</v>
      </c>
      <c r="Y4" s="3" t="str" cm="1">
        <f t="array" ref="Y4">_xlfn.IFS(
U4&gt;120,"A",
U4&gt;=100,"B",
U4&gt;=80,"C",
TRUE,"D"
)</f>
        <v>C</v>
      </c>
      <c r="Z4" s="14" t="str" cm="1">
        <f t="array" ref="Z4">_xlfn.IFS(
AND(M4&gt;20000,R4&gt;=4),"Green",
M4&gt;10000,"Yellow",
TRUE,"Red"
)</f>
        <v>Red</v>
      </c>
    </row>
    <row r="5" spans="1:26" x14ac:dyDescent="0.3">
      <c r="A5" s="3" t="s">
        <v>45</v>
      </c>
      <c r="B5" s="3" t="s">
        <v>46</v>
      </c>
      <c r="C5" s="3" t="s">
        <v>22</v>
      </c>
      <c r="D5" s="3" t="s">
        <v>47</v>
      </c>
      <c r="E5" s="3" t="s">
        <v>48</v>
      </c>
      <c r="F5" s="3" t="s">
        <v>34</v>
      </c>
      <c r="G5" s="3" t="s">
        <v>35</v>
      </c>
      <c r="H5" s="3" t="s">
        <v>36</v>
      </c>
      <c r="I5" s="3">
        <v>1</v>
      </c>
      <c r="J5" s="3">
        <v>45000</v>
      </c>
      <c r="K5" s="3">
        <v>20</v>
      </c>
      <c r="L5" s="3">
        <v>36000</v>
      </c>
      <c r="M5" s="3">
        <v>1792.12</v>
      </c>
      <c r="N5" s="3">
        <v>62</v>
      </c>
      <c r="O5" s="3">
        <v>4</v>
      </c>
      <c r="P5" s="3" t="s">
        <v>28</v>
      </c>
      <c r="Q5" s="3" t="s">
        <v>29</v>
      </c>
      <c r="R5" s="3">
        <v>5</v>
      </c>
      <c r="S5" s="3">
        <v>131058</v>
      </c>
      <c r="T5" s="14">
        <v>41969.91</v>
      </c>
      <c r="U5" s="13">
        <f t="shared" si="0"/>
        <v>27.468754291992859</v>
      </c>
      <c r="V5" s="3" t="str">
        <f t="shared" si="1"/>
        <v>Normal</v>
      </c>
      <c r="W5" s="3" t="str" cm="1">
        <f t="array" ref="W5">_xlfn.IFS(
AND(D5="VIP",R5&gt;=4),"VIP Loyalty",
AND(D5="Premium",R5&gt;=4),"Premium Loyalty",
AND(D5="Regular",R5&gt;=4),"Regular Loyalty",
TRUE,"Need Improvement"
)</f>
        <v>Premium Loyalty</v>
      </c>
      <c r="X5" s="3" t="str">
        <f t="shared" si="2"/>
        <v>Not Alert</v>
      </c>
      <c r="Y5" s="3" t="str" cm="1">
        <f t="array" ref="Y5">_xlfn.IFS(
U5&gt;120,"A",
U5&gt;=100,"B",
U5&gt;=80,"C",
TRUE,"D"
)</f>
        <v>D</v>
      </c>
      <c r="Z5" s="14" t="str" cm="1">
        <f t="array" ref="Z5">_xlfn.IFS(
AND(M5&gt;20000,R5&gt;=4),"Green",
M5&gt;10000,"Yellow",
TRUE,"Red"
)</f>
        <v>Red</v>
      </c>
    </row>
    <row r="6" spans="1:26" x14ac:dyDescent="0.3">
      <c r="A6" s="3" t="s">
        <v>49</v>
      </c>
      <c r="B6" s="3" t="s">
        <v>50</v>
      </c>
      <c r="C6" s="3" t="s">
        <v>51</v>
      </c>
      <c r="D6" s="3" t="s">
        <v>47</v>
      </c>
      <c r="E6" s="3" t="s">
        <v>24</v>
      </c>
      <c r="F6" s="3" t="s">
        <v>52</v>
      </c>
      <c r="G6" s="3" t="s">
        <v>53</v>
      </c>
      <c r="H6" s="3" t="s">
        <v>43</v>
      </c>
      <c r="I6" s="3">
        <v>8</v>
      </c>
      <c r="J6" s="3">
        <v>1200</v>
      </c>
      <c r="K6" s="3">
        <v>5</v>
      </c>
      <c r="L6" s="3">
        <v>9120</v>
      </c>
      <c r="M6" s="3">
        <v>349.33</v>
      </c>
      <c r="N6" s="3">
        <v>69</v>
      </c>
      <c r="O6" s="3">
        <v>1</v>
      </c>
      <c r="P6" s="3" t="s">
        <v>44</v>
      </c>
      <c r="Q6" s="3" t="s">
        <v>29</v>
      </c>
      <c r="R6" s="3">
        <v>2</v>
      </c>
      <c r="S6" s="3">
        <v>119588</v>
      </c>
      <c r="T6" s="14">
        <v>7299.86</v>
      </c>
      <c r="U6" s="13">
        <f t="shared" si="0"/>
        <v>7.6261832290865303</v>
      </c>
      <c r="V6" s="3" t="str">
        <f t="shared" si="1"/>
        <v>Normal</v>
      </c>
      <c r="W6" s="3" t="str" cm="1">
        <f t="array" ref="W6">_xlfn.IFS(
AND(D6="VIP",R6&gt;=4),"VIP Loyalty",
AND(D6="Premium",R6&gt;=4),"Premium Loyalty",
AND(D6="Regular",R6&gt;=4),"Regular Loyalty",
TRUE,"Need Improvement"
)</f>
        <v>Need Improvement</v>
      </c>
      <c r="X6" s="3" t="str">
        <f t="shared" si="2"/>
        <v>Not Alert</v>
      </c>
      <c r="Y6" s="3" t="str" cm="1">
        <f t="array" ref="Y6">_xlfn.IFS(
U6&gt;120,"A",
U6&gt;=100,"B",
U6&gt;=80,"C",
TRUE,"D"
)</f>
        <v>D</v>
      </c>
      <c r="Z6" s="14" t="str" cm="1">
        <f t="array" ref="Z6">_xlfn.IFS(
AND(M6&gt;20000,R6&gt;=4),"Green",
M6&gt;10000,"Yellow",
TRUE,"Red"
)</f>
        <v>Red</v>
      </c>
    </row>
    <row r="7" spans="1:26" x14ac:dyDescent="0.3">
      <c r="A7" s="3" t="s">
        <v>54</v>
      </c>
      <c r="B7" s="3" t="s">
        <v>55</v>
      </c>
      <c r="C7" s="3" t="s">
        <v>56</v>
      </c>
      <c r="D7" s="3" t="s">
        <v>47</v>
      </c>
      <c r="E7" s="3" t="s">
        <v>57</v>
      </c>
      <c r="F7" s="3" t="s">
        <v>58</v>
      </c>
      <c r="G7" s="3" t="s">
        <v>35</v>
      </c>
      <c r="H7" s="3" t="s">
        <v>36</v>
      </c>
      <c r="I7" s="3">
        <v>1</v>
      </c>
      <c r="J7" s="3">
        <v>8000</v>
      </c>
      <c r="K7" s="3">
        <v>5</v>
      </c>
      <c r="L7" s="3">
        <v>7600</v>
      </c>
      <c r="M7" s="3">
        <v>604.42999999999995</v>
      </c>
      <c r="N7" s="3">
        <v>99</v>
      </c>
      <c r="O7" s="3">
        <v>5</v>
      </c>
      <c r="P7" s="3" t="s">
        <v>59</v>
      </c>
      <c r="Q7" s="3" t="s">
        <v>29</v>
      </c>
      <c r="R7" s="3">
        <v>3</v>
      </c>
      <c r="S7" s="3">
        <v>132166</v>
      </c>
      <c r="T7" s="14">
        <v>8696.07</v>
      </c>
      <c r="U7" s="13">
        <f t="shared" si="0"/>
        <v>5.7503442640315967</v>
      </c>
      <c r="V7" s="3" t="str">
        <f t="shared" si="1"/>
        <v>Normal</v>
      </c>
      <c r="W7" s="3" t="str" cm="1">
        <f t="array" ref="W7">_xlfn.IFS(
AND(D7="VIP",R7&gt;=4),"VIP Loyalty",
AND(D7="Premium",R7&gt;=4),"Premium Loyalty",
AND(D7="Regular",R7&gt;=4),"Regular Loyalty",
TRUE,"Need Improvement"
)</f>
        <v>Need Improvement</v>
      </c>
      <c r="X7" s="3" t="str">
        <f t="shared" si="2"/>
        <v>Not Alert</v>
      </c>
      <c r="Y7" s="3" t="str" cm="1">
        <f t="array" ref="Y7">_xlfn.IFS(
U7&gt;120,"A",
U7&gt;=100,"B",
U7&gt;=80,"C",
TRUE,"D"
)</f>
        <v>D</v>
      </c>
      <c r="Z7" s="14" t="str" cm="1">
        <f t="array" ref="Z7">_xlfn.IFS(
AND(M7&gt;20000,R7&gt;=4),"Green",
M7&gt;10000,"Yellow",
TRUE,"Red"
)</f>
        <v>Red</v>
      </c>
    </row>
    <row r="8" spans="1:26" x14ac:dyDescent="0.3">
      <c r="A8" s="3" t="s">
        <v>60</v>
      </c>
      <c r="B8" s="3" t="s">
        <v>61</v>
      </c>
      <c r="C8" s="3" t="s">
        <v>32</v>
      </c>
      <c r="D8" s="3" t="s">
        <v>33</v>
      </c>
      <c r="E8" s="3" t="s">
        <v>41</v>
      </c>
      <c r="F8" s="3" t="s">
        <v>34</v>
      </c>
      <c r="G8" s="3" t="s">
        <v>35</v>
      </c>
      <c r="H8" s="3" t="s">
        <v>36</v>
      </c>
      <c r="I8" s="3">
        <v>2</v>
      </c>
      <c r="J8" s="3">
        <v>65000</v>
      </c>
      <c r="K8" s="3">
        <v>10</v>
      </c>
      <c r="L8" s="3">
        <v>117000</v>
      </c>
      <c r="M8" s="3">
        <v>27229.17</v>
      </c>
      <c r="N8" s="3">
        <v>43</v>
      </c>
      <c r="O8" s="3">
        <v>1</v>
      </c>
      <c r="P8" s="3" t="s">
        <v>59</v>
      </c>
      <c r="Q8" s="3" t="s">
        <v>29</v>
      </c>
      <c r="R8" s="3">
        <v>1</v>
      </c>
      <c r="S8" s="3">
        <v>149850</v>
      </c>
      <c r="T8" s="14">
        <v>128230.79</v>
      </c>
      <c r="U8" s="13">
        <f t="shared" si="0"/>
        <v>78.078078078078079</v>
      </c>
      <c r="V8" s="3" t="str">
        <f t="shared" si="1"/>
        <v>Normal</v>
      </c>
      <c r="W8" s="3" t="str" cm="1">
        <f t="array" ref="W8">_xlfn.IFS(
AND(D8="VIP",R8&gt;=4),"VIP Loyalty",
AND(D8="Premium",R8&gt;=4),"Premium Loyalty",
AND(D8="Regular",R8&gt;=4),"Regular Loyalty",
TRUE,"Need Improvement"
)</f>
        <v>Need Improvement</v>
      </c>
      <c r="X8" s="3" t="str">
        <f t="shared" si="2"/>
        <v>Not Alert</v>
      </c>
      <c r="Y8" s="3" t="str" cm="1">
        <f t="array" ref="Y8">_xlfn.IFS(
U8&gt;120,"A",
U8&gt;=100,"B",
U8&gt;=80,"C",
TRUE,"D"
)</f>
        <v>D</v>
      </c>
      <c r="Z8" s="14" t="str" cm="1">
        <f t="array" ref="Z8">_xlfn.IFS(
AND(M8&gt;20000,R8&gt;=4),"Green",
M8&gt;10000,"Yellow",
TRUE,"Red"
)</f>
        <v>Yellow</v>
      </c>
    </row>
    <row r="9" spans="1:26" x14ac:dyDescent="0.3">
      <c r="A9" s="3" t="s">
        <v>62</v>
      </c>
      <c r="B9" s="3" t="s">
        <v>63</v>
      </c>
      <c r="C9" s="3" t="s">
        <v>40</v>
      </c>
      <c r="D9" s="3" t="s">
        <v>23</v>
      </c>
      <c r="E9" s="3" t="s">
        <v>24</v>
      </c>
      <c r="F9" s="3" t="s">
        <v>52</v>
      </c>
      <c r="G9" s="3" t="s">
        <v>35</v>
      </c>
      <c r="H9" s="3" t="s">
        <v>36</v>
      </c>
      <c r="I9" s="3">
        <v>2</v>
      </c>
      <c r="J9" s="3">
        <v>3500</v>
      </c>
      <c r="K9" s="3">
        <v>15</v>
      </c>
      <c r="L9" s="3">
        <v>5950</v>
      </c>
      <c r="M9" s="3">
        <v>1094.46</v>
      </c>
      <c r="N9" s="3">
        <v>50</v>
      </c>
      <c r="O9" s="3">
        <v>5</v>
      </c>
      <c r="P9" s="3" t="s">
        <v>28</v>
      </c>
      <c r="Q9" s="3" t="s">
        <v>29</v>
      </c>
      <c r="R9" s="3">
        <v>4</v>
      </c>
      <c r="S9" s="3">
        <v>84194</v>
      </c>
      <c r="T9" s="14">
        <v>4805.29</v>
      </c>
      <c r="U9" s="13">
        <f t="shared" si="0"/>
        <v>7.0670119010855874</v>
      </c>
      <c r="V9" s="3" t="str">
        <f t="shared" si="1"/>
        <v>Normal</v>
      </c>
      <c r="W9" s="3" t="str" cm="1">
        <f t="array" ref="W9">_xlfn.IFS(
AND(D9="VIP",R9&gt;=4),"VIP Loyalty",
AND(D9="Premium",R9&gt;=4),"Premium Loyalty",
AND(D9="Regular",R9&gt;=4),"Regular Loyalty",
TRUE,"Need Improvement"
)</f>
        <v>VIP Loyalty</v>
      </c>
      <c r="X9" s="3" t="str">
        <f t="shared" si="2"/>
        <v>Not Alert</v>
      </c>
      <c r="Y9" s="3" t="str" cm="1">
        <f t="array" ref="Y9">_xlfn.IFS(
U9&gt;120,"A",
U9&gt;=100,"B",
U9&gt;=80,"C",
TRUE,"D"
)</f>
        <v>D</v>
      </c>
      <c r="Z9" s="14" t="str" cm="1">
        <f t="array" ref="Z9">_xlfn.IFS(
AND(M9&gt;20000,R9&gt;=4),"Green",
M9&gt;10000,"Yellow",
TRUE,"Red"
)</f>
        <v>Red</v>
      </c>
    </row>
    <row r="10" spans="1:26" x14ac:dyDescent="0.3">
      <c r="A10" s="3" t="s">
        <v>64</v>
      </c>
      <c r="B10" s="3" t="s">
        <v>65</v>
      </c>
      <c r="C10" s="3" t="s">
        <v>40</v>
      </c>
      <c r="D10" s="3" t="s">
        <v>47</v>
      </c>
      <c r="E10" s="3" t="s">
        <v>48</v>
      </c>
      <c r="F10" s="3" t="s">
        <v>52</v>
      </c>
      <c r="G10" s="3" t="s">
        <v>66</v>
      </c>
      <c r="H10" s="3" t="s">
        <v>27</v>
      </c>
      <c r="I10" s="3">
        <v>7</v>
      </c>
      <c r="J10" s="3">
        <v>8000</v>
      </c>
      <c r="K10" s="3">
        <v>15</v>
      </c>
      <c r="L10" s="3">
        <v>47600</v>
      </c>
      <c r="M10" s="3">
        <v>314.55</v>
      </c>
      <c r="N10" s="3">
        <v>2</v>
      </c>
      <c r="O10" s="3">
        <v>5</v>
      </c>
      <c r="P10" s="3" t="s">
        <v>67</v>
      </c>
      <c r="Q10" s="3" t="s">
        <v>37</v>
      </c>
      <c r="R10" s="3">
        <v>3</v>
      </c>
      <c r="S10" s="3">
        <v>79719</v>
      </c>
      <c r="T10" s="14">
        <v>39771.78</v>
      </c>
      <c r="U10" s="13">
        <f t="shared" si="0"/>
        <v>59.709730428128807</v>
      </c>
      <c r="V10" s="3" t="str">
        <f t="shared" si="1"/>
        <v>Normal</v>
      </c>
      <c r="W10" s="3" t="str" cm="1">
        <f t="array" ref="W10">_xlfn.IFS(
AND(D10="VIP",R10&gt;=4),"VIP Loyalty",
AND(D10="Premium",R10&gt;=4),"Premium Loyalty",
AND(D10="Regular",R10&gt;=4),"Regular Loyalty",
TRUE,"Need Improvement"
)</f>
        <v>Need Improvement</v>
      </c>
      <c r="X10" s="3" t="str">
        <f t="shared" si="2"/>
        <v>Alert</v>
      </c>
      <c r="Y10" s="3" t="str" cm="1">
        <f t="array" ref="Y10">_xlfn.IFS(
U10&gt;120,"A",
U10&gt;=100,"B",
U10&gt;=80,"C",
TRUE,"D"
)</f>
        <v>D</v>
      </c>
      <c r="Z10" s="14" t="str" cm="1">
        <f t="array" ref="Z10">_xlfn.IFS(
AND(M10&gt;20000,R10&gt;=4),"Green",
M10&gt;10000,"Yellow",
TRUE,"Red"
)</f>
        <v>Red</v>
      </c>
    </row>
    <row r="11" spans="1:26" x14ac:dyDescent="0.3">
      <c r="A11" s="3" t="s">
        <v>68</v>
      </c>
      <c r="B11" s="3" t="s">
        <v>69</v>
      </c>
      <c r="C11" s="3" t="s">
        <v>22</v>
      </c>
      <c r="D11" s="3" t="s">
        <v>47</v>
      </c>
      <c r="E11" s="3" t="s">
        <v>24</v>
      </c>
      <c r="F11" s="3" t="s">
        <v>70</v>
      </c>
      <c r="G11" s="3" t="s">
        <v>66</v>
      </c>
      <c r="H11" s="3" t="s">
        <v>27</v>
      </c>
      <c r="I11" s="3">
        <v>6</v>
      </c>
      <c r="J11" s="3">
        <v>15000</v>
      </c>
      <c r="K11" s="3">
        <v>15</v>
      </c>
      <c r="L11" s="3">
        <v>76500</v>
      </c>
      <c r="M11" s="3">
        <v>26298.31</v>
      </c>
      <c r="N11" s="3">
        <v>12</v>
      </c>
      <c r="O11" s="3">
        <v>2</v>
      </c>
      <c r="P11" s="3" t="s">
        <v>28</v>
      </c>
      <c r="Q11" s="3" t="s">
        <v>29</v>
      </c>
      <c r="R11" s="3">
        <v>1</v>
      </c>
      <c r="S11" s="3">
        <v>134669</v>
      </c>
      <c r="T11" s="14">
        <v>79515.14</v>
      </c>
      <c r="U11" s="13">
        <f t="shared" si="0"/>
        <v>56.805946431621237</v>
      </c>
      <c r="V11" s="3" t="str">
        <f t="shared" si="1"/>
        <v>Normal</v>
      </c>
      <c r="W11" s="3" t="str" cm="1">
        <f t="array" ref="W11">_xlfn.IFS(
AND(D11="VIP",R11&gt;=4),"VIP Loyalty",
AND(D11="Premium",R11&gt;=4),"Premium Loyalty",
AND(D11="Regular",R11&gt;=4),"Regular Loyalty",
TRUE,"Need Improvement"
)</f>
        <v>Need Improvement</v>
      </c>
      <c r="X11" s="3" t="str">
        <f t="shared" si="2"/>
        <v>Not Alert</v>
      </c>
      <c r="Y11" s="3" t="str" cm="1">
        <f t="array" ref="Y11">_xlfn.IFS(
U11&gt;120,"A",
U11&gt;=100,"B",
U11&gt;=80,"C",
TRUE,"D"
)</f>
        <v>D</v>
      </c>
      <c r="Z11" s="14" t="str" cm="1">
        <f t="array" ref="Z11">_xlfn.IFS(
AND(M11&gt;20000,R11&gt;=4),"Green",
M11&gt;10000,"Yellow",
TRUE,"Red"
)</f>
        <v>Yellow</v>
      </c>
    </row>
    <row r="12" spans="1:26" x14ac:dyDescent="0.3">
      <c r="A12" s="3" t="s">
        <v>71</v>
      </c>
      <c r="B12" s="3" t="s">
        <v>72</v>
      </c>
      <c r="C12" s="3" t="s">
        <v>40</v>
      </c>
      <c r="D12" s="3" t="s">
        <v>47</v>
      </c>
      <c r="E12" s="3" t="s">
        <v>41</v>
      </c>
      <c r="F12" s="3" t="s">
        <v>52</v>
      </c>
      <c r="G12" s="3" t="s">
        <v>66</v>
      </c>
      <c r="H12" s="3" t="s">
        <v>27</v>
      </c>
      <c r="I12" s="3">
        <v>4</v>
      </c>
      <c r="J12" s="3">
        <v>1200</v>
      </c>
      <c r="K12" s="3">
        <v>20</v>
      </c>
      <c r="L12" s="3">
        <v>3840</v>
      </c>
      <c r="M12" s="3">
        <v>1238.3599999999999</v>
      </c>
      <c r="N12" s="3">
        <v>53</v>
      </c>
      <c r="O12" s="3">
        <v>5</v>
      </c>
      <c r="P12" s="3" t="s">
        <v>67</v>
      </c>
      <c r="Q12" s="3" t="s">
        <v>37</v>
      </c>
      <c r="R12" s="3">
        <v>1</v>
      </c>
      <c r="S12" s="3">
        <v>18666</v>
      </c>
      <c r="T12" s="14">
        <v>3814.81</v>
      </c>
      <c r="U12" s="13">
        <f t="shared" si="0"/>
        <v>20.572163291546129</v>
      </c>
      <c r="V12" s="3" t="str">
        <f t="shared" si="1"/>
        <v>Normal</v>
      </c>
      <c r="W12" s="3" t="str" cm="1">
        <f t="array" ref="W12">_xlfn.IFS(
AND(D12="VIP",R12&gt;=4),"VIP Loyalty",
AND(D12="Premium",R12&gt;=4),"Premium Loyalty",
AND(D12="Regular",R12&gt;=4),"Regular Loyalty",
TRUE,"Need Improvement"
)</f>
        <v>Need Improvement</v>
      </c>
      <c r="X12" s="3" t="str">
        <f t="shared" si="2"/>
        <v>Alert</v>
      </c>
      <c r="Y12" s="3" t="str" cm="1">
        <f t="array" ref="Y12">_xlfn.IFS(
U12&gt;120,"A",
U12&gt;=100,"B",
U12&gt;=80,"C",
TRUE,"D"
)</f>
        <v>D</v>
      </c>
      <c r="Z12" s="14" t="str" cm="1">
        <f t="array" ref="Z12">_xlfn.IFS(
AND(M12&gt;20000,R12&gt;=4),"Green",
M12&gt;10000,"Yellow",
TRUE,"Red"
)</f>
        <v>Red</v>
      </c>
    </row>
    <row r="13" spans="1:26" x14ac:dyDescent="0.3">
      <c r="A13" s="3" t="s">
        <v>73</v>
      </c>
      <c r="B13" s="3" t="s">
        <v>74</v>
      </c>
      <c r="C13" s="3" t="s">
        <v>32</v>
      </c>
      <c r="D13" s="3" t="s">
        <v>33</v>
      </c>
      <c r="E13" s="3" t="s">
        <v>57</v>
      </c>
      <c r="F13" s="3" t="s">
        <v>34</v>
      </c>
      <c r="G13" s="3" t="s">
        <v>26</v>
      </c>
      <c r="H13" s="3" t="s">
        <v>27</v>
      </c>
      <c r="I13" s="3">
        <v>2</v>
      </c>
      <c r="J13" s="3">
        <v>15000</v>
      </c>
      <c r="K13" s="3">
        <v>20</v>
      </c>
      <c r="L13" s="3">
        <v>24000</v>
      </c>
      <c r="M13" s="3">
        <v>8213.57</v>
      </c>
      <c r="N13" s="3">
        <v>21</v>
      </c>
      <c r="O13" s="3">
        <v>8</v>
      </c>
      <c r="P13" s="3" t="s">
        <v>44</v>
      </c>
      <c r="Q13" s="3" t="s">
        <v>37</v>
      </c>
      <c r="R13" s="3">
        <v>1</v>
      </c>
      <c r="S13" s="3">
        <v>50024</v>
      </c>
      <c r="T13" s="14">
        <v>20129.91</v>
      </c>
      <c r="U13" s="13">
        <f t="shared" si="0"/>
        <v>47.976971053894133</v>
      </c>
      <c r="V13" s="3" t="str">
        <f t="shared" si="1"/>
        <v>Normal</v>
      </c>
      <c r="W13" s="3" t="str" cm="1">
        <f t="array" ref="W13">_xlfn.IFS(
AND(D13="VIP",R13&gt;=4),"VIP Loyalty",
AND(D13="Premium",R13&gt;=4),"Premium Loyalty",
AND(D13="Regular",R13&gt;=4),"Regular Loyalty",
TRUE,"Need Improvement"
)</f>
        <v>Need Improvement</v>
      </c>
      <c r="X13" s="3" t="str">
        <f t="shared" si="2"/>
        <v>Alert</v>
      </c>
      <c r="Y13" s="3" t="str" cm="1">
        <f t="array" ref="Y13">_xlfn.IFS(
U13&gt;120,"A",
U13&gt;=100,"B",
U13&gt;=80,"C",
TRUE,"D"
)</f>
        <v>D</v>
      </c>
      <c r="Z13" s="14" t="str" cm="1">
        <f t="array" ref="Z13">_xlfn.IFS(
AND(M13&gt;20000,R13&gt;=4),"Green",
M13&gt;10000,"Yellow",
TRUE,"Red"
)</f>
        <v>Red</v>
      </c>
    </row>
    <row r="14" spans="1:26" x14ac:dyDescent="0.3">
      <c r="A14" s="3" t="s">
        <v>75</v>
      </c>
      <c r="B14" s="3" t="s">
        <v>76</v>
      </c>
      <c r="C14" s="3" t="s">
        <v>77</v>
      </c>
      <c r="D14" s="3" t="s">
        <v>23</v>
      </c>
      <c r="E14" s="3" t="s">
        <v>57</v>
      </c>
      <c r="F14" s="3" t="s">
        <v>70</v>
      </c>
      <c r="G14" s="3" t="s">
        <v>66</v>
      </c>
      <c r="H14" s="3" t="s">
        <v>27</v>
      </c>
      <c r="I14" s="3">
        <v>9</v>
      </c>
      <c r="J14" s="3">
        <v>3500</v>
      </c>
      <c r="K14" s="3">
        <v>20</v>
      </c>
      <c r="L14" s="3">
        <v>25200</v>
      </c>
      <c r="M14" s="3">
        <v>437.3</v>
      </c>
      <c r="N14" s="3">
        <v>70</v>
      </c>
      <c r="O14" s="3">
        <v>1</v>
      </c>
      <c r="P14" s="3" t="s">
        <v>28</v>
      </c>
      <c r="Q14" s="3" t="s">
        <v>37</v>
      </c>
      <c r="R14" s="3">
        <v>3</v>
      </c>
      <c r="S14" s="3">
        <v>44189</v>
      </c>
      <c r="T14" s="14">
        <v>29089.43</v>
      </c>
      <c r="U14" s="13">
        <f t="shared" si="0"/>
        <v>57.027767091357575</v>
      </c>
      <c r="V14" s="3" t="str">
        <f t="shared" si="1"/>
        <v>Normal</v>
      </c>
      <c r="W14" s="3" t="str" cm="1">
        <f t="array" ref="W14">_xlfn.IFS(
AND(D14="VIP",R14&gt;=4),"VIP Loyalty",
AND(D14="Premium",R14&gt;=4),"Premium Loyalty",
AND(D14="Regular",R14&gt;=4),"Regular Loyalty",
TRUE,"Need Improvement"
)</f>
        <v>Need Improvement</v>
      </c>
      <c r="X14" s="3" t="str">
        <f t="shared" si="2"/>
        <v>Alert</v>
      </c>
      <c r="Y14" s="3" t="str" cm="1">
        <f t="array" ref="Y14">_xlfn.IFS(
U14&gt;120,"A",
U14&gt;=100,"B",
U14&gt;=80,"C",
TRUE,"D"
)</f>
        <v>D</v>
      </c>
      <c r="Z14" s="14" t="str" cm="1">
        <f t="array" ref="Z14">_xlfn.IFS(
AND(M14&gt;20000,R14&gt;=4),"Green",
M14&gt;10000,"Yellow",
TRUE,"Red"
)</f>
        <v>Red</v>
      </c>
    </row>
    <row r="15" spans="1:26" x14ac:dyDescent="0.3">
      <c r="A15" s="3" t="s">
        <v>78</v>
      </c>
      <c r="B15" s="3" t="s">
        <v>74</v>
      </c>
      <c r="C15" s="3" t="s">
        <v>79</v>
      </c>
      <c r="D15" s="3" t="s">
        <v>23</v>
      </c>
      <c r="E15" s="3" t="s">
        <v>57</v>
      </c>
      <c r="F15" s="3" t="s">
        <v>52</v>
      </c>
      <c r="G15" s="3" t="s">
        <v>80</v>
      </c>
      <c r="H15" s="3" t="s">
        <v>36</v>
      </c>
      <c r="I15" s="3">
        <v>10</v>
      </c>
      <c r="J15" s="3">
        <v>65000</v>
      </c>
      <c r="K15" s="3">
        <v>15</v>
      </c>
      <c r="L15" s="3">
        <v>552500</v>
      </c>
      <c r="M15" s="3">
        <v>107781.23</v>
      </c>
      <c r="N15" s="3">
        <v>47</v>
      </c>
      <c r="O15" s="3">
        <v>1</v>
      </c>
      <c r="P15" s="3" t="s">
        <v>28</v>
      </c>
      <c r="Q15" s="3" t="s">
        <v>29</v>
      </c>
      <c r="R15" s="3">
        <v>1</v>
      </c>
      <c r="S15" s="3">
        <v>71563</v>
      </c>
      <c r="T15" s="14">
        <v>488233.7</v>
      </c>
      <c r="U15" s="13">
        <f t="shared" si="0"/>
        <v>772.0470075318251</v>
      </c>
      <c r="V15" s="3" t="str">
        <f t="shared" si="1"/>
        <v>Normal</v>
      </c>
      <c r="W15" s="3" t="str" cm="1">
        <f t="array" ref="W15">_xlfn.IFS(
AND(D15="VIP",R15&gt;=4),"VIP Loyalty",
AND(D15="Premium",R15&gt;=4),"Premium Loyalty",
AND(D15="Regular",R15&gt;=4),"Regular Loyalty",
TRUE,"Need Improvement"
)</f>
        <v>Need Improvement</v>
      </c>
      <c r="X15" s="3" t="str">
        <f t="shared" si="2"/>
        <v>Not Alert</v>
      </c>
      <c r="Y15" s="3" t="str" cm="1">
        <f t="array" ref="Y15">_xlfn.IFS(
U15&gt;120,"A",
U15&gt;=100,"B",
U15&gt;=80,"C",
TRUE,"D"
)</f>
        <v>A</v>
      </c>
      <c r="Z15" s="14" t="str" cm="1">
        <f t="array" ref="Z15">_xlfn.IFS(
AND(M15&gt;20000,R15&gt;=4),"Green",
M15&gt;10000,"Yellow",
TRUE,"Red"
)</f>
        <v>Yellow</v>
      </c>
    </row>
    <row r="16" spans="1:26" x14ac:dyDescent="0.3">
      <c r="A16" s="3" t="s">
        <v>81</v>
      </c>
      <c r="B16" s="3" t="s">
        <v>82</v>
      </c>
      <c r="C16" s="3" t="s">
        <v>32</v>
      </c>
      <c r="D16" s="3" t="s">
        <v>47</v>
      </c>
      <c r="E16" s="3" t="s">
        <v>57</v>
      </c>
      <c r="F16" s="3" t="s">
        <v>70</v>
      </c>
      <c r="G16" s="3" t="s">
        <v>80</v>
      </c>
      <c r="H16" s="3" t="s">
        <v>36</v>
      </c>
      <c r="I16" s="3">
        <v>4</v>
      </c>
      <c r="J16" s="3">
        <v>8000</v>
      </c>
      <c r="K16" s="3">
        <v>5</v>
      </c>
      <c r="L16" s="3">
        <v>30400</v>
      </c>
      <c r="M16" s="3">
        <v>1141.05</v>
      </c>
      <c r="N16" s="3">
        <v>89</v>
      </c>
      <c r="O16" s="3">
        <v>5</v>
      </c>
      <c r="P16" s="3" t="s">
        <v>44</v>
      </c>
      <c r="Q16" s="3" t="s">
        <v>37</v>
      </c>
      <c r="R16" s="3">
        <v>3</v>
      </c>
      <c r="S16" s="3">
        <v>45147</v>
      </c>
      <c r="T16" s="14">
        <v>27310.69</v>
      </c>
      <c r="U16" s="13">
        <f t="shared" si="0"/>
        <v>67.335592619664652</v>
      </c>
      <c r="V16" s="3" t="str">
        <f t="shared" si="1"/>
        <v>Normal</v>
      </c>
      <c r="W16" s="3" t="str" cm="1">
        <f t="array" ref="W16">_xlfn.IFS(
AND(D16="VIP",R16&gt;=4),"VIP Loyalty",
AND(D16="Premium",R16&gt;=4),"Premium Loyalty",
AND(D16="Regular",R16&gt;=4),"Regular Loyalty",
TRUE,"Need Improvement"
)</f>
        <v>Need Improvement</v>
      </c>
      <c r="X16" s="3" t="str">
        <f t="shared" si="2"/>
        <v>Alert</v>
      </c>
      <c r="Y16" s="3" t="str" cm="1">
        <f t="array" ref="Y16">_xlfn.IFS(
U16&gt;120,"A",
U16&gt;=100,"B",
U16&gt;=80,"C",
TRUE,"D"
)</f>
        <v>D</v>
      </c>
      <c r="Z16" s="14" t="str" cm="1">
        <f t="array" ref="Z16">_xlfn.IFS(
AND(M16&gt;20000,R16&gt;=4),"Green",
M16&gt;10000,"Yellow",
TRUE,"Red"
)</f>
        <v>Red</v>
      </c>
    </row>
    <row r="17" spans="1:26" x14ac:dyDescent="0.3">
      <c r="A17" s="3" t="s">
        <v>83</v>
      </c>
      <c r="B17" s="3" t="s">
        <v>84</v>
      </c>
      <c r="C17" s="3" t="s">
        <v>85</v>
      </c>
      <c r="D17" s="3" t="s">
        <v>23</v>
      </c>
      <c r="E17" s="3" t="s">
        <v>48</v>
      </c>
      <c r="F17" s="3" t="s">
        <v>34</v>
      </c>
      <c r="G17" s="3" t="s">
        <v>66</v>
      </c>
      <c r="H17" s="3" t="s">
        <v>27</v>
      </c>
      <c r="I17" s="3">
        <v>2</v>
      </c>
      <c r="J17" s="3">
        <v>500</v>
      </c>
      <c r="K17" s="3">
        <v>10</v>
      </c>
      <c r="L17" s="3">
        <v>900</v>
      </c>
      <c r="M17" s="3">
        <v>202.34</v>
      </c>
      <c r="N17" s="3">
        <v>3</v>
      </c>
      <c r="O17" s="3">
        <v>2</v>
      </c>
      <c r="P17" s="3" t="s">
        <v>67</v>
      </c>
      <c r="Q17" s="3" t="s">
        <v>37</v>
      </c>
      <c r="R17" s="3">
        <v>4</v>
      </c>
      <c r="S17" s="3">
        <v>28722</v>
      </c>
      <c r="T17" s="14">
        <v>1051.6400000000001</v>
      </c>
      <c r="U17" s="13">
        <f t="shared" si="0"/>
        <v>3.1334865260079385</v>
      </c>
      <c r="V17" s="3" t="str">
        <f t="shared" si="1"/>
        <v>Normal</v>
      </c>
      <c r="W17" s="3" t="str" cm="1">
        <f t="array" ref="W17">_xlfn.IFS(
AND(D17="VIP",R17&gt;=4),"VIP Loyalty",
AND(D17="Premium",R17&gt;=4),"Premium Loyalty",
AND(D17="Regular",R17&gt;=4),"Regular Loyalty",
TRUE,"Need Improvement"
)</f>
        <v>VIP Loyalty</v>
      </c>
      <c r="X17" s="3" t="str">
        <f t="shared" si="2"/>
        <v>Alert</v>
      </c>
      <c r="Y17" s="3" t="str" cm="1">
        <f t="array" ref="Y17">_xlfn.IFS(
U17&gt;120,"A",
U17&gt;=100,"B",
U17&gt;=80,"C",
TRUE,"D"
)</f>
        <v>D</v>
      </c>
      <c r="Z17" s="14" t="str" cm="1">
        <f t="array" ref="Z17">_xlfn.IFS(
AND(M17&gt;20000,R17&gt;=4),"Green",
M17&gt;10000,"Yellow",
TRUE,"Red"
)</f>
        <v>Red</v>
      </c>
    </row>
    <row r="18" spans="1:26" x14ac:dyDescent="0.3">
      <c r="A18" s="3" t="s">
        <v>86</v>
      </c>
      <c r="B18" s="3" t="s">
        <v>87</v>
      </c>
      <c r="C18" s="3" t="s">
        <v>77</v>
      </c>
      <c r="D18" s="3" t="s">
        <v>47</v>
      </c>
      <c r="E18" s="3" t="s">
        <v>24</v>
      </c>
      <c r="F18" s="3" t="s">
        <v>34</v>
      </c>
      <c r="G18" s="3" t="s">
        <v>53</v>
      </c>
      <c r="H18" s="3" t="s">
        <v>43</v>
      </c>
      <c r="I18" s="3">
        <v>2</v>
      </c>
      <c r="J18" s="3">
        <v>65000</v>
      </c>
      <c r="K18" s="3">
        <v>15</v>
      </c>
      <c r="L18" s="3">
        <v>110500</v>
      </c>
      <c r="M18" s="3">
        <v>2356.96</v>
      </c>
      <c r="N18" s="3">
        <v>13</v>
      </c>
      <c r="O18" s="3">
        <v>1</v>
      </c>
      <c r="P18" s="3" t="s">
        <v>67</v>
      </c>
      <c r="Q18" s="3" t="s">
        <v>29</v>
      </c>
      <c r="R18" s="3">
        <v>4</v>
      </c>
      <c r="S18" s="3">
        <v>74450</v>
      </c>
      <c r="T18" s="14">
        <v>94516.06</v>
      </c>
      <c r="U18" s="13">
        <f t="shared" si="0"/>
        <v>148.42175957018134</v>
      </c>
      <c r="V18" s="3" t="str">
        <f t="shared" si="1"/>
        <v>Normal</v>
      </c>
      <c r="W18" s="3" t="str" cm="1">
        <f t="array" ref="W18">_xlfn.IFS(
AND(D18="VIP",R18&gt;=4),"VIP Loyalty",
AND(D18="Premium",R18&gt;=4),"Premium Loyalty",
AND(D18="Regular",R18&gt;=4),"Regular Loyalty",
TRUE,"Need Improvement"
)</f>
        <v>Premium Loyalty</v>
      </c>
      <c r="X18" s="3" t="str">
        <f t="shared" si="2"/>
        <v>Not Alert</v>
      </c>
      <c r="Y18" s="3" t="str" cm="1">
        <f t="array" ref="Y18">_xlfn.IFS(
U18&gt;120,"A",
U18&gt;=100,"B",
U18&gt;=80,"C",
TRUE,"D"
)</f>
        <v>A</v>
      </c>
      <c r="Z18" s="14" t="str" cm="1">
        <f t="array" ref="Z18">_xlfn.IFS(
AND(M18&gt;20000,R18&gt;=4),"Green",
M18&gt;10000,"Yellow",
TRUE,"Red"
)</f>
        <v>Red</v>
      </c>
    </row>
    <row r="19" spans="1:26" x14ac:dyDescent="0.3">
      <c r="A19" s="3" t="s">
        <v>88</v>
      </c>
      <c r="B19" s="3" t="s">
        <v>89</v>
      </c>
      <c r="C19" s="3" t="s">
        <v>79</v>
      </c>
      <c r="D19" s="3" t="s">
        <v>33</v>
      </c>
      <c r="E19" s="3" t="s">
        <v>57</v>
      </c>
      <c r="F19" s="3" t="s">
        <v>52</v>
      </c>
      <c r="G19" s="3" t="s">
        <v>42</v>
      </c>
      <c r="H19" s="3" t="s">
        <v>43</v>
      </c>
      <c r="I19" s="3">
        <v>4</v>
      </c>
      <c r="J19" s="3">
        <v>8000</v>
      </c>
      <c r="K19" s="3">
        <v>10</v>
      </c>
      <c r="L19" s="3">
        <v>28800</v>
      </c>
      <c r="M19" s="3">
        <v>7737.61</v>
      </c>
      <c r="N19" s="3">
        <v>85</v>
      </c>
      <c r="O19" s="3">
        <v>3</v>
      </c>
      <c r="P19" s="3" t="s">
        <v>67</v>
      </c>
      <c r="Q19" s="3" t="s">
        <v>37</v>
      </c>
      <c r="R19" s="3">
        <v>1</v>
      </c>
      <c r="S19" s="3">
        <v>43805</v>
      </c>
      <c r="T19" s="14">
        <v>29524.89</v>
      </c>
      <c r="U19" s="13">
        <f t="shared" si="0"/>
        <v>65.745919415591828</v>
      </c>
      <c r="V19" s="3" t="str">
        <f t="shared" si="1"/>
        <v>Normal</v>
      </c>
      <c r="W19" s="3" t="str" cm="1">
        <f t="array" ref="W19">_xlfn.IFS(
AND(D19="VIP",R19&gt;=4),"VIP Loyalty",
AND(D19="Premium",R19&gt;=4),"Premium Loyalty",
AND(D19="Regular",R19&gt;=4),"Regular Loyalty",
TRUE,"Need Improvement"
)</f>
        <v>Need Improvement</v>
      </c>
      <c r="X19" s="3" t="str">
        <f t="shared" si="2"/>
        <v>Alert</v>
      </c>
      <c r="Y19" s="3" t="str" cm="1">
        <f t="array" ref="Y19">_xlfn.IFS(
U19&gt;120,"A",
U19&gt;=100,"B",
U19&gt;=80,"C",
TRUE,"D"
)</f>
        <v>D</v>
      </c>
      <c r="Z19" s="14" t="str" cm="1">
        <f t="array" ref="Z19">_xlfn.IFS(
AND(M19&gt;20000,R19&gt;=4),"Green",
M19&gt;10000,"Yellow",
TRUE,"Red"
)</f>
        <v>Red</v>
      </c>
    </row>
    <row r="20" spans="1:26" x14ac:dyDescent="0.3">
      <c r="A20" s="3" t="s">
        <v>90</v>
      </c>
      <c r="B20" s="3" t="s">
        <v>91</v>
      </c>
      <c r="C20" s="3" t="s">
        <v>51</v>
      </c>
      <c r="D20" s="3" t="s">
        <v>33</v>
      </c>
      <c r="E20" s="3" t="s">
        <v>24</v>
      </c>
      <c r="F20" s="3" t="s">
        <v>34</v>
      </c>
      <c r="G20" s="3" t="s">
        <v>42</v>
      </c>
      <c r="H20" s="3" t="s">
        <v>43</v>
      </c>
      <c r="I20" s="3">
        <v>10</v>
      </c>
      <c r="J20" s="3">
        <v>65000</v>
      </c>
      <c r="K20" s="3">
        <v>20</v>
      </c>
      <c r="L20" s="3">
        <v>520000</v>
      </c>
      <c r="M20" s="3">
        <v>-5447.07</v>
      </c>
      <c r="N20" s="3">
        <v>38</v>
      </c>
      <c r="O20" s="3">
        <v>3</v>
      </c>
      <c r="P20" s="3" t="s">
        <v>67</v>
      </c>
      <c r="Q20" s="3" t="s">
        <v>37</v>
      </c>
      <c r="R20" s="3">
        <v>2</v>
      </c>
      <c r="S20" s="3">
        <v>77469</v>
      </c>
      <c r="T20" s="14">
        <v>476870.19</v>
      </c>
      <c r="U20" s="13">
        <f t="shared" si="0"/>
        <v>671.2362364300559</v>
      </c>
      <c r="V20" s="3" t="str">
        <f t="shared" si="1"/>
        <v>Normal</v>
      </c>
      <c r="W20" s="3" t="str" cm="1">
        <f t="array" ref="W20">_xlfn.IFS(
AND(D20="VIP",R20&gt;=4),"VIP Loyalty",
AND(D20="Premium",R20&gt;=4),"Premium Loyalty",
AND(D20="Regular",R20&gt;=4),"Regular Loyalty",
TRUE,"Need Improvement"
)</f>
        <v>Need Improvement</v>
      </c>
      <c r="X20" s="3" t="str">
        <f t="shared" si="2"/>
        <v>Alert</v>
      </c>
      <c r="Y20" s="3" t="str" cm="1">
        <f t="array" ref="Y20">_xlfn.IFS(
U20&gt;120,"A",
U20&gt;=100,"B",
U20&gt;=80,"C",
TRUE,"D"
)</f>
        <v>A</v>
      </c>
      <c r="Z20" s="14" t="str" cm="1">
        <f t="array" ref="Z20">_xlfn.IFS(
AND(M20&gt;20000,R20&gt;=4),"Green",
M20&gt;10000,"Yellow",
TRUE,"Red"
)</f>
        <v>Red</v>
      </c>
    </row>
    <row r="21" spans="1:26" x14ac:dyDescent="0.3">
      <c r="A21" s="3" t="s">
        <v>92</v>
      </c>
      <c r="B21" s="3" t="s">
        <v>93</v>
      </c>
      <c r="C21" s="3" t="s">
        <v>32</v>
      </c>
      <c r="D21" s="3" t="s">
        <v>23</v>
      </c>
      <c r="E21" s="3" t="s">
        <v>41</v>
      </c>
      <c r="F21" s="3" t="s">
        <v>34</v>
      </c>
      <c r="G21" s="3" t="s">
        <v>26</v>
      </c>
      <c r="H21" s="3" t="s">
        <v>27</v>
      </c>
      <c r="I21" s="3">
        <v>5</v>
      </c>
      <c r="J21" s="3">
        <v>45000</v>
      </c>
      <c r="K21" s="3">
        <v>15</v>
      </c>
      <c r="L21" s="3">
        <v>191250</v>
      </c>
      <c r="M21" s="3">
        <v>4887.8900000000003</v>
      </c>
      <c r="N21" s="3">
        <v>32</v>
      </c>
      <c r="O21" s="3">
        <v>5</v>
      </c>
      <c r="P21" s="3" t="s">
        <v>59</v>
      </c>
      <c r="Q21" s="3" t="s">
        <v>29</v>
      </c>
      <c r="R21" s="3">
        <v>5</v>
      </c>
      <c r="S21" s="3">
        <v>122385</v>
      </c>
      <c r="T21" s="20">
        <v>191035.76</v>
      </c>
      <c r="U21" s="13">
        <f t="shared" si="0"/>
        <v>156.26915063120481</v>
      </c>
      <c r="V21" s="3" t="str">
        <f t="shared" si="1"/>
        <v>Normal</v>
      </c>
      <c r="W21" s="3" t="str" cm="1">
        <f t="array" ref="W21">_xlfn.IFS(
AND(D21="VIP",R21&gt;=4),"VIP Loyalty",
AND(D21="Premium",R21&gt;=4),"Premium Loyalty",
AND(D21="Regular",R21&gt;=4),"Regular Loyalty",
TRUE,"Need Improvement"
)</f>
        <v>VIP Loyalty</v>
      </c>
      <c r="X21" s="3" t="str">
        <f t="shared" si="2"/>
        <v>Not Alert</v>
      </c>
      <c r="Y21" s="3" t="str" cm="1">
        <f t="array" ref="Y21">_xlfn.IFS(
U21&gt;120,"A",
U21&gt;=100,"B",
U21&gt;=80,"C",
TRUE,"D"
)</f>
        <v>A</v>
      </c>
      <c r="Z21" s="14" t="str" cm="1">
        <f t="array" ref="Z21">_xlfn.IFS(
AND(M21&gt;20000,R21&gt;=4),"Green",
M21&gt;10000,"Yellow",
TRUE,"Red"
)</f>
        <v>Red</v>
      </c>
    </row>
    <row r="22" spans="1:26" x14ac:dyDescent="0.3">
      <c r="A22" s="3" t="s">
        <v>94</v>
      </c>
      <c r="B22" s="3" t="s">
        <v>95</v>
      </c>
      <c r="C22" s="3" t="s">
        <v>56</v>
      </c>
      <c r="D22" s="3" t="s">
        <v>33</v>
      </c>
      <c r="E22" s="3" t="s">
        <v>48</v>
      </c>
      <c r="F22" s="3" t="s">
        <v>52</v>
      </c>
      <c r="G22" s="3" t="s">
        <v>26</v>
      </c>
      <c r="H22" s="3" t="s">
        <v>27</v>
      </c>
      <c r="I22" s="3">
        <v>5</v>
      </c>
      <c r="J22" s="3">
        <v>45000</v>
      </c>
      <c r="K22" s="3">
        <v>5</v>
      </c>
      <c r="L22" s="3">
        <v>213750</v>
      </c>
      <c r="M22" s="3">
        <v>34299.47</v>
      </c>
      <c r="N22" s="3">
        <v>7</v>
      </c>
      <c r="O22" s="3">
        <v>10</v>
      </c>
      <c r="P22" s="3" t="s">
        <v>28</v>
      </c>
      <c r="Q22" s="3" t="s">
        <v>37</v>
      </c>
      <c r="R22" s="3">
        <v>4</v>
      </c>
      <c r="S22" s="14">
        <v>23150</v>
      </c>
      <c r="T22" s="14">
        <v>233374.18</v>
      </c>
      <c r="U22" s="15">
        <f t="shared" si="0"/>
        <v>923.32613390928714</v>
      </c>
      <c r="V22" s="3" t="str">
        <f t="shared" si="1"/>
        <v>Possible Fraud</v>
      </c>
      <c r="W22" s="3" t="str" cm="1">
        <f t="array" ref="W22">_xlfn.IFS(
AND(D22="VIP",R22&gt;=4),"VIP Loyalty",
AND(D22="Premium",R22&gt;=4),"Premium Loyalty",
AND(D22="Regular",R22&gt;=4),"Regular Loyalty",
TRUE,"Need Improvement"
)</f>
        <v>Regular Loyalty</v>
      </c>
      <c r="X22" s="3" t="str">
        <f t="shared" si="2"/>
        <v>Alert</v>
      </c>
      <c r="Y22" s="3" t="str" cm="1">
        <f t="array" ref="Y22">_xlfn.IFS(
U22&gt;120,"A",
U22&gt;=100,"B",
U22&gt;=80,"C",
TRUE,"D"
)</f>
        <v>A</v>
      </c>
      <c r="Z22" s="14" t="str" cm="1">
        <f t="array" ref="Z22">_xlfn.IFS(
AND(M22&gt;20000,R22&gt;=4),"Green",
M22&gt;10000,"Yellow",
TRUE,"Red"
)</f>
        <v>Green</v>
      </c>
    </row>
    <row r="23" spans="1:26" x14ac:dyDescent="0.3">
      <c r="A23" s="3" t="s">
        <v>96</v>
      </c>
      <c r="B23" s="3" t="s">
        <v>65</v>
      </c>
      <c r="C23" s="3" t="s">
        <v>97</v>
      </c>
      <c r="D23" s="3" t="s">
        <v>33</v>
      </c>
      <c r="E23" s="3" t="s">
        <v>41</v>
      </c>
      <c r="F23" s="3" t="s">
        <v>25</v>
      </c>
      <c r="G23" s="3" t="s">
        <v>66</v>
      </c>
      <c r="H23" s="3" t="s">
        <v>27</v>
      </c>
      <c r="I23" s="3">
        <v>6</v>
      </c>
      <c r="J23" s="3">
        <v>8000</v>
      </c>
      <c r="K23" s="3">
        <v>5</v>
      </c>
      <c r="L23" s="3">
        <v>45600</v>
      </c>
      <c r="M23" s="3">
        <v>7280.44</v>
      </c>
      <c r="N23" s="3">
        <v>7</v>
      </c>
      <c r="O23" s="3">
        <v>4</v>
      </c>
      <c r="P23" s="3" t="s">
        <v>59</v>
      </c>
      <c r="Q23" s="3" t="s">
        <v>29</v>
      </c>
      <c r="R23" s="3">
        <v>2</v>
      </c>
      <c r="S23" s="3">
        <v>149728</v>
      </c>
      <c r="T23" s="21">
        <v>45999.06</v>
      </c>
      <c r="U23" s="13">
        <f t="shared" si="0"/>
        <v>30.455225475528959</v>
      </c>
      <c r="V23" s="3" t="str">
        <f t="shared" si="1"/>
        <v>Normal</v>
      </c>
      <c r="W23" s="3" t="str" cm="1">
        <f t="array" ref="W23">_xlfn.IFS(
AND(D23="VIP",R23&gt;=4),"VIP Loyalty",
AND(D23="Premium",R23&gt;=4),"Premium Loyalty",
AND(D23="Regular",R23&gt;=4),"Regular Loyalty",
TRUE,"Need Improvement"
)</f>
        <v>Need Improvement</v>
      </c>
      <c r="X23" s="3" t="str">
        <f t="shared" si="2"/>
        <v>Not Alert</v>
      </c>
      <c r="Y23" s="3" t="str" cm="1">
        <f t="array" ref="Y23">_xlfn.IFS(
U23&gt;120,"A",
U23&gt;=100,"B",
U23&gt;=80,"C",
TRUE,"D"
)</f>
        <v>D</v>
      </c>
      <c r="Z23" s="14" t="str" cm="1">
        <f t="array" ref="Z23">_xlfn.IFS(
AND(M23&gt;20000,R23&gt;=4),"Green",
M23&gt;10000,"Yellow",
TRUE,"Red"
)</f>
        <v>Red</v>
      </c>
    </row>
    <row r="24" spans="1:26" x14ac:dyDescent="0.3">
      <c r="A24" s="3" t="s">
        <v>98</v>
      </c>
      <c r="B24" s="3" t="s">
        <v>99</v>
      </c>
      <c r="C24" s="3" t="s">
        <v>77</v>
      </c>
      <c r="D24" s="3" t="s">
        <v>23</v>
      </c>
      <c r="E24" s="3" t="s">
        <v>24</v>
      </c>
      <c r="F24" s="3" t="s">
        <v>52</v>
      </c>
      <c r="G24" s="3" t="s">
        <v>26</v>
      </c>
      <c r="H24" s="3" t="s">
        <v>27</v>
      </c>
      <c r="I24" s="3">
        <v>5</v>
      </c>
      <c r="J24" s="3">
        <v>65000</v>
      </c>
      <c r="K24" s="3">
        <v>15</v>
      </c>
      <c r="L24" s="3">
        <v>276250</v>
      </c>
      <c r="M24" s="3">
        <v>66751.67</v>
      </c>
      <c r="N24" s="3">
        <v>67</v>
      </c>
      <c r="O24" s="3">
        <v>5</v>
      </c>
      <c r="P24" s="3" t="s">
        <v>59</v>
      </c>
      <c r="Q24" s="3" t="s">
        <v>29</v>
      </c>
      <c r="R24" s="3">
        <v>5</v>
      </c>
      <c r="S24" s="3">
        <v>94579</v>
      </c>
      <c r="T24" s="14">
        <v>313749.99</v>
      </c>
      <c r="U24" s="13">
        <f t="shared" si="0"/>
        <v>292.08386639740326</v>
      </c>
      <c r="V24" s="3" t="str">
        <f t="shared" si="1"/>
        <v>Normal</v>
      </c>
      <c r="W24" s="3" t="str" cm="1">
        <f t="array" ref="W24">_xlfn.IFS(
AND(D24="VIP",R24&gt;=4),"VIP Loyalty",
AND(D24="Premium",R24&gt;=4),"Premium Loyalty",
AND(D24="Regular",R24&gt;=4),"Regular Loyalty",
TRUE,"Need Improvement"
)</f>
        <v>VIP Loyalty</v>
      </c>
      <c r="X24" s="3" t="str">
        <f t="shared" si="2"/>
        <v>Not Alert</v>
      </c>
      <c r="Y24" s="3" t="str" cm="1">
        <f t="array" ref="Y24">_xlfn.IFS(
U24&gt;120,"A",
U24&gt;=100,"B",
U24&gt;=80,"C",
TRUE,"D"
)</f>
        <v>A</v>
      </c>
      <c r="Z24" s="14" t="str" cm="1">
        <f t="array" ref="Z24">_xlfn.IFS(
AND(M24&gt;20000,R24&gt;=4),"Green",
M24&gt;10000,"Yellow",
TRUE,"Red"
)</f>
        <v>Green</v>
      </c>
    </row>
    <row r="25" spans="1:26" x14ac:dyDescent="0.3">
      <c r="A25" s="3" t="s">
        <v>100</v>
      </c>
      <c r="B25" s="3" t="s">
        <v>101</v>
      </c>
      <c r="C25" s="3" t="s">
        <v>85</v>
      </c>
      <c r="D25" s="3" t="s">
        <v>23</v>
      </c>
      <c r="E25" s="3" t="s">
        <v>57</v>
      </c>
      <c r="F25" s="3" t="s">
        <v>58</v>
      </c>
      <c r="G25" s="3" t="s">
        <v>26</v>
      </c>
      <c r="H25" s="3" t="s">
        <v>27</v>
      </c>
      <c r="I25" s="3">
        <v>9</v>
      </c>
      <c r="J25" s="3">
        <v>65000</v>
      </c>
      <c r="K25" s="3">
        <v>10</v>
      </c>
      <c r="L25" s="3">
        <v>526500</v>
      </c>
      <c r="M25" s="3">
        <v>66234.98</v>
      </c>
      <c r="N25" s="3">
        <v>46</v>
      </c>
      <c r="O25" s="3">
        <v>9</v>
      </c>
      <c r="P25" s="3" t="s">
        <v>28</v>
      </c>
      <c r="Q25" s="3" t="s">
        <v>29</v>
      </c>
      <c r="R25" s="3">
        <v>4</v>
      </c>
      <c r="S25" s="3">
        <v>143639</v>
      </c>
      <c r="T25" s="14">
        <v>507590.40000000002</v>
      </c>
      <c r="U25" s="13">
        <f t="shared" si="0"/>
        <v>366.54390520680317</v>
      </c>
      <c r="V25" s="3" t="str">
        <f t="shared" si="1"/>
        <v>Normal</v>
      </c>
      <c r="W25" s="3" t="str" cm="1">
        <f t="array" ref="W25">_xlfn.IFS(
AND(D25="VIP",R25&gt;=4),"VIP Loyalty",
AND(D25="Premium",R25&gt;=4),"Premium Loyalty",
AND(D25="Regular",R25&gt;=4),"Regular Loyalty",
TRUE,"Need Improvement"
)</f>
        <v>VIP Loyalty</v>
      </c>
      <c r="X25" s="3" t="str">
        <f t="shared" si="2"/>
        <v>Alert</v>
      </c>
      <c r="Y25" s="3" t="str" cm="1">
        <f t="array" ref="Y25">_xlfn.IFS(
U25&gt;120,"A",
U25&gt;=100,"B",
U25&gt;=80,"C",
TRUE,"D"
)</f>
        <v>A</v>
      </c>
      <c r="Z25" s="14" t="str" cm="1">
        <f t="array" ref="Z25">_xlfn.IFS(
AND(M25&gt;20000,R25&gt;=4),"Green",
M25&gt;10000,"Yellow",
TRUE,"Red"
)</f>
        <v>Green</v>
      </c>
    </row>
    <row r="26" spans="1:26" x14ac:dyDescent="0.3">
      <c r="A26" s="3" t="s">
        <v>102</v>
      </c>
      <c r="B26" s="3" t="s">
        <v>103</v>
      </c>
      <c r="C26" s="3" t="s">
        <v>77</v>
      </c>
      <c r="D26" s="3" t="s">
        <v>23</v>
      </c>
      <c r="E26" s="3" t="s">
        <v>24</v>
      </c>
      <c r="F26" s="3" t="s">
        <v>70</v>
      </c>
      <c r="G26" s="3" t="s">
        <v>80</v>
      </c>
      <c r="H26" s="3" t="s">
        <v>36</v>
      </c>
      <c r="I26" s="3">
        <v>4</v>
      </c>
      <c r="J26" s="3">
        <v>1200</v>
      </c>
      <c r="K26" s="3">
        <v>0</v>
      </c>
      <c r="L26" s="3">
        <v>4800</v>
      </c>
      <c r="M26" s="3">
        <v>1491.21</v>
      </c>
      <c r="N26" s="3">
        <v>28</v>
      </c>
      <c r="O26" s="3">
        <v>7</v>
      </c>
      <c r="P26" s="3" t="s">
        <v>67</v>
      </c>
      <c r="Q26" s="3" t="s">
        <v>37</v>
      </c>
      <c r="R26" s="3">
        <v>1</v>
      </c>
      <c r="S26" s="3">
        <v>45429</v>
      </c>
      <c r="T26" s="14">
        <v>5032.3999999999996</v>
      </c>
      <c r="U26" s="13">
        <f t="shared" si="0"/>
        <v>10.56593805718814</v>
      </c>
      <c r="V26" s="3" t="str">
        <f t="shared" si="1"/>
        <v>Normal</v>
      </c>
      <c r="W26" s="3" t="str" cm="1">
        <f t="array" ref="W26">_xlfn.IFS(
AND(D26="VIP",R26&gt;=4),"VIP Loyalty",
AND(D26="Premium",R26&gt;=4),"Premium Loyalty",
AND(D26="Regular",R26&gt;=4),"Regular Loyalty",
TRUE,"Need Improvement"
)</f>
        <v>Need Improvement</v>
      </c>
      <c r="X26" s="3" t="str">
        <f t="shared" si="2"/>
        <v>Alert</v>
      </c>
      <c r="Y26" s="3" t="str" cm="1">
        <f t="array" ref="Y26">_xlfn.IFS(
U26&gt;120,"A",
U26&gt;=100,"B",
U26&gt;=80,"C",
TRUE,"D"
)</f>
        <v>D</v>
      </c>
      <c r="Z26" s="14" t="str" cm="1">
        <f t="array" ref="Z26">_xlfn.IFS(
AND(M26&gt;20000,R26&gt;=4),"Green",
M26&gt;10000,"Yellow",
TRUE,"Red"
)</f>
        <v>Red</v>
      </c>
    </row>
    <row r="27" spans="1:26" x14ac:dyDescent="0.3">
      <c r="A27" s="3" t="s">
        <v>104</v>
      </c>
      <c r="B27" s="3" t="s">
        <v>105</v>
      </c>
      <c r="C27" s="3" t="s">
        <v>79</v>
      </c>
      <c r="D27" s="3" t="s">
        <v>47</v>
      </c>
      <c r="E27" s="3" t="s">
        <v>48</v>
      </c>
      <c r="F27" s="3" t="s">
        <v>34</v>
      </c>
      <c r="G27" s="3" t="s">
        <v>42</v>
      </c>
      <c r="H27" s="3" t="s">
        <v>43</v>
      </c>
      <c r="I27" s="3">
        <v>5</v>
      </c>
      <c r="J27" s="3">
        <v>500</v>
      </c>
      <c r="K27" s="3">
        <v>0</v>
      </c>
      <c r="L27" s="3">
        <v>2500</v>
      </c>
      <c r="M27" s="3">
        <v>599.72</v>
      </c>
      <c r="N27" s="3">
        <v>11</v>
      </c>
      <c r="O27" s="3">
        <v>2</v>
      </c>
      <c r="P27" s="3" t="s">
        <v>28</v>
      </c>
      <c r="Q27" s="3" t="s">
        <v>37</v>
      </c>
      <c r="R27" s="3">
        <v>3</v>
      </c>
      <c r="S27" s="3">
        <v>48512</v>
      </c>
      <c r="T27" s="14">
        <v>2719.1</v>
      </c>
      <c r="U27" s="13">
        <f t="shared" si="0"/>
        <v>5.1533641160949868</v>
      </c>
      <c r="V27" s="3" t="str">
        <f t="shared" si="1"/>
        <v>Normal</v>
      </c>
      <c r="W27" s="3" t="str" cm="1">
        <f t="array" ref="W27">_xlfn.IFS(
AND(D27="VIP",R27&gt;=4),"VIP Loyalty",
AND(D27="Premium",R27&gt;=4),"Premium Loyalty",
AND(D27="Regular",R27&gt;=4),"Regular Loyalty",
TRUE,"Need Improvement"
)</f>
        <v>Need Improvement</v>
      </c>
      <c r="X27" s="3" t="str">
        <f t="shared" si="2"/>
        <v>Alert</v>
      </c>
      <c r="Y27" s="3" t="str" cm="1">
        <f t="array" ref="Y27">_xlfn.IFS(
U27&gt;120,"A",
U27&gt;=100,"B",
U27&gt;=80,"C",
TRUE,"D"
)</f>
        <v>D</v>
      </c>
      <c r="Z27" s="14" t="str" cm="1">
        <f t="array" ref="Z27">_xlfn.IFS(
AND(M27&gt;20000,R27&gt;=4),"Green",
M27&gt;10000,"Yellow",
TRUE,"Red"
)</f>
        <v>Red</v>
      </c>
    </row>
    <row r="28" spans="1:26" x14ac:dyDescent="0.3">
      <c r="A28" s="3" t="s">
        <v>106</v>
      </c>
      <c r="B28" s="3" t="s">
        <v>105</v>
      </c>
      <c r="C28" s="3" t="s">
        <v>51</v>
      </c>
      <c r="D28" s="3" t="s">
        <v>23</v>
      </c>
      <c r="E28" s="3" t="s">
        <v>57</v>
      </c>
      <c r="F28" s="3" t="s">
        <v>25</v>
      </c>
      <c r="G28" s="3" t="s">
        <v>26</v>
      </c>
      <c r="H28" s="3" t="s">
        <v>27</v>
      </c>
      <c r="I28" s="3">
        <v>6</v>
      </c>
      <c r="J28" s="3">
        <v>15000</v>
      </c>
      <c r="K28" s="3">
        <v>5</v>
      </c>
      <c r="L28" s="3">
        <v>85500</v>
      </c>
      <c r="M28" s="3">
        <v>15768.3</v>
      </c>
      <c r="N28" s="3">
        <v>4</v>
      </c>
      <c r="O28" s="3">
        <v>1</v>
      </c>
      <c r="P28" s="3" t="s">
        <v>59</v>
      </c>
      <c r="Q28" s="3" t="s">
        <v>37</v>
      </c>
      <c r="R28" s="3">
        <v>5</v>
      </c>
      <c r="S28" s="3">
        <v>131477</v>
      </c>
      <c r="T28" s="14">
        <v>90164.43</v>
      </c>
      <c r="U28" s="13">
        <f t="shared" si="0"/>
        <v>65.030385542718491</v>
      </c>
      <c r="V28" s="3" t="str">
        <f t="shared" si="1"/>
        <v>Normal</v>
      </c>
      <c r="W28" s="3" t="str" cm="1">
        <f t="array" ref="W28">_xlfn.IFS(
AND(D28="VIP",R28&gt;=4),"VIP Loyalty",
AND(D28="Premium",R28&gt;=4),"Premium Loyalty",
AND(D28="Regular",R28&gt;=4),"Regular Loyalty",
TRUE,"Need Improvement"
)</f>
        <v>VIP Loyalty</v>
      </c>
      <c r="X28" s="3" t="str">
        <f t="shared" si="2"/>
        <v>Alert</v>
      </c>
      <c r="Y28" s="3" t="str" cm="1">
        <f t="array" ref="Y28">_xlfn.IFS(
U28&gt;120,"A",
U28&gt;=100,"B",
U28&gt;=80,"C",
TRUE,"D"
)</f>
        <v>D</v>
      </c>
      <c r="Z28" s="14" t="str" cm="1">
        <f t="array" ref="Z28">_xlfn.IFS(
AND(M28&gt;20000,R28&gt;=4),"Green",
M28&gt;10000,"Yellow",
TRUE,"Red"
)</f>
        <v>Yellow</v>
      </c>
    </row>
    <row r="29" spans="1:26" x14ac:dyDescent="0.3">
      <c r="A29" s="3" t="s">
        <v>107</v>
      </c>
      <c r="B29" s="3" t="s">
        <v>108</v>
      </c>
      <c r="C29" s="3" t="s">
        <v>22</v>
      </c>
      <c r="D29" s="3" t="s">
        <v>23</v>
      </c>
      <c r="E29" s="3" t="s">
        <v>57</v>
      </c>
      <c r="F29" s="3" t="s">
        <v>58</v>
      </c>
      <c r="G29" s="3" t="s">
        <v>53</v>
      </c>
      <c r="H29" s="3" t="s">
        <v>43</v>
      </c>
      <c r="I29" s="3">
        <v>7</v>
      </c>
      <c r="J29" s="3">
        <v>8000</v>
      </c>
      <c r="K29" s="3">
        <v>10</v>
      </c>
      <c r="L29" s="3">
        <v>50400</v>
      </c>
      <c r="M29" s="3">
        <v>-2262.5</v>
      </c>
      <c r="N29" s="3">
        <v>3</v>
      </c>
      <c r="O29" s="3">
        <v>7</v>
      </c>
      <c r="P29" s="3" t="s">
        <v>28</v>
      </c>
      <c r="Q29" s="3" t="s">
        <v>29</v>
      </c>
      <c r="R29" s="3">
        <v>2</v>
      </c>
      <c r="S29" s="3">
        <v>99353</v>
      </c>
      <c r="T29" s="14">
        <v>47719.85</v>
      </c>
      <c r="U29" s="13">
        <f t="shared" si="0"/>
        <v>50.728211528589974</v>
      </c>
      <c r="V29" s="3" t="str">
        <f t="shared" si="1"/>
        <v>Normal</v>
      </c>
      <c r="W29" s="3" t="str" cm="1">
        <f t="array" ref="W29">_xlfn.IFS(
AND(D29="VIP",R29&gt;=4),"VIP Loyalty",
AND(D29="Premium",R29&gt;=4),"Premium Loyalty",
AND(D29="Regular",R29&gt;=4),"Regular Loyalty",
TRUE,"Need Improvement"
)</f>
        <v>Need Improvement</v>
      </c>
      <c r="X29" s="3" t="str">
        <f t="shared" si="2"/>
        <v>Alert</v>
      </c>
      <c r="Y29" s="3" t="str" cm="1">
        <f t="array" ref="Y29">_xlfn.IFS(
U29&gt;120,"A",
U29&gt;=100,"B",
U29&gt;=80,"C",
TRUE,"D"
)</f>
        <v>D</v>
      </c>
      <c r="Z29" s="14" t="str" cm="1">
        <f t="array" ref="Z29">_xlfn.IFS(
AND(M29&gt;20000,R29&gt;=4),"Green",
M29&gt;10000,"Yellow",
TRUE,"Red"
)</f>
        <v>Red</v>
      </c>
    </row>
    <row r="30" spans="1:26" x14ac:dyDescent="0.3">
      <c r="A30" s="3" t="s">
        <v>109</v>
      </c>
      <c r="B30" s="3" t="s">
        <v>110</v>
      </c>
      <c r="C30" s="3" t="s">
        <v>22</v>
      </c>
      <c r="D30" s="3" t="s">
        <v>23</v>
      </c>
      <c r="E30" s="3" t="s">
        <v>24</v>
      </c>
      <c r="F30" s="3" t="s">
        <v>70</v>
      </c>
      <c r="G30" s="3" t="s">
        <v>53</v>
      </c>
      <c r="H30" s="3" t="s">
        <v>43</v>
      </c>
      <c r="I30" s="3">
        <v>8</v>
      </c>
      <c r="J30" s="3">
        <v>500</v>
      </c>
      <c r="K30" s="3">
        <v>15</v>
      </c>
      <c r="L30" s="3">
        <v>3400</v>
      </c>
      <c r="M30" s="3">
        <v>0.1</v>
      </c>
      <c r="N30" s="3">
        <v>65</v>
      </c>
      <c r="O30" s="3">
        <v>2</v>
      </c>
      <c r="P30" s="3" t="s">
        <v>44</v>
      </c>
      <c r="Q30" s="3" t="s">
        <v>29</v>
      </c>
      <c r="R30" s="3">
        <v>1</v>
      </c>
      <c r="S30" s="3">
        <v>133638</v>
      </c>
      <c r="T30" s="14">
        <v>3643.81</v>
      </c>
      <c r="U30" s="13">
        <f t="shared" si="0"/>
        <v>2.5441865337703349</v>
      </c>
      <c r="V30" s="3" t="str">
        <f t="shared" si="1"/>
        <v>Normal</v>
      </c>
      <c r="W30" s="3" t="str" cm="1">
        <f t="array" ref="W30">_xlfn.IFS(
AND(D30="VIP",R30&gt;=4),"VIP Loyalty",
AND(D30="Premium",R30&gt;=4),"Premium Loyalty",
AND(D30="Regular",R30&gt;=4),"Regular Loyalty",
TRUE,"Need Improvement"
)</f>
        <v>Need Improvement</v>
      </c>
      <c r="X30" s="3" t="str">
        <f t="shared" si="2"/>
        <v>Not Alert</v>
      </c>
      <c r="Y30" s="3" t="str" cm="1">
        <f t="array" ref="Y30">_xlfn.IFS(
U30&gt;120,"A",
U30&gt;=100,"B",
U30&gt;=80,"C",
TRUE,"D"
)</f>
        <v>D</v>
      </c>
      <c r="Z30" s="14" t="str" cm="1">
        <f t="array" ref="Z30">_xlfn.IFS(
AND(M30&gt;20000,R30&gt;=4),"Green",
M30&gt;10000,"Yellow",
TRUE,"Red"
)</f>
        <v>Red</v>
      </c>
    </row>
    <row r="31" spans="1:26" x14ac:dyDescent="0.3">
      <c r="A31" s="3" t="s">
        <v>111</v>
      </c>
      <c r="B31" s="3" t="s">
        <v>112</v>
      </c>
      <c r="C31" s="3" t="s">
        <v>51</v>
      </c>
      <c r="D31" s="3" t="s">
        <v>47</v>
      </c>
      <c r="E31" s="3" t="s">
        <v>24</v>
      </c>
      <c r="F31" s="3" t="s">
        <v>25</v>
      </c>
      <c r="G31" s="3" t="s">
        <v>35</v>
      </c>
      <c r="H31" s="3" t="s">
        <v>36</v>
      </c>
      <c r="I31" s="3">
        <v>2</v>
      </c>
      <c r="J31" s="3">
        <v>45000</v>
      </c>
      <c r="K31" s="3">
        <v>5</v>
      </c>
      <c r="L31" s="3">
        <v>85500</v>
      </c>
      <c r="M31" s="3">
        <v>20503.240000000002</v>
      </c>
      <c r="N31" s="3">
        <v>60</v>
      </c>
      <c r="O31" s="3">
        <v>1</v>
      </c>
      <c r="P31" s="3" t="s">
        <v>44</v>
      </c>
      <c r="Q31" s="3" t="s">
        <v>29</v>
      </c>
      <c r="R31" s="3">
        <v>1</v>
      </c>
      <c r="S31" s="3">
        <v>39652</v>
      </c>
      <c r="T31" s="14">
        <v>90343.98</v>
      </c>
      <c r="U31" s="13">
        <f t="shared" si="0"/>
        <v>215.62594572783215</v>
      </c>
      <c r="V31" s="3" t="str">
        <f t="shared" si="1"/>
        <v>Normal</v>
      </c>
      <c r="W31" s="3" t="str" cm="1">
        <f t="array" ref="W31">_xlfn.IFS(
AND(D31="VIP",R31&gt;=4),"VIP Loyalty",
AND(D31="Premium",R31&gt;=4),"Premium Loyalty",
AND(D31="Regular",R31&gt;=4),"Regular Loyalty",
TRUE,"Need Improvement"
)</f>
        <v>Need Improvement</v>
      </c>
      <c r="X31" s="3" t="str">
        <f t="shared" si="2"/>
        <v>Not Alert</v>
      </c>
      <c r="Y31" s="3" t="str" cm="1">
        <f t="array" ref="Y31">_xlfn.IFS(
U31&gt;120,"A",
U31&gt;=100,"B",
U31&gt;=80,"C",
TRUE,"D"
)</f>
        <v>A</v>
      </c>
      <c r="Z31" s="14" t="str" cm="1">
        <f t="array" ref="Z31">_xlfn.IFS(
AND(M31&gt;20000,R31&gt;=4),"Green",
M31&gt;10000,"Yellow",
TRUE,"Red"
)</f>
        <v>Yellow</v>
      </c>
    </row>
    <row r="32" spans="1:26" x14ac:dyDescent="0.3">
      <c r="A32" s="3" t="s">
        <v>113</v>
      </c>
      <c r="B32" s="3" t="s">
        <v>114</v>
      </c>
      <c r="C32" s="3" t="s">
        <v>77</v>
      </c>
      <c r="D32" s="3" t="s">
        <v>33</v>
      </c>
      <c r="E32" s="3" t="s">
        <v>57</v>
      </c>
      <c r="F32" s="3" t="s">
        <v>34</v>
      </c>
      <c r="G32" s="3" t="s">
        <v>80</v>
      </c>
      <c r="H32" s="3" t="s">
        <v>36</v>
      </c>
      <c r="I32" s="3">
        <v>1</v>
      </c>
      <c r="J32" s="3">
        <v>45000</v>
      </c>
      <c r="K32" s="3">
        <v>10</v>
      </c>
      <c r="L32" s="3">
        <v>40500</v>
      </c>
      <c r="M32" s="3">
        <v>13451.25</v>
      </c>
      <c r="N32" s="3">
        <v>99</v>
      </c>
      <c r="O32" s="3">
        <v>10</v>
      </c>
      <c r="P32" s="3" t="s">
        <v>67</v>
      </c>
      <c r="Q32" s="3" t="s">
        <v>29</v>
      </c>
      <c r="R32" s="3">
        <v>4</v>
      </c>
      <c r="S32" s="3">
        <v>133203</v>
      </c>
      <c r="T32" s="14">
        <v>40774.160000000003</v>
      </c>
      <c r="U32" s="13">
        <f t="shared" si="0"/>
        <v>30.404720614400578</v>
      </c>
      <c r="V32" s="3" t="str">
        <f t="shared" si="1"/>
        <v>Normal</v>
      </c>
      <c r="W32" s="3" t="str" cm="1">
        <f t="array" ref="W32">_xlfn.IFS(
AND(D32="VIP",R32&gt;=4),"VIP Loyalty",
AND(D32="Premium",R32&gt;=4),"Premium Loyalty",
AND(D32="Regular",R32&gt;=4),"Regular Loyalty",
TRUE,"Need Improvement"
)</f>
        <v>Regular Loyalty</v>
      </c>
      <c r="X32" s="3" t="str">
        <f t="shared" si="2"/>
        <v>Alert</v>
      </c>
      <c r="Y32" s="3" t="str" cm="1">
        <f t="array" ref="Y32">_xlfn.IFS(
U32&gt;120,"A",
U32&gt;=100,"B",
U32&gt;=80,"C",
TRUE,"D"
)</f>
        <v>D</v>
      </c>
      <c r="Z32" s="14" t="str" cm="1">
        <f t="array" ref="Z32">_xlfn.IFS(
AND(M32&gt;20000,R32&gt;=4),"Green",
M32&gt;10000,"Yellow",
TRUE,"Red"
)</f>
        <v>Yellow</v>
      </c>
    </row>
    <row r="33" spans="1:26" x14ac:dyDescent="0.3">
      <c r="A33" s="3" t="s">
        <v>115</v>
      </c>
      <c r="B33" s="3" t="s">
        <v>50</v>
      </c>
      <c r="C33" s="3" t="s">
        <v>77</v>
      </c>
      <c r="D33" s="3" t="s">
        <v>33</v>
      </c>
      <c r="E33" s="3" t="s">
        <v>24</v>
      </c>
      <c r="F33" s="3" t="s">
        <v>70</v>
      </c>
      <c r="G33" s="3" t="s">
        <v>53</v>
      </c>
      <c r="H33" s="3" t="s">
        <v>43</v>
      </c>
      <c r="I33" s="3">
        <v>5</v>
      </c>
      <c r="J33" s="3">
        <v>3500</v>
      </c>
      <c r="K33" s="3">
        <v>20</v>
      </c>
      <c r="L33" s="3">
        <v>14000</v>
      </c>
      <c r="M33" s="3">
        <v>-305.06</v>
      </c>
      <c r="N33" s="3">
        <v>94</v>
      </c>
      <c r="O33" s="3">
        <v>6</v>
      </c>
      <c r="P33" s="3" t="s">
        <v>67</v>
      </c>
      <c r="Q33" s="3" t="s">
        <v>29</v>
      </c>
      <c r="R33" s="3">
        <v>1</v>
      </c>
      <c r="S33" s="3">
        <v>41754</v>
      </c>
      <c r="T33" s="14">
        <v>11516.25</v>
      </c>
      <c r="U33" s="13">
        <f t="shared" si="0"/>
        <v>33.52972170330986</v>
      </c>
      <c r="V33" s="3" t="str">
        <f t="shared" si="1"/>
        <v>Normal</v>
      </c>
      <c r="W33" s="3" t="str" cm="1">
        <f t="array" ref="W33">_xlfn.IFS(
AND(D33="VIP",R33&gt;=4),"VIP Loyalty",
AND(D33="Premium",R33&gt;=4),"Premium Loyalty",
AND(D33="Regular",R33&gt;=4),"Regular Loyalty",
TRUE,"Need Improvement"
)</f>
        <v>Need Improvement</v>
      </c>
      <c r="X33" s="3" t="str">
        <f t="shared" si="2"/>
        <v>Not Alert</v>
      </c>
      <c r="Y33" s="3" t="str" cm="1">
        <f t="array" ref="Y33">_xlfn.IFS(
U33&gt;120,"A",
U33&gt;=100,"B",
U33&gt;=80,"C",
TRUE,"D"
)</f>
        <v>D</v>
      </c>
      <c r="Z33" s="14" t="str" cm="1">
        <f t="array" ref="Z33">_xlfn.IFS(
AND(M33&gt;20000,R33&gt;=4),"Green",
M33&gt;10000,"Yellow",
TRUE,"Red"
)</f>
        <v>Red</v>
      </c>
    </row>
    <row r="34" spans="1:26" x14ac:dyDescent="0.3">
      <c r="A34" s="3" t="s">
        <v>116</v>
      </c>
      <c r="B34" s="3" t="s">
        <v>117</v>
      </c>
      <c r="C34" s="3" t="s">
        <v>51</v>
      </c>
      <c r="D34" s="3" t="s">
        <v>47</v>
      </c>
      <c r="E34" s="3" t="s">
        <v>48</v>
      </c>
      <c r="F34" s="3" t="s">
        <v>70</v>
      </c>
      <c r="G34" s="3" t="s">
        <v>26</v>
      </c>
      <c r="H34" s="3" t="s">
        <v>27</v>
      </c>
      <c r="I34" s="3">
        <v>10</v>
      </c>
      <c r="J34" s="3">
        <v>45000</v>
      </c>
      <c r="K34" s="3">
        <v>20</v>
      </c>
      <c r="L34" s="3">
        <v>360000</v>
      </c>
      <c r="M34" s="3">
        <v>6498.18</v>
      </c>
      <c r="N34" s="3">
        <v>100</v>
      </c>
      <c r="O34" s="3">
        <v>7</v>
      </c>
      <c r="P34" s="3" t="s">
        <v>67</v>
      </c>
      <c r="Q34" s="3" t="s">
        <v>29</v>
      </c>
      <c r="R34" s="3">
        <v>2</v>
      </c>
      <c r="S34" s="3">
        <v>117623</v>
      </c>
      <c r="T34" s="14">
        <v>394047.61</v>
      </c>
      <c r="U34" s="13">
        <f t="shared" si="0"/>
        <v>306.06258979961399</v>
      </c>
      <c r="V34" s="3" t="str">
        <f t="shared" si="1"/>
        <v>Normal</v>
      </c>
      <c r="W34" s="3" t="str" cm="1">
        <f t="array" ref="W34">_xlfn.IFS(
AND(D34="VIP",R34&gt;=4),"VIP Loyalty",
AND(D34="Premium",R34&gt;=4),"Premium Loyalty",
AND(D34="Regular",R34&gt;=4),"Regular Loyalty",
TRUE,"Need Improvement"
)</f>
        <v>Need Improvement</v>
      </c>
      <c r="X34" s="3" t="str">
        <f t="shared" si="2"/>
        <v>Not Alert</v>
      </c>
      <c r="Y34" s="3" t="str" cm="1">
        <f t="array" ref="Y34">_xlfn.IFS(
U34&gt;120,"A",
U34&gt;=100,"B",
U34&gt;=80,"C",
TRUE,"D"
)</f>
        <v>A</v>
      </c>
      <c r="Z34" s="14" t="str" cm="1">
        <f t="array" ref="Z34">_xlfn.IFS(
AND(M34&gt;20000,R34&gt;=4),"Green",
M34&gt;10000,"Yellow",
TRUE,"Red"
)</f>
        <v>Red</v>
      </c>
    </row>
    <row r="35" spans="1:26" x14ac:dyDescent="0.3">
      <c r="A35" s="3" t="s">
        <v>118</v>
      </c>
      <c r="B35" s="3" t="s">
        <v>119</v>
      </c>
      <c r="C35" s="3" t="s">
        <v>32</v>
      </c>
      <c r="D35" s="3" t="s">
        <v>33</v>
      </c>
      <c r="E35" s="3" t="s">
        <v>41</v>
      </c>
      <c r="F35" s="3" t="s">
        <v>25</v>
      </c>
      <c r="G35" s="3" t="s">
        <v>26</v>
      </c>
      <c r="H35" s="3" t="s">
        <v>27</v>
      </c>
      <c r="I35" s="3">
        <v>1</v>
      </c>
      <c r="J35" s="3">
        <v>3500</v>
      </c>
      <c r="K35" s="3">
        <v>10</v>
      </c>
      <c r="L35" s="3">
        <v>3150</v>
      </c>
      <c r="M35" s="3">
        <v>509.87</v>
      </c>
      <c r="N35" s="3">
        <v>89</v>
      </c>
      <c r="O35" s="3">
        <v>10</v>
      </c>
      <c r="P35" s="3" t="s">
        <v>28</v>
      </c>
      <c r="Q35" s="3" t="s">
        <v>29</v>
      </c>
      <c r="R35" s="3">
        <v>5</v>
      </c>
      <c r="S35" s="3">
        <v>29904</v>
      </c>
      <c r="T35" s="14">
        <v>2859.85</v>
      </c>
      <c r="U35" s="13">
        <f t="shared" si="0"/>
        <v>10.533707865168539</v>
      </c>
      <c r="V35" s="3" t="str">
        <f t="shared" si="1"/>
        <v>Normal</v>
      </c>
      <c r="W35" s="3" t="str" cm="1">
        <f t="array" ref="W35">_xlfn.IFS(
AND(D35="VIP",R35&gt;=4),"VIP Loyalty",
AND(D35="Premium",R35&gt;=4),"Premium Loyalty",
AND(D35="Regular",R35&gt;=4),"Regular Loyalty",
TRUE,"Need Improvement"
)</f>
        <v>Regular Loyalty</v>
      </c>
      <c r="X35" s="3" t="str">
        <f t="shared" si="2"/>
        <v>Alert</v>
      </c>
      <c r="Y35" s="3" t="str" cm="1">
        <f t="array" ref="Y35">_xlfn.IFS(
U35&gt;120,"A",
U35&gt;=100,"B",
U35&gt;=80,"C",
TRUE,"D"
)</f>
        <v>D</v>
      </c>
      <c r="Z35" s="14" t="str" cm="1">
        <f t="array" ref="Z35">_xlfn.IFS(
AND(M35&gt;20000,R35&gt;=4),"Green",
M35&gt;10000,"Yellow",
TRUE,"Red"
)</f>
        <v>Red</v>
      </c>
    </row>
    <row r="36" spans="1:26" x14ac:dyDescent="0.3">
      <c r="A36" s="3" t="s">
        <v>120</v>
      </c>
      <c r="B36" s="3" t="s">
        <v>121</v>
      </c>
      <c r="C36" s="3" t="s">
        <v>40</v>
      </c>
      <c r="D36" s="3" t="s">
        <v>33</v>
      </c>
      <c r="E36" s="3" t="s">
        <v>48</v>
      </c>
      <c r="F36" s="3" t="s">
        <v>34</v>
      </c>
      <c r="G36" s="3" t="s">
        <v>53</v>
      </c>
      <c r="H36" s="3" t="s">
        <v>43</v>
      </c>
      <c r="I36" s="3">
        <v>8</v>
      </c>
      <c r="J36" s="3">
        <v>45000</v>
      </c>
      <c r="K36" s="3">
        <v>5</v>
      </c>
      <c r="L36" s="3">
        <v>342000</v>
      </c>
      <c r="M36" s="3">
        <v>90433.11</v>
      </c>
      <c r="N36" s="3">
        <v>60</v>
      </c>
      <c r="O36" s="3">
        <v>3</v>
      </c>
      <c r="P36" s="3" t="s">
        <v>28</v>
      </c>
      <c r="Q36" s="3" t="s">
        <v>37</v>
      </c>
      <c r="R36" s="3">
        <v>1</v>
      </c>
      <c r="S36" s="3">
        <v>74842</v>
      </c>
      <c r="T36" s="14">
        <v>329549.21999999997</v>
      </c>
      <c r="U36" s="13">
        <f t="shared" si="0"/>
        <v>456.96266802063013</v>
      </c>
      <c r="V36" s="3" t="str">
        <f t="shared" si="1"/>
        <v>Possible Fraud</v>
      </c>
      <c r="W36" s="3" t="str" cm="1">
        <f t="array" ref="W36">_xlfn.IFS(
AND(D36="VIP",R36&gt;=4),"VIP Loyalty",
AND(D36="Premium",R36&gt;=4),"Premium Loyalty",
AND(D36="Regular",R36&gt;=4),"Regular Loyalty",
TRUE,"Need Improvement"
)</f>
        <v>Need Improvement</v>
      </c>
      <c r="X36" s="3" t="str">
        <f t="shared" si="2"/>
        <v>Alert</v>
      </c>
      <c r="Y36" s="3" t="str" cm="1">
        <f t="array" ref="Y36">_xlfn.IFS(
U36&gt;120,"A",
U36&gt;=100,"B",
U36&gt;=80,"C",
TRUE,"D"
)</f>
        <v>A</v>
      </c>
      <c r="Z36" s="14" t="str" cm="1">
        <f t="array" ref="Z36">_xlfn.IFS(
AND(M36&gt;20000,R36&gt;=4),"Green",
M36&gt;10000,"Yellow",
TRUE,"Red"
)</f>
        <v>Yellow</v>
      </c>
    </row>
    <row r="37" spans="1:26" x14ac:dyDescent="0.3">
      <c r="A37" s="3" t="s">
        <v>122</v>
      </c>
      <c r="B37" s="3" t="s">
        <v>123</v>
      </c>
      <c r="C37" s="3" t="s">
        <v>85</v>
      </c>
      <c r="D37" s="3" t="s">
        <v>23</v>
      </c>
      <c r="E37" s="3" t="s">
        <v>41</v>
      </c>
      <c r="F37" s="3" t="s">
        <v>34</v>
      </c>
      <c r="G37" s="3" t="s">
        <v>53</v>
      </c>
      <c r="H37" s="3" t="s">
        <v>43</v>
      </c>
      <c r="I37" s="3">
        <v>7</v>
      </c>
      <c r="J37" s="3">
        <v>45000</v>
      </c>
      <c r="K37" s="3">
        <v>20</v>
      </c>
      <c r="L37" s="3">
        <v>252000</v>
      </c>
      <c r="M37" s="3">
        <v>72242.14</v>
      </c>
      <c r="N37" s="3">
        <v>67</v>
      </c>
      <c r="O37" s="3">
        <v>6</v>
      </c>
      <c r="P37" s="3" t="s">
        <v>44</v>
      </c>
      <c r="Q37" s="3" t="s">
        <v>29</v>
      </c>
      <c r="R37" s="3">
        <v>1</v>
      </c>
      <c r="S37" s="3">
        <v>49967</v>
      </c>
      <c r="T37" s="14">
        <v>219729.33</v>
      </c>
      <c r="U37" s="13">
        <f t="shared" si="0"/>
        <v>504.33285968739369</v>
      </c>
      <c r="V37" s="3" t="str">
        <f t="shared" si="1"/>
        <v>Normal</v>
      </c>
      <c r="W37" s="3" t="str" cm="1">
        <f t="array" ref="W37">_xlfn.IFS(
AND(D37="VIP",R37&gt;=4),"VIP Loyalty",
AND(D37="Premium",R37&gt;=4),"Premium Loyalty",
AND(D37="Regular",R37&gt;=4),"Regular Loyalty",
TRUE,"Need Improvement"
)</f>
        <v>Need Improvement</v>
      </c>
      <c r="X37" s="3" t="str">
        <f t="shared" si="2"/>
        <v>Not Alert</v>
      </c>
      <c r="Y37" s="3" t="str" cm="1">
        <f t="array" ref="Y37">_xlfn.IFS(
U37&gt;120,"A",
U37&gt;=100,"B",
U37&gt;=80,"C",
TRUE,"D"
)</f>
        <v>A</v>
      </c>
      <c r="Z37" s="14" t="str" cm="1">
        <f t="array" ref="Z37">_xlfn.IFS(
AND(M37&gt;20000,R37&gt;=4),"Green",
M37&gt;10000,"Yellow",
TRUE,"Red"
)</f>
        <v>Yellow</v>
      </c>
    </row>
    <row r="38" spans="1:26" x14ac:dyDescent="0.3">
      <c r="A38" s="3" t="s">
        <v>124</v>
      </c>
      <c r="B38" s="3" t="s">
        <v>125</v>
      </c>
      <c r="C38" s="3" t="s">
        <v>77</v>
      </c>
      <c r="D38" s="3" t="s">
        <v>23</v>
      </c>
      <c r="E38" s="3" t="s">
        <v>48</v>
      </c>
      <c r="F38" s="3" t="s">
        <v>25</v>
      </c>
      <c r="G38" s="3" t="s">
        <v>26</v>
      </c>
      <c r="H38" s="3" t="s">
        <v>27</v>
      </c>
      <c r="I38" s="3">
        <v>7</v>
      </c>
      <c r="J38" s="3">
        <v>45000</v>
      </c>
      <c r="K38" s="3">
        <v>5</v>
      </c>
      <c r="L38" s="3">
        <v>299250</v>
      </c>
      <c r="M38" s="3">
        <v>-3977.36</v>
      </c>
      <c r="N38" s="3">
        <v>60</v>
      </c>
      <c r="O38" s="3">
        <v>8</v>
      </c>
      <c r="P38" s="3" t="s">
        <v>59</v>
      </c>
      <c r="Q38" s="3" t="s">
        <v>37</v>
      </c>
      <c r="R38" s="3">
        <v>1</v>
      </c>
      <c r="S38" s="3">
        <v>86849</v>
      </c>
      <c r="T38" s="14">
        <v>335366.17</v>
      </c>
      <c r="U38" s="13">
        <f t="shared" si="0"/>
        <v>344.56355283307812</v>
      </c>
      <c r="V38" s="3" t="str">
        <f t="shared" si="1"/>
        <v>Normal</v>
      </c>
      <c r="W38" s="3" t="str" cm="1">
        <f t="array" ref="W38">_xlfn.IFS(
AND(D38="VIP",R38&gt;=4),"VIP Loyalty",
AND(D38="Premium",R38&gt;=4),"Premium Loyalty",
AND(D38="Regular",R38&gt;=4),"Regular Loyalty",
TRUE,"Need Improvement"
)</f>
        <v>Need Improvement</v>
      </c>
      <c r="X38" s="3" t="str">
        <f t="shared" si="2"/>
        <v>Alert</v>
      </c>
      <c r="Y38" s="3" t="str" cm="1">
        <f t="array" ref="Y38">_xlfn.IFS(
U38&gt;120,"A",
U38&gt;=100,"B",
U38&gt;=80,"C",
TRUE,"D"
)</f>
        <v>A</v>
      </c>
      <c r="Z38" s="14" t="str" cm="1">
        <f t="array" ref="Z38">_xlfn.IFS(
AND(M38&gt;20000,R38&gt;=4),"Green",
M38&gt;10000,"Yellow",
TRUE,"Red"
)</f>
        <v>Red</v>
      </c>
    </row>
    <row r="39" spans="1:26" x14ac:dyDescent="0.3">
      <c r="A39" s="3" t="s">
        <v>126</v>
      </c>
      <c r="B39" s="3" t="s">
        <v>61</v>
      </c>
      <c r="C39" s="3" t="s">
        <v>77</v>
      </c>
      <c r="D39" s="3" t="s">
        <v>33</v>
      </c>
      <c r="E39" s="3" t="s">
        <v>48</v>
      </c>
      <c r="F39" s="3" t="s">
        <v>70</v>
      </c>
      <c r="G39" s="3" t="s">
        <v>80</v>
      </c>
      <c r="H39" s="3" t="s">
        <v>36</v>
      </c>
      <c r="I39" s="3">
        <v>4</v>
      </c>
      <c r="J39" s="3">
        <v>15000</v>
      </c>
      <c r="K39" s="3">
        <v>20</v>
      </c>
      <c r="L39" s="3">
        <v>48000</v>
      </c>
      <c r="M39" s="3">
        <v>8450.57</v>
      </c>
      <c r="N39" s="3">
        <v>11</v>
      </c>
      <c r="O39" s="3">
        <v>1</v>
      </c>
      <c r="P39" s="3" t="s">
        <v>28</v>
      </c>
      <c r="Q39" s="3" t="s">
        <v>29</v>
      </c>
      <c r="R39" s="3">
        <v>5</v>
      </c>
      <c r="S39" s="3">
        <v>65265</v>
      </c>
      <c r="T39" s="14">
        <v>51474.15</v>
      </c>
      <c r="U39" s="13">
        <f t="shared" si="0"/>
        <v>73.546311192829236</v>
      </c>
      <c r="V39" s="3" t="str">
        <f t="shared" si="1"/>
        <v>Normal</v>
      </c>
      <c r="W39" s="3" t="str" cm="1">
        <f t="array" ref="W39">_xlfn.IFS(
AND(D39="VIP",R39&gt;=4),"VIP Loyalty",
AND(D39="Premium",R39&gt;=4),"Premium Loyalty",
AND(D39="Regular",R39&gt;=4),"Regular Loyalty",
TRUE,"Need Improvement"
)</f>
        <v>Regular Loyalty</v>
      </c>
      <c r="X39" s="3" t="str">
        <f t="shared" si="2"/>
        <v>Not Alert</v>
      </c>
      <c r="Y39" s="3" t="str" cm="1">
        <f t="array" ref="Y39">_xlfn.IFS(
U39&gt;120,"A",
U39&gt;=100,"B",
U39&gt;=80,"C",
TRUE,"D"
)</f>
        <v>D</v>
      </c>
      <c r="Z39" s="14" t="str" cm="1">
        <f t="array" ref="Z39">_xlfn.IFS(
AND(M39&gt;20000,R39&gt;=4),"Green",
M39&gt;10000,"Yellow",
TRUE,"Red"
)</f>
        <v>Red</v>
      </c>
    </row>
    <row r="40" spans="1:26" x14ac:dyDescent="0.3">
      <c r="A40" s="3" t="s">
        <v>127</v>
      </c>
      <c r="B40" s="3" t="s">
        <v>128</v>
      </c>
      <c r="C40" s="3" t="s">
        <v>79</v>
      </c>
      <c r="D40" s="3" t="s">
        <v>23</v>
      </c>
      <c r="E40" s="3" t="s">
        <v>41</v>
      </c>
      <c r="F40" s="3" t="s">
        <v>25</v>
      </c>
      <c r="G40" s="3" t="s">
        <v>26</v>
      </c>
      <c r="H40" s="3" t="s">
        <v>27</v>
      </c>
      <c r="I40" s="3">
        <v>1</v>
      </c>
      <c r="J40" s="3">
        <v>8000</v>
      </c>
      <c r="K40" s="3">
        <v>10</v>
      </c>
      <c r="L40" s="3">
        <v>7200</v>
      </c>
      <c r="M40" s="3">
        <v>1538.42</v>
      </c>
      <c r="N40" s="3">
        <v>87</v>
      </c>
      <c r="O40" s="3">
        <v>10</v>
      </c>
      <c r="P40" s="3" t="s">
        <v>59</v>
      </c>
      <c r="Q40" s="3" t="s">
        <v>29</v>
      </c>
      <c r="R40" s="3">
        <v>2</v>
      </c>
      <c r="S40" s="3">
        <v>50957</v>
      </c>
      <c r="T40" s="14">
        <v>7027.61</v>
      </c>
      <c r="U40" s="13">
        <f t="shared" si="0"/>
        <v>14.129560217438234</v>
      </c>
      <c r="V40" s="3" t="str">
        <f t="shared" si="1"/>
        <v>Normal</v>
      </c>
      <c r="W40" s="3" t="str" cm="1">
        <f t="array" ref="W40">_xlfn.IFS(
AND(D40="VIP",R40&gt;=4),"VIP Loyalty",
AND(D40="Premium",R40&gt;=4),"Premium Loyalty",
AND(D40="Regular",R40&gt;=4),"Regular Loyalty",
TRUE,"Need Improvement"
)</f>
        <v>Need Improvement</v>
      </c>
      <c r="X40" s="3" t="str">
        <f t="shared" si="2"/>
        <v>Alert</v>
      </c>
      <c r="Y40" s="3" t="str" cm="1">
        <f t="array" ref="Y40">_xlfn.IFS(
U40&gt;120,"A",
U40&gt;=100,"B",
U40&gt;=80,"C",
TRUE,"D"
)</f>
        <v>D</v>
      </c>
      <c r="Z40" s="14" t="str" cm="1">
        <f t="array" ref="Z40">_xlfn.IFS(
AND(M40&gt;20000,R40&gt;=4),"Green",
M40&gt;10000,"Yellow",
TRUE,"Red"
)</f>
        <v>Red</v>
      </c>
    </row>
    <row r="41" spans="1:26" x14ac:dyDescent="0.3">
      <c r="A41" s="3" t="s">
        <v>129</v>
      </c>
      <c r="B41" s="3" t="s">
        <v>130</v>
      </c>
      <c r="C41" s="3" t="s">
        <v>40</v>
      </c>
      <c r="D41" s="3" t="s">
        <v>47</v>
      </c>
      <c r="E41" s="3" t="s">
        <v>48</v>
      </c>
      <c r="F41" s="3" t="s">
        <v>58</v>
      </c>
      <c r="G41" s="3" t="s">
        <v>53</v>
      </c>
      <c r="H41" s="3" t="s">
        <v>43</v>
      </c>
      <c r="I41" s="3">
        <v>6</v>
      </c>
      <c r="J41" s="3">
        <v>3500</v>
      </c>
      <c r="K41" s="3">
        <v>10</v>
      </c>
      <c r="L41" s="3">
        <v>18900</v>
      </c>
      <c r="M41" s="3">
        <v>5426.08</v>
      </c>
      <c r="N41" s="3">
        <v>33</v>
      </c>
      <c r="O41" s="3">
        <v>10</v>
      </c>
      <c r="P41" s="3" t="s">
        <v>44</v>
      </c>
      <c r="Q41" s="3" t="s">
        <v>29</v>
      </c>
      <c r="R41" s="3">
        <v>3</v>
      </c>
      <c r="S41" s="3">
        <v>142260</v>
      </c>
      <c r="T41" s="14">
        <v>18375.349999999999</v>
      </c>
      <c r="U41" s="13">
        <f t="shared" si="0"/>
        <v>13.285533530156052</v>
      </c>
      <c r="V41" s="3" t="str">
        <f t="shared" si="1"/>
        <v>Normal</v>
      </c>
      <c r="W41" s="3" t="str" cm="1">
        <f t="array" ref="W41">_xlfn.IFS(
AND(D41="VIP",R41&gt;=4),"VIP Loyalty",
AND(D41="Premium",R41&gt;=4),"Premium Loyalty",
AND(D41="Regular",R41&gt;=4),"Regular Loyalty",
TRUE,"Need Improvement"
)</f>
        <v>Need Improvement</v>
      </c>
      <c r="X41" s="3" t="str">
        <f t="shared" si="2"/>
        <v>Alert</v>
      </c>
      <c r="Y41" s="3" t="str" cm="1">
        <f t="array" ref="Y41">_xlfn.IFS(
U41&gt;120,"A",
U41&gt;=100,"B",
U41&gt;=80,"C",
TRUE,"D"
)</f>
        <v>D</v>
      </c>
      <c r="Z41" s="14" t="str" cm="1">
        <f t="array" ref="Z41">_xlfn.IFS(
AND(M41&gt;20000,R41&gt;=4),"Green",
M41&gt;10000,"Yellow",
TRUE,"Red"
)</f>
        <v>Red</v>
      </c>
    </row>
    <row r="42" spans="1:26" x14ac:dyDescent="0.3">
      <c r="A42" s="3" t="s">
        <v>131</v>
      </c>
      <c r="B42" s="3" t="s">
        <v>132</v>
      </c>
      <c r="C42" s="3" t="s">
        <v>85</v>
      </c>
      <c r="D42" s="3" t="s">
        <v>23</v>
      </c>
      <c r="E42" s="3" t="s">
        <v>48</v>
      </c>
      <c r="F42" s="3" t="s">
        <v>70</v>
      </c>
      <c r="G42" s="3" t="s">
        <v>53</v>
      </c>
      <c r="H42" s="3" t="s">
        <v>43</v>
      </c>
      <c r="I42" s="3">
        <v>2</v>
      </c>
      <c r="J42" s="3">
        <v>1200</v>
      </c>
      <c r="K42" s="3">
        <v>0</v>
      </c>
      <c r="L42" s="3">
        <v>2400</v>
      </c>
      <c r="M42" s="3">
        <v>665.11</v>
      </c>
      <c r="N42" s="3">
        <v>96</v>
      </c>
      <c r="O42" s="3">
        <v>5</v>
      </c>
      <c r="P42" s="3" t="s">
        <v>59</v>
      </c>
      <c r="Q42" s="3" t="s">
        <v>37</v>
      </c>
      <c r="R42" s="3">
        <v>5</v>
      </c>
      <c r="S42" s="3">
        <v>87229</v>
      </c>
      <c r="T42" s="14">
        <v>2305.17</v>
      </c>
      <c r="U42" s="13">
        <f t="shared" si="0"/>
        <v>2.7513785552969772</v>
      </c>
      <c r="V42" s="3" t="str">
        <f t="shared" si="1"/>
        <v>Normal</v>
      </c>
      <c r="W42" s="3" t="str" cm="1">
        <f t="array" ref="W42">_xlfn.IFS(
AND(D42="VIP",R42&gt;=4),"VIP Loyalty",
AND(D42="Premium",R42&gt;=4),"Premium Loyalty",
AND(D42="Regular",R42&gt;=4),"Regular Loyalty",
TRUE,"Need Improvement"
)</f>
        <v>VIP Loyalty</v>
      </c>
      <c r="X42" s="3" t="str">
        <f t="shared" si="2"/>
        <v>Alert</v>
      </c>
      <c r="Y42" s="3" t="str" cm="1">
        <f t="array" ref="Y42">_xlfn.IFS(
U42&gt;120,"A",
U42&gt;=100,"B",
U42&gt;=80,"C",
TRUE,"D"
)</f>
        <v>D</v>
      </c>
      <c r="Z42" s="14" t="str" cm="1">
        <f t="array" ref="Z42">_xlfn.IFS(
AND(M42&gt;20000,R42&gt;=4),"Green",
M42&gt;10000,"Yellow",
TRUE,"Red"
)</f>
        <v>Red</v>
      </c>
    </row>
    <row r="43" spans="1:26" x14ac:dyDescent="0.3">
      <c r="A43" s="3" t="s">
        <v>133</v>
      </c>
      <c r="B43" s="3" t="s">
        <v>134</v>
      </c>
      <c r="C43" s="3" t="s">
        <v>51</v>
      </c>
      <c r="D43" s="3" t="s">
        <v>23</v>
      </c>
      <c r="E43" s="3" t="s">
        <v>41</v>
      </c>
      <c r="F43" s="3" t="s">
        <v>58</v>
      </c>
      <c r="G43" s="3" t="s">
        <v>66</v>
      </c>
      <c r="H43" s="3" t="s">
        <v>27</v>
      </c>
      <c r="I43" s="3">
        <v>6</v>
      </c>
      <c r="J43" s="3">
        <v>8000</v>
      </c>
      <c r="K43" s="3">
        <v>20</v>
      </c>
      <c r="L43" s="3">
        <v>38400</v>
      </c>
      <c r="M43" s="3">
        <v>9753.4500000000007</v>
      </c>
      <c r="N43" s="3">
        <v>39</v>
      </c>
      <c r="O43" s="3">
        <v>10</v>
      </c>
      <c r="P43" s="3" t="s">
        <v>44</v>
      </c>
      <c r="Q43" s="3" t="s">
        <v>37</v>
      </c>
      <c r="R43" s="3">
        <v>5</v>
      </c>
      <c r="S43" s="3">
        <v>118560</v>
      </c>
      <c r="T43" s="14">
        <v>44269.48</v>
      </c>
      <c r="U43" s="13">
        <f t="shared" si="0"/>
        <v>32.388663967611336</v>
      </c>
      <c r="V43" s="3" t="str">
        <f t="shared" si="1"/>
        <v>Normal</v>
      </c>
      <c r="W43" s="3" t="str" cm="1">
        <f t="array" ref="W43">_xlfn.IFS(
AND(D43="VIP",R43&gt;=4),"VIP Loyalty",
AND(D43="Premium",R43&gt;=4),"Premium Loyalty",
AND(D43="Regular",R43&gt;=4),"Regular Loyalty",
TRUE,"Need Improvement"
)</f>
        <v>VIP Loyalty</v>
      </c>
      <c r="X43" s="3" t="str">
        <f t="shared" si="2"/>
        <v>Alert</v>
      </c>
      <c r="Y43" s="3" t="str" cm="1">
        <f t="array" ref="Y43">_xlfn.IFS(
U43&gt;120,"A",
U43&gt;=100,"B",
U43&gt;=80,"C",
TRUE,"D"
)</f>
        <v>D</v>
      </c>
      <c r="Z43" s="14" t="str" cm="1">
        <f t="array" ref="Z43">_xlfn.IFS(
AND(M43&gt;20000,R43&gt;=4),"Green",
M43&gt;10000,"Yellow",
TRUE,"Red"
)</f>
        <v>Red</v>
      </c>
    </row>
    <row r="44" spans="1:26" x14ac:dyDescent="0.3">
      <c r="A44" s="3" t="s">
        <v>135</v>
      </c>
      <c r="B44" s="3" t="s">
        <v>31</v>
      </c>
      <c r="C44" s="3" t="s">
        <v>136</v>
      </c>
      <c r="D44" s="3" t="s">
        <v>23</v>
      </c>
      <c r="E44" s="3" t="s">
        <v>24</v>
      </c>
      <c r="F44" s="3" t="s">
        <v>25</v>
      </c>
      <c r="G44" s="3" t="s">
        <v>42</v>
      </c>
      <c r="H44" s="3" t="s">
        <v>43</v>
      </c>
      <c r="I44" s="3">
        <v>2</v>
      </c>
      <c r="J44" s="3">
        <v>1200</v>
      </c>
      <c r="K44" s="3">
        <v>10</v>
      </c>
      <c r="L44" s="3">
        <v>2160</v>
      </c>
      <c r="M44" s="3">
        <v>292.62</v>
      </c>
      <c r="N44" s="3">
        <v>15</v>
      </c>
      <c r="O44" s="3">
        <v>7</v>
      </c>
      <c r="P44" s="3" t="s">
        <v>44</v>
      </c>
      <c r="Q44" s="3" t="s">
        <v>29</v>
      </c>
      <c r="R44" s="3">
        <v>3</v>
      </c>
      <c r="S44" s="3">
        <v>87612</v>
      </c>
      <c r="T44" s="14">
        <v>2207.94</v>
      </c>
      <c r="U44" s="13">
        <f t="shared" si="0"/>
        <v>2.4654156964799343</v>
      </c>
      <c r="V44" s="3" t="str">
        <f t="shared" si="1"/>
        <v>Normal</v>
      </c>
      <c r="W44" s="3" t="str" cm="1">
        <f t="array" ref="W44">_xlfn.IFS(
AND(D44="VIP",R44&gt;=4),"VIP Loyalty",
AND(D44="Premium",R44&gt;=4),"Premium Loyalty",
AND(D44="Regular",R44&gt;=4),"Regular Loyalty",
TRUE,"Need Improvement"
)</f>
        <v>Need Improvement</v>
      </c>
      <c r="X44" s="3" t="str">
        <f t="shared" si="2"/>
        <v>Not Alert</v>
      </c>
      <c r="Y44" s="3" t="str" cm="1">
        <f t="array" ref="Y44">_xlfn.IFS(
U44&gt;120,"A",
U44&gt;=100,"B",
U44&gt;=80,"C",
TRUE,"D"
)</f>
        <v>D</v>
      </c>
      <c r="Z44" s="14" t="str" cm="1">
        <f t="array" ref="Z44">_xlfn.IFS(
AND(M44&gt;20000,R44&gt;=4),"Green",
M44&gt;10000,"Yellow",
TRUE,"Red"
)</f>
        <v>Red</v>
      </c>
    </row>
    <row r="45" spans="1:26" x14ac:dyDescent="0.3">
      <c r="A45" s="3" t="s">
        <v>137</v>
      </c>
      <c r="B45" s="3" t="s">
        <v>138</v>
      </c>
      <c r="C45" s="3" t="s">
        <v>77</v>
      </c>
      <c r="D45" s="3" t="s">
        <v>33</v>
      </c>
      <c r="E45" s="3" t="s">
        <v>41</v>
      </c>
      <c r="F45" s="3" t="s">
        <v>70</v>
      </c>
      <c r="G45" s="3" t="s">
        <v>66</v>
      </c>
      <c r="H45" s="3" t="s">
        <v>27</v>
      </c>
      <c r="I45" s="3">
        <v>7</v>
      </c>
      <c r="J45" s="3">
        <v>15000</v>
      </c>
      <c r="K45" s="3">
        <v>0</v>
      </c>
      <c r="L45" s="3">
        <v>105000</v>
      </c>
      <c r="M45" s="3">
        <v>555.34</v>
      </c>
      <c r="N45" s="3">
        <v>44</v>
      </c>
      <c r="O45" s="3">
        <v>5</v>
      </c>
      <c r="P45" s="3" t="s">
        <v>67</v>
      </c>
      <c r="Q45" s="3" t="s">
        <v>37</v>
      </c>
      <c r="R45" s="3">
        <v>2</v>
      </c>
      <c r="S45" s="3">
        <v>65464</v>
      </c>
      <c r="T45" s="14">
        <v>125208.66</v>
      </c>
      <c r="U45" s="13">
        <f t="shared" si="0"/>
        <v>160.39349871685201</v>
      </c>
      <c r="V45" s="3" t="str">
        <f t="shared" si="1"/>
        <v>Normal</v>
      </c>
      <c r="W45" s="3" t="str" cm="1">
        <f t="array" ref="W45">_xlfn.IFS(
AND(D45="VIP",R45&gt;=4),"VIP Loyalty",
AND(D45="Premium",R45&gt;=4),"Premium Loyalty",
AND(D45="Regular",R45&gt;=4),"Regular Loyalty",
TRUE,"Need Improvement"
)</f>
        <v>Need Improvement</v>
      </c>
      <c r="X45" s="3" t="str">
        <f t="shared" si="2"/>
        <v>Alert</v>
      </c>
      <c r="Y45" s="3" t="str" cm="1">
        <f t="array" ref="Y45">_xlfn.IFS(
U45&gt;120,"A",
U45&gt;=100,"B",
U45&gt;=80,"C",
TRUE,"D"
)</f>
        <v>A</v>
      </c>
      <c r="Z45" s="14" t="str" cm="1">
        <f t="array" ref="Z45">_xlfn.IFS(
AND(M45&gt;20000,R45&gt;=4),"Green",
M45&gt;10000,"Yellow",
TRUE,"Red"
)</f>
        <v>Red</v>
      </c>
    </row>
    <row r="46" spans="1:26" x14ac:dyDescent="0.3">
      <c r="A46" s="3" t="s">
        <v>139</v>
      </c>
      <c r="B46" s="3" t="s">
        <v>140</v>
      </c>
      <c r="C46" s="3" t="s">
        <v>85</v>
      </c>
      <c r="D46" s="3" t="s">
        <v>23</v>
      </c>
      <c r="E46" s="3" t="s">
        <v>48</v>
      </c>
      <c r="F46" s="3" t="s">
        <v>34</v>
      </c>
      <c r="G46" s="3" t="s">
        <v>80</v>
      </c>
      <c r="H46" s="3" t="s">
        <v>36</v>
      </c>
      <c r="I46" s="3">
        <v>7</v>
      </c>
      <c r="J46" s="3">
        <v>15000</v>
      </c>
      <c r="K46" s="3">
        <v>0</v>
      </c>
      <c r="L46" s="3">
        <v>105000</v>
      </c>
      <c r="M46" s="3">
        <v>22751.02</v>
      </c>
      <c r="N46" s="3">
        <v>15</v>
      </c>
      <c r="O46" s="3">
        <v>6</v>
      </c>
      <c r="P46" s="3" t="s">
        <v>67</v>
      </c>
      <c r="Q46" s="3" t="s">
        <v>29</v>
      </c>
      <c r="R46" s="3">
        <v>3</v>
      </c>
      <c r="S46" s="3">
        <v>91921</v>
      </c>
      <c r="T46" s="14">
        <v>90401.41</v>
      </c>
      <c r="U46" s="13">
        <f t="shared" si="0"/>
        <v>114.22852231807748</v>
      </c>
      <c r="V46" s="3" t="str">
        <f t="shared" si="1"/>
        <v>Normal</v>
      </c>
      <c r="W46" s="3" t="str" cm="1">
        <f t="array" ref="W46">_xlfn.IFS(
AND(D46="VIP",R46&gt;=4),"VIP Loyalty",
AND(D46="Premium",R46&gt;=4),"Premium Loyalty",
AND(D46="Regular",R46&gt;=4),"Regular Loyalty",
TRUE,"Need Improvement"
)</f>
        <v>Need Improvement</v>
      </c>
      <c r="X46" s="3" t="str">
        <f t="shared" si="2"/>
        <v>Not Alert</v>
      </c>
      <c r="Y46" s="3" t="str" cm="1">
        <f t="array" ref="Y46">_xlfn.IFS(
U46&gt;120,"A",
U46&gt;=100,"B",
U46&gt;=80,"C",
TRUE,"D"
)</f>
        <v>B</v>
      </c>
      <c r="Z46" s="14" t="str" cm="1">
        <f t="array" ref="Z46">_xlfn.IFS(
AND(M46&gt;20000,R46&gt;=4),"Green",
M46&gt;10000,"Yellow",
TRUE,"Red"
)</f>
        <v>Yellow</v>
      </c>
    </row>
    <row r="47" spans="1:26" x14ac:dyDescent="0.3">
      <c r="A47" s="3" t="s">
        <v>141</v>
      </c>
      <c r="B47" s="3" t="s">
        <v>142</v>
      </c>
      <c r="C47" s="3" t="s">
        <v>51</v>
      </c>
      <c r="D47" s="3" t="s">
        <v>47</v>
      </c>
      <c r="E47" s="3" t="s">
        <v>57</v>
      </c>
      <c r="F47" s="3" t="s">
        <v>25</v>
      </c>
      <c r="G47" s="3" t="s">
        <v>26</v>
      </c>
      <c r="H47" s="3" t="s">
        <v>27</v>
      </c>
      <c r="I47" s="3">
        <v>3</v>
      </c>
      <c r="J47" s="3">
        <v>3500</v>
      </c>
      <c r="K47" s="3">
        <v>20</v>
      </c>
      <c r="L47" s="3">
        <v>8400</v>
      </c>
      <c r="M47" s="3">
        <v>1425.68</v>
      </c>
      <c r="N47" s="3">
        <v>58</v>
      </c>
      <c r="O47" s="3">
        <v>1</v>
      </c>
      <c r="P47" s="3" t="s">
        <v>28</v>
      </c>
      <c r="Q47" s="3" t="s">
        <v>37</v>
      </c>
      <c r="R47" s="3">
        <v>1</v>
      </c>
      <c r="S47" s="3">
        <v>27751</v>
      </c>
      <c r="T47" s="14">
        <v>8568.7900000000009</v>
      </c>
      <c r="U47" s="13">
        <f t="shared" si="0"/>
        <v>30.269179489027419</v>
      </c>
      <c r="V47" s="3" t="str">
        <f t="shared" si="1"/>
        <v>Normal</v>
      </c>
      <c r="W47" s="3" t="str" cm="1">
        <f t="array" ref="W47">_xlfn.IFS(
AND(D47="VIP",R47&gt;=4),"VIP Loyalty",
AND(D47="Premium",R47&gt;=4),"Premium Loyalty",
AND(D47="Regular",R47&gt;=4),"Regular Loyalty",
TRUE,"Need Improvement"
)</f>
        <v>Need Improvement</v>
      </c>
      <c r="X47" s="3" t="str">
        <f t="shared" si="2"/>
        <v>Alert</v>
      </c>
      <c r="Y47" s="3" t="str" cm="1">
        <f t="array" ref="Y47">_xlfn.IFS(
U47&gt;120,"A",
U47&gt;=100,"B",
U47&gt;=80,"C",
TRUE,"D"
)</f>
        <v>D</v>
      </c>
      <c r="Z47" s="14" t="str" cm="1">
        <f t="array" ref="Z47">_xlfn.IFS(
AND(M47&gt;20000,R47&gt;=4),"Green",
M47&gt;10000,"Yellow",
TRUE,"Red"
)</f>
        <v>Red</v>
      </c>
    </row>
    <row r="48" spans="1:26" x14ac:dyDescent="0.3">
      <c r="A48" s="3" t="s">
        <v>143</v>
      </c>
      <c r="B48" s="3" t="s">
        <v>69</v>
      </c>
      <c r="C48" s="3" t="s">
        <v>136</v>
      </c>
      <c r="D48" s="3" t="s">
        <v>23</v>
      </c>
      <c r="E48" s="3" t="s">
        <v>48</v>
      </c>
      <c r="F48" s="3" t="s">
        <v>34</v>
      </c>
      <c r="G48" s="3" t="s">
        <v>35</v>
      </c>
      <c r="H48" s="3" t="s">
        <v>36</v>
      </c>
      <c r="I48" s="3">
        <v>1</v>
      </c>
      <c r="J48" s="3">
        <v>65000</v>
      </c>
      <c r="K48" s="3">
        <v>0</v>
      </c>
      <c r="L48" s="3">
        <v>65000</v>
      </c>
      <c r="M48" s="3">
        <v>1504.22</v>
      </c>
      <c r="N48" s="3">
        <v>61</v>
      </c>
      <c r="O48" s="3">
        <v>10</v>
      </c>
      <c r="P48" s="3" t="s">
        <v>28</v>
      </c>
      <c r="Q48" s="3" t="s">
        <v>29</v>
      </c>
      <c r="R48" s="3">
        <v>2</v>
      </c>
      <c r="S48" s="3">
        <v>12113</v>
      </c>
      <c r="T48" s="14">
        <v>68285.53</v>
      </c>
      <c r="U48" s="13">
        <f t="shared" si="0"/>
        <v>536.61355568397596</v>
      </c>
      <c r="V48" s="3" t="str">
        <f t="shared" si="1"/>
        <v>Normal</v>
      </c>
      <c r="W48" s="3" t="str" cm="1">
        <f t="array" ref="W48">_xlfn.IFS(
AND(D48="VIP",R48&gt;=4),"VIP Loyalty",
AND(D48="Premium",R48&gt;=4),"Premium Loyalty",
AND(D48="Regular",R48&gt;=4),"Regular Loyalty",
TRUE,"Need Improvement"
)</f>
        <v>Need Improvement</v>
      </c>
      <c r="X48" s="3" t="str">
        <f t="shared" si="2"/>
        <v>Alert</v>
      </c>
      <c r="Y48" s="3" t="str" cm="1">
        <f t="array" ref="Y48">_xlfn.IFS(
U48&gt;120,"A",
U48&gt;=100,"B",
U48&gt;=80,"C",
TRUE,"D"
)</f>
        <v>A</v>
      </c>
      <c r="Z48" s="14" t="str" cm="1">
        <f t="array" ref="Z48">_xlfn.IFS(
AND(M48&gt;20000,R48&gt;=4),"Green",
M48&gt;10000,"Yellow",
TRUE,"Red"
)</f>
        <v>Red</v>
      </c>
    </row>
    <row r="49" spans="1:26" x14ac:dyDescent="0.3">
      <c r="A49" s="3" t="s">
        <v>144</v>
      </c>
      <c r="B49" s="3" t="s">
        <v>145</v>
      </c>
      <c r="C49" s="3" t="s">
        <v>22</v>
      </c>
      <c r="D49" s="3" t="s">
        <v>33</v>
      </c>
      <c r="E49" s="3" t="s">
        <v>48</v>
      </c>
      <c r="F49" s="3" t="s">
        <v>70</v>
      </c>
      <c r="G49" s="3" t="s">
        <v>53</v>
      </c>
      <c r="H49" s="3" t="s">
        <v>43</v>
      </c>
      <c r="I49" s="3">
        <v>6</v>
      </c>
      <c r="J49" s="3">
        <v>8000</v>
      </c>
      <c r="K49" s="3">
        <v>15</v>
      </c>
      <c r="L49" s="3">
        <v>40800</v>
      </c>
      <c r="M49" s="3">
        <v>-504.62</v>
      </c>
      <c r="N49" s="3">
        <v>70</v>
      </c>
      <c r="O49" s="3">
        <v>10</v>
      </c>
      <c r="P49" s="3" t="s">
        <v>59</v>
      </c>
      <c r="Q49" s="3" t="s">
        <v>29</v>
      </c>
      <c r="R49" s="3">
        <v>2</v>
      </c>
      <c r="S49" s="3">
        <v>52926</v>
      </c>
      <c r="T49" s="14">
        <v>34881.1</v>
      </c>
      <c r="U49" s="13">
        <f t="shared" si="0"/>
        <v>77.088765446094541</v>
      </c>
      <c r="V49" s="3" t="str">
        <f t="shared" si="1"/>
        <v>Normal</v>
      </c>
      <c r="W49" s="3" t="str" cm="1">
        <f t="array" ref="W49">_xlfn.IFS(
AND(D49="VIP",R49&gt;=4),"VIP Loyalty",
AND(D49="Premium",R49&gt;=4),"Premium Loyalty",
AND(D49="Regular",R49&gt;=4),"Regular Loyalty",
TRUE,"Need Improvement"
)</f>
        <v>Need Improvement</v>
      </c>
      <c r="X49" s="3" t="str">
        <f t="shared" si="2"/>
        <v>Alert</v>
      </c>
      <c r="Y49" s="3" t="str" cm="1">
        <f t="array" ref="Y49">_xlfn.IFS(
U49&gt;120,"A",
U49&gt;=100,"B",
U49&gt;=80,"C",
TRUE,"D"
)</f>
        <v>D</v>
      </c>
      <c r="Z49" s="14" t="str" cm="1">
        <f t="array" ref="Z49">_xlfn.IFS(
AND(M49&gt;20000,R49&gt;=4),"Green",
M49&gt;10000,"Yellow",
TRUE,"Red"
)</f>
        <v>Red</v>
      </c>
    </row>
    <row r="50" spans="1:26" x14ac:dyDescent="0.3">
      <c r="A50" s="3" t="s">
        <v>146</v>
      </c>
      <c r="B50" s="3" t="s">
        <v>147</v>
      </c>
      <c r="C50" s="3" t="s">
        <v>51</v>
      </c>
      <c r="D50" s="3" t="s">
        <v>23</v>
      </c>
      <c r="E50" s="3" t="s">
        <v>24</v>
      </c>
      <c r="F50" s="3" t="s">
        <v>34</v>
      </c>
      <c r="G50" s="3" t="s">
        <v>66</v>
      </c>
      <c r="H50" s="3" t="s">
        <v>27</v>
      </c>
      <c r="I50" s="3">
        <v>5</v>
      </c>
      <c r="J50" s="3">
        <v>500</v>
      </c>
      <c r="K50" s="3">
        <v>0</v>
      </c>
      <c r="L50" s="3">
        <v>2500</v>
      </c>
      <c r="M50" s="3">
        <v>428.84</v>
      </c>
      <c r="N50" s="3">
        <v>39</v>
      </c>
      <c r="O50" s="3">
        <v>4</v>
      </c>
      <c r="P50" s="3" t="s">
        <v>28</v>
      </c>
      <c r="Q50" s="3" t="s">
        <v>29</v>
      </c>
      <c r="R50" s="3">
        <v>4</v>
      </c>
      <c r="S50" s="3">
        <v>66587</v>
      </c>
      <c r="T50" s="14">
        <v>2753.49</v>
      </c>
      <c r="U50" s="13">
        <f t="shared" si="0"/>
        <v>3.7544866115007438</v>
      </c>
      <c r="V50" s="3" t="str">
        <f t="shared" si="1"/>
        <v>Normal</v>
      </c>
      <c r="W50" s="3" t="str" cm="1">
        <f t="array" ref="W50">_xlfn.IFS(
AND(D50="VIP",R50&gt;=4),"VIP Loyalty",
AND(D50="Premium",R50&gt;=4),"Premium Loyalty",
AND(D50="Regular",R50&gt;=4),"Regular Loyalty",
TRUE,"Need Improvement"
)</f>
        <v>VIP Loyalty</v>
      </c>
      <c r="X50" s="3" t="str">
        <f t="shared" si="2"/>
        <v>Not Alert</v>
      </c>
      <c r="Y50" s="3" t="str" cm="1">
        <f t="array" ref="Y50">_xlfn.IFS(
U50&gt;120,"A",
U50&gt;=100,"B",
U50&gt;=80,"C",
TRUE,"D"
)</f>
        <v>D</v>
      </c>
      <c r="Z50" s="14" t="str" cm="1">
        <f t="array" ref="Z50">_xlfn.IFS(
AND(M50&gt;20000,R50&gt;=4),"Green",
M50&gt;10000,"Yellow",
TRUE,"Red"
)</f>
        <v>Red</v>
      </c>
    </row>
    <row r="51" spans="1:26" x14ac:dyDescent="0.3">
      <c r="A51" s="3" t="s">
        <v>148</v>
      </c>
      <c r="B51" s="3" t="s">
        <v>31</v>
      </c>
      <c r="C51" s="3" t="s">
        <v>32</v>
      </c>
      <c r="D51" s="3" t="s">
        <v>47</v>
      </c>
      <c r="E51" s="3" t="s">
        <v>57</v>
      </c>
      <c r="F51" s="3" t="s">
        <v>52</v>
      </c>
      <c r="G51" s="3" t="s">
        <v>42</v>
      </c>
      <c r="H51" s="3" t="s">
        <v>43</v>
      </c>
      <c r="I51" s="3">
        <v>5</v>
      </c>
      <c r="J51" s="3">
        <v>65000</v>
      </c>
      <c r="K51" s="3">
        <v>5</v>
      </c>
      <c r="L51" s="3">
        <v>308750</v>
      </c>
      <c r="M51" s="3">
        <v>8887.48</v>
      </c>
      <c r="N51" s="3">
        <v>62</v>
      </c>
      <c r="O51" s="3">
        <v>4</v>
      </c>
      <c r="P51" s="3" t="s">
        <v>44</v>
      </c>
      <c r="Q51" s="3" t="s">
        <v>37</v>
      </c>
      <c r="R51" s="3">
        <v>1</v>
      </c>
      <c r="S51" s="3">
        <v>147908</v>
      </c>
      <c r="T51" s="14">
        <v>359698.57</v>
      </c>
      <c r="U51" s="25">
        <f t="shared" si="0"/>
        <v>208.7446250371853</v>
      </c>
      <c r="V51" s="16" t="str">
        <f t="shared" si="1"/>
        <v>Normal</v>
      </c>
      <c r="W51" s="16" t="str" cm="1">
        <f t="array" ref="W51">_xlfn.IFS(
AND(D51="VIP",R51&gt;=4),"VIP Loyalty",
AND(D51="Premium",R51&gt;=4),"Premium Loyalty",
AND(D51="Regular",R51&gt;=4),"Regular Loyalty",
TRUE,"Need Improvement"
)</f>
        <v>Need Improvement</v>
      </c>
      <c r="X51" s="16" t="str">
        <f t="shared" si="2"/>
        <v>Alert</v>
      </c>
      <c r="Y51" s="16" t="str" cm="1">
        <f t="array" ref="Y51">_xlfn.IFS(
U51&gt;120,"A",
U51&gt;=100,"B",
U51&gt;=80,"C",
TRUE,"D"
)</f>
        <v>A</v>
      </c>
      <c r="Z51" s="20" t="str" cm="1">
        <f t="array" ref="Z51">_xlfn.IFS(
AND(M51&gt;20000,R51&gt;=4),"Green",
M51&gt;10000,"Yellow",
TRUE,"Red"
)</f>
        <v>Red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Raw_Data</vt:lpstr>
      <vt:lpstr>IF_Function</vt:lpstr>
      <vt:lpstr>AND_OR_NOT</vt:lpstr>
      <vt:lpstr>Nested_IF_IFS</vt:lpstr>
      <vt:lpstr>SWITCH</vt:lpstr>
      <vt:lpstr>Challenge Problems</vt:lpstr>
      <vt:lpstr>IF_Function!Print_Area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Souptik Bej</cp:lastModifiedBy>
  <cp:lastPrinted>2026-07-15T09:49:42Z</cp:lastPrinted>
  <dcterms:created xsi:type="dcterms:W3CDTF">2026-07-13T06:27:24Z</dcterms:created>
  <dcterms:modified xsi:type="dcterms:W3CDTF">2026-07-15T09:56:56Z</dcterms:modified>
</cp:coreProperties>
</file>