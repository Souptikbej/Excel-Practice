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36F42363-1A8A-432F-ADC6-2C34072FA9BC}" xr6:coauthVersionLast="47" xr6:coauthVersionMax="47" xr10:uidLastSave="{00000000-0000-0000-0000-000000000000}"/>
  <bookViews>
    <workbookView xWindow="28680" yWindow="-120" windowWidth="29040" windowHeight="16440" tabRatio="721" activeTab="7" xr2:uid="{F482E9B5-6109-46C1-A74E-07671545D53E}"/>
  </bookViews>
  <sheets>
    <sheet name="Employee Master" sheetId="1" r:id="rId1"/>
    <sheet name="Manager Details" sheetId="2" r:id="rId2"/>
    <sheet name="Quarterly Sales (For HLOOKUP)" sheetId="3" r:id="rId3"/>
    <sheet name="VLOOKUP" sheetId="6" r:id="rId4"/>
    <sheet name="HLOOKUP" sheetId="7" r:id="rId5"/>
    <sheet name="XLOOKUP" sheetId="8" r:id="rId6"/>
    <sheet name="INDEX-MATCH" sheetId="9" r:id="rId7"/>
    <sheet name="Challenge-Problems" sheetId="10" r:id="rId8"/>
  </sheets>
  <definedNames>
    <definedName name="_xlnm.Print_Area" localSheetId="7">'Challenge-Problems'!$A$1:$I$76</definedName>
    <definedName name="_xlnm.Print_Area" localSheetId="4">HLOOKUP!$A$1:$G$21</definedName>
    <definedName name="_xlnm.Print_Area" localSheetId="6">'INDEX-MATCH'!$A$1:$G$27</definedName>
    <definedName name="_xlnm.Print_Area" localSheetId="3">VLOOKUP!$A$1:$G$35</definedName>
    <definedName name="_xlnm.Print_Area" localSheetId="5">XLOOKUP!$A$1:$G$27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6" i="10" l="1"/>
  <c r="B67" i="10"/>
  <c r="B68" i="10"/>
  <c r="B69" i="10"/>
  <c r="B70" i="10"/>
  <c r="B71" i="10"/>
  <c r="B72" i="10"/>
  <c r="B73" i="10"/>
  <c r="B74" i="10"/>
  <c r="B75" i="10"/>
  <c r="B76" i="10"/>
  <c r="D52" i="10"/>
  <c r="D53" i="10"/>
  <c r="D54" i="10"/>
  <c r="D55" i="10"/>
  <c r="D56" i="10"/>
  <c r="D57" i="10"/>
  <c r="D58" i="10"/>
  <c r="D59" i="10"/>
  <c r="D60" i="10"/>
  <c r="D51" i="10"/>
  <c r="C52" i="10"/>
  <c r="C53" i="10"/>
  <c r="C54" i="10"/>
  <c r="C55" i="10"/>
  <c r="C56" i="10"/>
  <c r="C57" i="10"/>
  <c r="C58" i="10"/>
  <c r="C59" i="10"/>
  <c r="C60" i="10"/>
  <c r="C51" i="10"/>
  <c r="B52" i="10"/>
  <c r="B53" i="10"/>
  <c r="B54" i="10"/>
  <c r="B55" i="10"/>
  <c r="B56" i="10"/>
  <c r="B57" i="10"/>
  <c r="B58" i="10"/>
  <c r="B59" i="10"/>
  <c r="B60" i="10"/>
  <c r="B51" i="10"/>
  <c r="C36" i="10"/>
  <c r="C37" i="10"/>
  <c r="C38" i="10"/>
  <c r="C39" i="10"/>
  <c r="C40" i="10"/>
  <c r="C41" i="10"/>
  <c r="C42" i="10"/>
  <c r="C43" i="10"/>
  <c r="C44" i="10"/>
  <c r="C45" i="10"/>
  <c r="C20" i="10"/>
  <c r="C21" i="10"/>
  <c r="C22" i="10"/>
  <c r="C23" i="10"/>
  <c r="C24" i="10"/>
  <c r="C25" i="10"/>
  <c r="C26" i="10"/>
  <c r="C27" i="10"/>
  <c r="C28" i="10"/>
  <c r="C29" i="10"/>
  <c r="C6" i="10"/>
  <c r="C7" i="10"/>
  <c r="C8" i="10"/>
  <c r="C9" i="10"/>
  <c r="C10" i="10"/>
  <c r="C11" i="10"/>
  <c r="C12" i="10"/>
  <c r="C13" i="10"/>
  <c r="C14" i="10"/>
  <c r="C5" i="10"/>
  <c r="B26" i="9"/>
  <c r="B23" i="9"/>
  <c r="B20" i="9"/>
  <c r="B17" i="9"/>
  <c r="B14" i="9"/>
  <c r="B26" i="8"/>
  <c r="B23" i="8"/>
  <c r="B20" i="8"/>
  <c r="B17" i="8"/>
  <c r="B14" i="8"/>
  <c r="B20" i="7"/>
  <c r="B11" i="7"/>
  <c r="B14" i="7"/>
  <c r="B17" i="7"/>
  <c r="B8" i="7"/>
  <c r="B34" i="6"/>
  <c r="B31" i="6"/>
  <c r="C25" i="6"/>
  <c r="C26" i="6"/>
  <c r="C27" i="6"/>
  <c r="C28" i="6"/>
  <c r="C18" i="6"/>
  <c r="C19" i="6"/>
  <c r="C20" i="6"/>
  <c r="C21" i="6"/>
  <c r="B14" i="6"/>
  <c r="E51" i="10" l="1"/>
  <c r="E54" i="10"/>
  <c r="E58" i="10"/>
  <c r="E59" i="10"/>
  <c r="E55" i="10"/>
  <c r="E52" i="10"/>
  <c r="E56" i="10"/>
  <c r="E53" i="10"/>
  <c r="E60" i="10"/>
  <c r="E57" i="10"/>
</calcChain>
</file>

<file path=xl/sharedStrings.xml><?xml version="1.0" encoding="utf-8"?>
<sst xmlns="http://schemas.openxmlformats.org/spreadsheetml/2006/main" count="535" uniqueCount="139">
  <si>
    <t>Sales</t>
  </si>
  <si>
    <t>Amit Sharma</t>
  </si>
  <si>
    <t>Priya Das</t>
  </si>
  <si>
    <t>Rahul Roy</t>
  </si>
  <si>
    <t>Sneha Ghosh</t>
  </si>
  <si>
    <t>Neha Singh</t>
  </si>
  <si>
    <t>Vikram Shah</t>
  </si>
  <si>
    <t>Anjali Roy</t>
  </si>
  <si>
    <t>Laptop</t>
  </si>
  <si>
    <t>Printer</t>
  </si>
  <si>
    <t>Monitor</t>
  </si>
  <si>
    <t>Department</t>
  </si>
  <si>
    <t>Karan Patel</t>
  </si>
  <si>
    <t>Problem 2</t>
  </si>
  <si>
    <t>Problem 3</t>
  </si>
  <si>
    <t>Problem 4</t>
  </si>
  <si>
    <t>Problem 5</t>
  </si>
  <si>
    <t>Employee_ID</t>
  </si>
  <si>
    <t>Employee_Name</t>
  </si>
  <si>
    <t>Designation</t>
  </si>
  <si>
    <t>City</t>
  </si>
  <si>
    <t>Manager_ID</t>
  </si>
  <si>
    <t>Salary</t>
  </si>
  <si>
    <t>EMP001</t>
  </si>
  <si>
    <t>Executive</t>
  </si>
  <si>
    <t>Kolkata</t>
  </si>
  <si>
    <t>MGR101</t>
  </si>
  <si>
    <t>EMP002</t>
  </si>
  <si>
    <t>HR</t>
  </si>
  <si>
    <t>Recruiter</t>
  </si>
  <si>
    <t>Delhi</t>
  </si>
  <si>
    <t>MGR102</t>
  </si>
  <si>
    <t>EMP003</t>
  </si>
  <si>
    <t>Finance</t>
  </si>
  <si>
    <t>Analyst</t>
  </si>
  <si>
    <t>Mumbai</t>
  </si>
  <si>
    <t>MGR103</t>
  </si>
  <si>
    <t>EMP004</t>
  </si>
  <si>
    <t>IT</t>
  </si>
  <si>
    <t>Developer</t>
  </si>
  <si>
    <t>Bangalore</t>
  </si>
  <si>
    <t>MGR104</t>
  </si>
  <si>
    <t>EMP005</t>
  </si>
  <si>
    <t>Marketing</t>
  </si>
  <si>
    <t>Pune</t>
  </si>
  <si>
    <t>MGR105</t>
  </si>
  <si>
    <t>EMP006</t>
  </si>
  <si>
    <t>Arjun Sen</t>
  </si>
  <si>
    <t>Operations</t>
  </si>
  <si>
    <t>Hyderabad</t>
  </si>
  <si>
    <t>MGR106</t>
  </si>
  <si>
    <t>EMP007</t>
  </si>
  <si>
    <t>Rohit Das</t>
  </si>
  <si>
    <t>Manager</t>
  </si>
  <si>
    <t>EMP008</t>
  </si>
  <si>
    <t>Senior Developer</t>
  </si>
  <si>
    <t>EMP009</t>
  </si>
  <si>
    <t>EMP010</t>
  </si>
  <si>
    <t>HRBP</t>
  </si>
  <si>
    <t>Manager_Name</t>
  </si>
  <si>
    <t>Experience</t>
  </si>
  <si>
    <t>Location</t>
  </si>
  <si>
    <t>Suman Roy</t>
  </si>
  <si>
    <t>Ritu Sharma</t>
  </si>
  <si>
    <t>Abhishek Jain</t>
  </si>
  <si>
    <t>Kunal Mehta</t>
  </si>
  <si>
    <t>Meera Das</t>
  </si>
  <si>
    <t>Sanjay Gupta</t>
  </si>
  <si>
    <t>Quarter</t>
  </si>
  <si>
    <t>Q1</t>
  </si>
  <si>
    <t>Q2</t>
  </si>
  <si>
    <t>Q3</t>
  </si>
  <si>
    <t>Q4</t>
  </si>
  <si>
    <t>Mobile</t>
  </si>
  <si>
    <t>Problem 1</t>
  </si>
  <si>
    <t>The HR team has only the Employee_ID. Retrieve the Employee_Name.</t>
  </si>
  <si>
    <t xml:space="preserve">Answer </t>
  </si>
  <si>
    <t>Syntax</t>
  </si>
  <si>
    <t>"=VLOOKUP("EMP005",A2:G11,2,FALSE)"</t>
  </si>
  <si>
    <t>Retrieve the Department for every Employee_ID.</t>
  </si>
  <si>
    <t>"=VLOOKUP(B18,$A$2:$G$11,3,FALSE)"</t>
  </si>
  <si>
    <t>Finance wants the Salary of each employee based on Employee_ID.</t>
  </si>
  <si>
    <t>"=VLOOKUP(B25,$A$2:$G$11,7,FALSE)"</t>
  </si>
  <si>
    <t>Find the Designation of Employee EMP008.</t>
  </si>
  <si>
    <t>"=VLOOKUP("EMP008",A2:G11,4,FALSE)"</t>
  </si>
  <si>
    <t>Retrieve the City for Employee EMP004.</t>
  </si>
  <si>
    <t>"=VLOOKUP("EMP004",A2:G11,5,FALSE)"</t>
  </si>
  <si>
    <t>Answer</t>
  </si>
  <si>
    <t>Retrieve Q3 sales for Laptop.</t>
  </si>
  <si>
    <t>"=HLOOKUP("Q3",A1:E5,2,FALSE)"</t>
  </si>
  <si>
    <t>Retrieve Q4 sales for Mobile.</t>
  </si>
  <si>
    <t>Retrieve Q2 sales for Printer.</t>
  </si>
  <si>
    <t>Retrieve Q1 sales for Monitor.</t>
  </si>
  <si>
    <t>Retrieve Q4 sales for Printer.</t>
  </si>
  <si>
    <t>"=HLOOKUP("Q4",A1:E5,3,FALSE)"</t>
  </si>
  <si>
    <t>"=HLOOKUP("Q2",A1:E5,4,FALSE)"</t>
  </si>
  <si>
    <t>"=HLOOKUP("Q1",A1:E5,5,FALSE)"</t>
  </si>
  <si>
    <t>"=HLOOKUP("Q4",A1:E5,4,FALSE)"</t>
  </si>
  <si>
    <t>Retrieve the Salary using Employee_ID.</t>
  </si>
  <si>
    <t>"=XLOOKUP("EMP003",A2:A11,G2:G11,"Not Found",0)"</t>
  </si>
  <si>
    <t>Retrieve the Department for EMP009.</t>
  </si>
  <si>
    <t>"=XLOOKUP("EMP009",A2:A11,C2:C11,"Not Found",0)"</t>
  </si>
  <si>
    <t>Return "Employee Not Found" if the Employee_ID doesn't exist.</t>
  </si>
  <si>
    <t>"=XLOOKUP("EMP012",A2:A11,B2:B11,"Employee Not Found",0)"</t>
  </si>
  <si>
    <t>Retrieve the Manager_ID using Employee_ID.</t>
  </si>
  <si>
    <t>"=XLOOKUP("EMP003",A2:A11,F2:F11,"Not Found",0)"</t>
  </si>
  <si>
    <t>Retrieve Employee_Name for EMP006.</t>
  </si>
  <si>
    <t>"=XLOOKUP("EMP006",A2:A11,B2:B11,"Not Found",0)"</t>
  </si>
  <si>
    <t>Retrieve Salary using Employee_ID.</t>
  </si>
  <si>
    <t>"=INDEX(G2:G11,MATCH("EMP004",A2:A11,0))"</t>
  </si>
  <si>
    <t>Retrieve Department using Employee_ID.</t>
  </si>
  <si>
    <t>"=INDEX(C2:C11,MATCH("EMP004",A2:A11,0))"</t>
  </si>
  <si>
    <t>Retrieve Designation using Employee_ID.</t>
  </si>
  <si>
    <t>"=INDEX(D2:D11,MATCH("EMP004",A2:A11,0))"</t>
  </si>
  <si>
    <t>Retrieve City using Employee_ID.</t>
  </si>
  <si>
    <t>Retrieve Employee_Name using Employee_ID.</t>
  </si>
  <si>
    <t>"=INDEX(E2:E11,MATCH("EMP004",A2:A11,0))"</t>
  </si>
  <si>
    <t>"=INDEX(B2:B11,MATCH("EMP004",A2:A11,0))"</t>
  </si>
  <si>
    <t>Using Employee Master and Manager Details, retrieve the Manager Name for every employee.</t>
  </si>
  <si>
    <t>Challenge 1 — Manager Lookup</t>
  </si>
  <si>
    <t>Challenge 2 — Manager Experience</t>
  </si>
  <si>
    <t>Retrieve the Manager Experience (Years) for each employee.</t>
  </si>
  <si>
    <t>Challenge 3 — Manager Office Location</t>
  </si>
  <si>
    <t>Retrieve the Manager's office location using Manager_ID.</t>
  </si>
  <si>
    <t>Challenge 4 — Employee Summary</t>
  </si>
  <si>
    <t>Create the following text:
EMP004 - Sneha Ghosh - Developer - Bangalore
Use lookup functions where appropriate to fetch the required fields.</t>
  </si>
  <si>
    <t>Challenge 5 — Salary Verification</t>
  </si>
  <si>
    <t>Given a list of Employee_IDs, retrieve their salaries and display "Not Available" if an ID is missing.</t>
  </si>
  <si>
    <t>"=XLOOKUP(B5,'Manager Details'!A:A,'Manager Details'!B:B,"No Manager",0)"</t>
  </si>
  <si>
    <t>Syntax :-</t>
  </si>
  <si>
    <t>Manager_Exprience</t>
  </si>
  <si>
    <t>"=XLOOKUP(B20,'Manager Details'!A:A,'Manager Details'!C:C,0)"</t>
  </si>
  <si>
    <t>Manager_Location</t>
  </si>
  <si>
    <t>"=XLOOKUP(B35,'Manager Details'!A:A,'Manager Details'!D:D,0)"</t>
  </si>
  <si>
    <t>Final Text</t>
  </si>
  <si>
    <t>EMP019</t>
  </si>
  <si>
    <t>EMP065</t>
  </si>
  <si>
    <t>EMP018</t>
  </si>
  <si>
    <t>"=XLOOKUP(A65,'Employee Master'!A:A,'Employee Master'!G:G,"Not Available",0)"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</si>
</sst>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3">
    <xf numFmtId="0" fontId="0" fillId="0" borderId="0" xfId="0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2" borderId="0" xfId="1"/>
    <xf numFmtId="0" fontId="1" fillId="2" borderId="0" xfId="1" applyFont="1"/>
    <xf numFmtId="0" fontId="5" fillId="3" borderId="0" xfId="2" applyFont="1" applyAlignment="1">
      <alignment vertical="center"/>
    </xf>
    <xf numFmtId="0" fontId="5" fillId="3" borderId="0" xfId="2" applyFont="1"/>
    <xf numFmtId="0" fontId="1" fillId="2" borderId="0" xfId="1" applyFont="1" applyBorder="1"/>
    <xf numFmtId="0" fontId="4" fillId="2" borderId="0" xfId="1" applyFont="1" applyAlignment="1">
      <alignment vertical="center"/>
    </xf>
    <xf numFmtId="0" fontId="4" fillId="2" borderId="0" xfId="1" applyFont="1"/>
    <xf numFmtId="0" fontId="6" fillId="2" borderId="0" xfId="1" applyFont="1"/>
    <xf numFmtId="0" fontId="6" fillId="2" borderId="0" xfId="1" applyFont="1" applyAlignment="1">
      <alignment vertical="center"/>
    </xf>
    <xf numFmtId="0" fontId="7" fillId="2" borderId="0" xfId="1" applyFont="1"/>
    <xf numFmtId="0" fontId="8" fillId="2" borderId="0" xfId="1" applyFont="1"/>
    <xf numFmtId="0" fontId="9" fillId="2" borderId="0" xfId="1" applyFont="1"/>
    <xf numFmtId="0" fontId="0" fillId="0" borderId="1" xfId="0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/>
    <xf numFmtId="0" fontId="5" fillId="3" borderId="0" xfId="2" applyFont="1" applyAlignment="1">
      <alignment vertical="center" wrapText="1"/>
    </xf>
    <xf numFmtId="0" fontId="9" fillId="2" borderId="0" xfId="1" applyFont="1" applyAlignment="1">
      <alignment vertical="center" wrapText="1"/>
    </xf>
    <xf numFmtId="0" fontId="7" fillId="2" borderId="0" xfId="1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5" fillId="3" borderId="0" xfId="2" applyFont="1" applyBorder="1" applyAlignment="1">
      <alignment vertical="center"/>
    </xf>
    <xf numFmtId="0" fontId="9" fillId="2" borderId="0" xfId="1" applyFont="1" applyBorder="1" applyAlignment="1">
      <alignment horizontal="left" vertical="center"/>
    </xf>
    <xf numFmtId="0" fontId="7" fillId="2" borderId="0" xfId="1" applyFont="1" applyBorder="1" applyAlignment="1">
      <alignment horizontal="left" vertical="center"/>
    </xf>
    <xf numFmtId="0" fontId="7" fillId="2" borderId="0" xfId="1" applyFont="1" applyAlignment="1">
      <alignment horizontal="left" vertical="center"/>
    </xf>
    <xf numFmtId="0" fontId="9" fillId="2" borderId="0" xfId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3" borderId="0" xfId="2" applyFont="1"/>
    <xf numFmtId="0" fontId="1" fillId="2" borderId="0" xfId="1" applyFont="1"/>
    <xf numFmtId="0" fontId="5" fillId="3" borderId="0" xfId="2" applyFont="1" applyAlignment="1">
      <alignment horizontal="left" vertical="center"/>
    </xf>
    <xf numFmtId="0" fontId="8" fillId="2" borderId="0" xfId="1" applyFont="1" applyAlignment="1">
      <alignment horizontal="left" vertical="center"/>
    </xf>
    <xf numFmtId="0" fontId="5" fillId="3" borderId="0" xfId="2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5" fillId="3" borderId="0" xfId="2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3" borderId="0" xfId="2" applyFont="1" applyAlignment="1">
      <alignment horizontal="center" vertical="center" wrapText="1"/>
    </xf>
    <xf numFmtId="0" fontId="10" fillId="2" borderId="0" xfId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0" xfId="1" applyFont="1" applyAlignment="1">
      <alignment horizontal="left" vertical="center"/>
    </xf>
    <xf numFmtId="0" fontId="10" fillId="2" borderId="0" xfId="1" applyFont="1" applyAlignment="1">
      <alignment horizontal="left" vertical="center"/>
    </xf>
    <xf numFmtId="0" fontId="10" fillId="2" borderId="0" xfId="1" applyFont="1"/>
    <xf numFmtId="0" fontId="0" fillId="0" borderId="0" xfId="0" applyAlignment="1">
      <alignment horizontal="center" vertical="center"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1EB13-A7D7-4950-893B-056A92290644}">
  <dimension ref="A1:G11"/>
  <sheetViews>
    <sheetView zoomScale="175" zoomScaleNormal="175" workbookViewId="0">
      <selection activeCell="D1" sqref="D1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1.109375" bestFit="1" customWidth="1"/>
    <col min="4" max="4" width="15.109375" bestFit="1" customWidth="1"/>
    <col min="5" max="5" width="10" bestFit="1" customWidth="1"/>
    <col min="6" max="6" width="11" bestFit="1" customWidth="1"/>
    <col min="7" max="7" width="6.33203125" bestFit="1" customWidth="1"/>
  </cols>
  <sheetData>
    <row r="1" spans="1:7" x14ac:dyDescent="0.3">
      <c r="A1" s="3" t="s">
        <v>17</v>
      </c>
      <c r="B1" s="3" t="s">
        <v>18</v>
      </c>
      <c r="C1" s="3" t="s">
        <v>11</v>
      </c>
      <c r="D1" s="3" t="s">
        <v>19</v>
      </c>
      <c r="E1" s="3" t="s">
        <v>20</v>
      </c>
      <c r="F1" s="3" t="s">
        <v>21</v>
      </c>
      <c r="G1" s="3" t="s">
        <v>22</v>
      </c>
    </row>
    <row r="2" spans="1:7" x14ac:dyDescent="0.3">
      <c r="A2" s="4" t="s">
        <v>23</v>
      </c>
      <c r="B2" s="4" t="s">
        <v>1</v>
      </c>
      <c r="C2" s="4" t="s">
        <v>0</v>
      </c>
      <c r="D2" s="4" t="s">
        <v>24</v>
      </c>
      <c r="E2" s="4" t="s">
        <v>25</v>
      </c>
      <c r="F2" s="4" t="s">
        <v>26</v>
      </c>
      <c r="G2" s="4">
        <v>45000</v>
      </c>
    </row>
    <row r="3" spans="1:7" x14ac:dyDescent="0.3">
      <c r="A3" s="4" t="s">
        <v>27</v>
      </c>
      <c r="B3" s="4" t="s">
        <v>2</v>
      </c>
      <c r="C3" s="4" t="s">
        <v>28</v>
      </c>
      <c r="D3" s="4" t="s">
        <v>29</v>
      </c>
      <c r="E3" s="4" t="s">
        <v>30</v>
      </c>
      <c r="F3" s="4" t="s">
        <v>31</v>
      </c>
      <c r="G3" s="4">
        <v>52000</v>
      </c>
    </row>
    <row r="4" spans="1:7" x14ac:dyDescent="0.3">
      <c r="A4" s="4" t="s">
        <v>32</v>
      </c>
      <c r="B4" s="4" t="s">
        <v>3</v>
      </c>
      <c r="C4" s="4" t="s">
        <v>33</v>
      </c>
      <c r="D4" s="4" t="s">
        <v>34</v>
      </c>
      <c r="E4" s="4" t="s">
        <v>35</v>
      </c>
      <c r="F4" s="4" t="s">
        <v>36</v>
      </c>
      <c r="G4" s="4">
        <v>61000</v>
      </c>
    </row>
    <row r="5" spans="1:7" x14ac:dyDescent="0.3">
      <c r="A5" s="4" t="s">
        <v>37</v>
      </c>
      <c r="B5" s="4" t="s">
        <v>4</v>
      </c>
      <c r="C5" s="4" t="s">
        <v>38</v>
      </c>
      <c r="D5" s="4" t="s">
        <v>39</v>
      </c>
      <c r="E5" s="4" t="s">
        <v>40</v>
      </c>
      <c r="F5" s="4" t="s">
        <v>41</v>
      </c>
      <c r="G5" s="4">
        <v>75000</v>
      </c>
    </row>
    <row r="6" spans="1:7" x14ac:dyDescent="0.3">
      <c r="A6" s="4" t="s">
        <v>42</v>
      </c>
      <c r="B6" s="4" t="s">
        <v>5</v>
      </c>
      <c r="C6" s="4" t="s">
        <v>43</v>
      </c>
      <c r="D6" s="4" t="s">
        <v>24</v>
      </c>
      <c r="E6" s="4" t="s">
        <v>44</v>
      </c>
      <c r="F6" s="4" t="s">
        <v>45</v>
      </c>
      <c r="G6" s="4">
        <v>48000</v>
      </c>
    </row>
    <row r="7" spans="1:7" x14ac:dyDescent="0.3">
      <c r="A7" s="4" t="s">
        <v>46</v>
      </c>
      <c r="B7" s="4" t="s">
        <v>47</v>
      </c>
      <c r="C7" s="4" t="s">
        <v>48</v>
      </c>
      <c r="D7" s="4" t="s">
        <v>34</v>
      </c>
      <c r="E7" s="4" t="s">
        <v>49</v>
      </c>
      <c r="F7" s="4" t="s">
        <v>50</v>
      </c>
      <c r="G7" s="4">
        <v>58000</v>
      </c>
    </row>
    <row r="8" spans="1:7" x14ac:dyDescent="0.3">
      <c r="A8" s="4" t="s">
        <v>51</v>
      </c>
      <c r="B8" s="4" t="s">
        <v>52</v>
      </c>
      <c r="C8" s="4" t="s">
        <v>0</v>
      </c>
      <c r="D8" s="4" t="s">
        <v>53</v>
      </c>
      <c r="E8" s="4" t="s">
        <v>25</v>
      </c>
      <c r="F8" s="4" t="s">
        <v>26</v>
      </c>
      <c r="G8" s="4">
        <v>82000</v>
      </c>
    </row>
    <row r="9" spans="1:7" x14ac:dyDescent="0.3">
      <c r="A9" s="4" t="s">
        <v>54</v>
      </c>
      <c r="B9" s="4" t="s">
        <v>12</v>
      </c>
      <c r="C9" s="4" t="s">
        <v>38</v>
      </c>
      <c r="D9" s="4" t="s">
        <v>55</v>
      </c>
      <c r="E9" s="4" t="s">
        <v>40</v>
      </c>
      <c r="F9" s="4" t="s">
        <v>41</v>
      </c>
      <c r="G9" s="4">
        <v>96000</v>
      </c>
    </row>
    <row r="10" spans="1:7" x14ac:dyDescent="0.3">
      <c r="A10" s="4" t="s">
        <v>56</v>
      </c>
      <c r="B10" s="4" t="s">
        <v>6</v>
      </c>
      <c r="C10" s="4" t="s">
        <v>33</v>
      </c>
      <c r="D10" s="4" t="s">
        <v>53</v>
      </c>
      <c r="E10" s="4" t="s">
        <v>35</v>
      </c>
      <c r="F10" s="4" t="s">
        <v>36</v>
      </c>
      <c r="G10" s="4">
        <v>90000</v>
      </c>
    </row>
    <row r="11" spans="1:7" x14ac:dyDescent="0.3">
      <c r="A11" s="4" t="s">
        <v>57</v>
      </c>
      <c r="B11" s="4" t="s">
        <v>7</v>
      </c>
      <c r="C11" s="4" t="s">
        <v>28</v>
      </c>
      <c r="D11" s="4" t="s">
        <v>58</v>
      </c>
      <c r="E11" s="4" t="s">
        <v>30</v>
      </c>
      <c r="F11" s="4" t="s">
        <v>31</v>
      </c>
      <c r="G11" s="4">
        <v>78000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3A023-8D06-4753-B35F-AD55B820BF00}">
  <dimension ref="A1:D7"/>
  <sheetViews>
    <sheetView zoomScale="205" zoomScaleNormal="205" workbookViewId="0">
      <selection activeCell="B3" sqref="B3"/>
    </sheetView>
  </sheetViews>
  <sheetFormatPr defaultRowHeight="14.4" x14ac:dyDescent="0.3"/>
  <cols>
    <col min="1" max="1" width="10.6640625" bestFit="1" customWidth="1"/>
    <col min="2" max="2" width="13.88671875" bestFit="1" customWidth="1"/>
    <col min="3" max="3" width="10.21875" bestFit="1" customWidth="1"/>
    <col min="4" max="4" width="9.77734375" bestFit="1" customWidth="1"/>
  </cols>
  <sheetData>
    <row r="1" spans="1:4" x14ac:dyDescent="0.3">
      <c r="A1" s="3" t="s">
        <v>21</v>
      </c>
      <c r="B1" s="3" t="s">
        <v>59</v>
      </c>
      <c r="C1" s="3" t="s">
        <v>60</v>
      </c>
      <c r="D1" s="3" t="s">
        <v>61</v>
      </c>
    </row>
    <row r="2" spans="1:4" x14ac:dyDescent="0.3">
      <c r="A2" s="4" t="s">
        <v>26</v>
      </c>
      <c r="B2" s="4" t="s">
        <v>62</v>
      </c>
      <c r="C2" s="4">
        <v>12</v>
      </c>
      <c r="D2" s="4" t="s">
        <v>25</v>
      </c>
    </row>
    <row r="3" spans="1:4" x14ac:dyDescent="0.3">
      <c r="A3" s="4" t="s">
        <v>31</v>
      </c>
      <c r="B3" s="4" t="s">
        <v>63</v>
      </c>
      <c r="C3" s="4">
        <v>10</v>
      </c>
      <c r="D3" s="4" t="s">
        <v>30</v>
      </c>
    </row>
    <row r="4" spans="1:4" x14ac:dyDescent="0.3">
      <c r="A4" s="4" t="s">
        <v>36</v>
      </c>
      <c r="B4" s="4" t="s">
        <v>64</v>
      </c>
      <c r="C4" s="4">
        <v>15</v>
      </c>
      <c r="D4" s="4" t="s">
        <v>35</v>
      </c>
    </row>
    <row r="5" spans="1:4" x14ac:dyDescent="0.3">
      <c r="A5" s="4" t="s">
        <v>41</v>
      </c>
      <c r="B5" s="4" t="s">
        <v>65</v>
      </c>
      <c r="C5" s="4">
        <v>11</v>
      </c>
      <c r="D5" s="4" t="s">
        <v>40</v>
      </c>
    </row>
    <row r="6" spans="1:4" x14ac:dyDescent="0.3">
      <c r="A6" s="4" t="s">
        <v>45</v>
      </c>
      <c r="B6" s="4" t="s">
        <v>66</v>
      </c>
      <c r="C6" s="4">
        <v>9</v>
      </c>
      <c r="D6" s="4" t="s">
        <v>44</v>
      </c>
    </row>
    <row r="7" spans="1:4" x14ac:dyDescent="0.3">
      <c r="A7" s="4" t="s">
        <v>50</v>
      </c>
      <c r="B7" s="4" t="s">
        <v>67</v>
      </c>
      <c r="C7" s="4">
        <v>13</v>
      </c>
      <c r="D7" s="4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AFE94-36CA-41D6-9487-A28E3378AFEC}">
  <dimension ref="A1:E5"/>
  <sheetViews>
    <sheetView zoomScale="250" zoomScaleNormal="250" workbookViewId="0">
      <selection sqref="A1:E5"/>
    </sheetView>
  </sheetViews>
  <sheetFormatPr defaultRowHeight="14.4" x14ac:dyDescent="0.3"/>
  <cols>
    <col min="1" max="1" width="7.33203125" bestFit="1" customWidth="1"/>
    <col min="2" max="5" width="4" bestFit="1" customWidth="1"/>
  </cols>
  <sheetData>
    <row r="1" spans="1:5" x14ac:dyDescent="0.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 x14ac:dyDescent="0.3">
      <c r="A2" s="2" t="s">
        <v>8</v>
      </c>
      <c r="B2" s="2">
        <v>120</v>
      </c>
      <c r="C2" s="2">
        <v>150</v>
      </c>
      <c r="D2" s="2">
        <v>180</v>
      </c>
      <c r="E2" s="2">
        <v>170</v>
      </c>
    </row>
    <row r="3" spans="1:5" x14ac:dyDescent="0.3">
      <c r="A3" s="2" t="s">
        <v>73</v>
      </c>
      <c r="B3" s="2">
        <v>200</v>
      </c>
      <c r="C3" s="2">
        <v>240</v>
      </c>
      <c r="D3" s="2">
        <v>230</v>
      </c>
      <c r="E3" s="2">
        <v>260</v>
      </c>
    </row>
    <row r="4" spans="1:5" x14ac:dyDescent="0.3">
      <c r="A4" s="2" t="s">
        <v>9</v>
      </c>
      <c r="B4" s="2">
        <v>80</v>
      </c>
      <c r="C4" s="2">
        <v>95</v>
      </c>
      <c r="D4" s="2">
        <v>110</v>
      </c>
      <c r="E4" s="2">
        <v>105</v>
      </c>
    </row>
    <row r="5" spans="1:5" x14ac:dyDescent="0.3">
      <c r="A5" s="2" t="s">
        <v>10</v>
      </c>
      <c r="B5" s="2">
        <v>140</v>
      </c>
      <c r="C5" s="2">
        <v>150</v>
      </c>
      <c r="D5" s="2">
        <v>165</v>
      </c>
      <c r="E5" s="2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35EE-EEC4-4198-9DE0-EA9002B04940}">
  <dimension ref="A1:G35"/>
  <sheetViews>
    <sheetView zoomScale="115" zoomScaleNormal="115" workbookViewId="0">
      <selection activeCell="C4" sqref="C4"/>
    </sheetView>
  </sheetViews>
  <sheetFormatPr defaultRowHeight="14.4" x14ac:dyDescent="0.3"/>
  <cols>
    <col min="1" max="1" width="12.109375" bestFit="1" customWidth="1"/>
    <col min="2" max="2" width="15.77734375" bestFit="1" customWidth="1"/>
    <col min="3" max="3" width="11.5546875" bestFit="1" customWidth="1"/>
    <col min="4" max="4" width="15.44140625" bestFit="1" customWidth="1"/>
    <col min="5" max="5" width="10.21875" bestFit="1" customWidth="1"/>
    <col min="6" max="6" width="11.109375" bestFit="1" customWidth="1"/>
    <col min="7" max="7" width="6.21875" bestFit="1" customWidth="1"/>
  </cols>
  <sheetData>
    <row r="1" spans="1:7" x14ac:dyDescent="0.3">
      <c r="A1" s="18" t="s">
        <v>17</v>
      </c>
      <c r="B1" s="19" t="s">
        <v>18</v>
      </c>
      <c r="C1" s="19" t="s">
        <v>11</v>
      </c>
      <c r="D1" s="19" t="s">
        <v>19</v>
      </c>
      <c r="E1" s="19" t="s">
        <v>20</v>
      </c>
      <c r="F1" s="19" t="s">
        <v>21</v>
      </c>
      <c r="G1" s="20" t="s">
        <v>22</v>
      </c>
    </row>
    <row r="2" spans="1:7" x14ac:dyDescent="0.3">
      <c r="A2" s="21" t="s">
        <v>23</v>
      </c>
      <c r="B2" s="17" t="s">
        <v>1</v>
      </c>
      <c r="C2" s="17" t="s">
        <v>0</v>
      </c>
      <c r="D2" s="17" t="s">
        <v>24</v>
      </c>
      <c r="E2" s="17" t="s">
        <v>25</v>
      </c>
      <c r="F2" s="17" t="s">
        <v>26</v>
      </c>
      <c r="G2" s="22">
        <v>45000</v>
      </c>
    </row>
    <row r="3" spans="1:7" x14ac:dyDescent="0.3">
      <c r="A3" s="21" t="s">
        <v>27</v>
      </c>
      <c r="B3" s="17" t="s">
        <v>2</v>
      </c>
      <c r="C3" s="17" t="s">
        <v>28</v>
      </c>
      <c r="D3" s="17" t="s">
        <v>29</v>
      </c>
      <c r="E3" s="17" t="s">
        <v>30</v>
      </c>
      <c r="F3" s="17" t="s">
        <v>31</v>
      </c>
      <c r="G3" s="22">
        <v>52000</v>
      </c>
    </row>
    <row r="4" spans="1:7" x14ac:dyDescent="0.3">
      <c r="A4" s="21" t="s">
        <v>32</v>
      </c>
      <c r="B4" s="17" t="s">
        <v>3</v>
      </c>
      <c r="C4" s="17" t="s">
        <v>33</v>
      </c>
      <c r="D4" s="17" t="s">
        <v>34</v>
      </c>
      <c r="E4" s="17" t="s">
        <v>35</v>
      </c>
      <c r="F4" s="17" t="s">
        <v>36</v>
      </c>
      <c r="G4" s="22">
        <v>61000</v>
      </c>
    </row>
    <row r="5" spans="1:7" x14ac:dyDescent="0.3">
      <c r="A5" s="21" t="s">
        <v>37</v>
      </c>
      <c r="B5" s="17" t="s">
        <v>4</v>
      </c>
      <c r="C5" s="17" t="s">
        <v>38</v>
      </c>
      <c r="D5" s="17" t="s">
        <v>39</v>
      </c>
      <c r="E5" s="17" t="s">
        <v>40</v>
      </c>
      <c r="F5" s="17" t="s">
        <v>41</v>
      </c>
      <c r="G5" s="22">
        <v>75000</v>
      </c>
    </row>
    <row r="6" spans="1:7" x14ac:dyDescent="0.3">
      <c r="A6" s="21" t="s">
        <v>42</v>
      </c>
      <c r="B6" s="17" t="s">
        <v>5</v>
      </c>
      <c r="C6" s="17" t="s">
        <v>43</v>
      </c>
      <c r="D6" s="17" t="s">
        <v>24</v>
      </c>
      <c r="E6" s="17" t="s">
        <v>44</v>
      </c>
      <c r="F6" s="17" t="s">
        <v>45</v>
      </c>
      <c r="G6" s="22">
        <v>48000</v>
      </c>
    </row>
    <row r="7" spans="1:7" x14ac:dyDescent="0.3">
      <c r="A7" s="21" t="s">
        <v>46</v>
      </c>
      <c r="B7" s="17" t="s">
        <v>47</v>
      </c>
      <c r="C7" s="17" t="s">
        <v>48</v>
      </c>
      <c r="D7" s="17" t="s">
        <v>34</v>
      </c>
      <c r="E7" s="17" t="s">
        <v>49</v>
      </c>
      <c r="F7" s="17" t="s">
        <v>50</v>
      </c>
      <c r="G7" s="22">
        <v>58000</v>
      </c>
    </row>
    <row r="8" spans="1:7" x14ac:dyDescent="0.3">
      <c r="A8" s="21" t="s">
        <v>51</v>
      </c>
      <c r="B8" s="17" t="s">
        <v>52</v>
      </c>
      <c r="C8" s="17" t="s">
        <v>0</v>
      </c>
      <c r="D8" s="17" t="s">
        <v>53</v>
      </c>
      <c r="E8" s="17" t="s">
        <v>25</v>
      </c>
      <c r="F8" s="17" t="s">
        <v>26</v>
      </c>
      <c r="G8" s="22">
        <v>82000</v>
      </c>
    </row>
    <row r="9" spans="1:7" x14ac:dyDescent="0.3">
      <c r="A9" s="21" t="s">
        <v>54</v>
      </c>
      <c r="B9" s="17" t="s">
        <v>12</v>
      </c>
      <c r="C9" s="17" t="s">
        <v>38</v>
      </c>
      <c r="D9" s="17" t="s">
        <v>55</v>
      </c>
      <c r="E9" s="17" t="s">
        <v>40</v>
      </c>
      <c r="F9" s="17" t="s">
        <v>41</v>
      </c>
      <c r="G9" s="22">
        <v>96000</v>
      </c>
    </row>
    <row r="10" spans="1:7" x14ac:dyDescent="0.3">
      <c r="A10" s="21" t="s">
        <v>56</v>
      </c>
      <c r="B10" s="17" t="s">
        <v>6</v>
      </c>
      <c r="C10" s="17" t="s">
        <v>33</v>
      </c>
      <c r="D10" s="17" t="s">
        <v>53</v>
      </c>
      <c r="E10" s="17" t="s">
        <v>35</v>
      </c>
      <c r="F10" s="17" t="s">
        <v>36</v>
      </c>
      <c r="G10" s="22">
        <v>90000</v>
      </c>
    </row>
    <row r="11" spans="1:7" ht="15" thickBot="1" x14ac:dyDescent="0.35">
      <c r="A11" s="23" t="s">
        <v>57</v>
      </c>
      <c r="B11" s="24" t="s">
        <v>7</v>
      </c>
      <c r="C11" s="24" t="s">
        <v>28</v>
      </c>
      <c r="D11" s="24" t="s">
        <v>58</v>
      </c>
      <c r="E11" s="24" t="s">
        <v>30</v>
      </c>
      <c r="F11" s="24" t="s">
        <v>31</v>
      </c>
      <c r="G11" s="25">
        <v>78000</v>
      </c>
    </row>
    <row r="13" spans="1:7" x14ac:dyDescent="0.3">
      <c r="A13" s="7" t="s">
        <v>74</v>
      </c>
      <c r="B13" s="45" t="s">
        <v>75</v>
      </c>
      <c r="C13" s="45"/>
      <c r="D13" s="45"/>
      <c r="E13" s="45"/>
      <c r="F13" s="45"/>
      <c r="G13" s="45"/>
    </row>
    <row r="14" spans="1:7" x14ac:dyDescent="0.3">
      <c r="A14" s="10" t="s">
        <v>76</v>
      </c>
      <c r="B14" s="6" t="str">
        <f>VLOOKUP("EMP005",A2:G11,2,FALSE)</f>
        <v>Neha Singh</v>
      </c>
      <c r="C14" s="6"/>
      <c r="D14" s="6"/>
      <c r="E14" s="6"/>
      <c r="F14" s="6"/>
      <c r="G14" s="6"/>
    </row>
    <row r="15" spans="1:7" x14ac:dyDescent="0.3">
      <c r="A15" s="13" t="s">
        <v>77</v>
      </c>
      <c r="B15" s="46" t="s">
        <v>78</v>
      </c>
      <c r="C15" s="46"/>
      <c r="D15" s="46"/>
      <c r="E15" s="46"/>
      <c r="F15" s="46"/>
      <c r="G15" s="46"/>
    </row>
    <row r="16" spans="1:7" x14ac:dyDescent="0.3">
      <c r="A16" s="8" t="s">
        <v>13</v>
      </c>
      <c r="B16" s="45" t="s">
        <v>79</v>
      </c>
      <c r="C16" s="45"/>
      <c r="D16" s="45"/>
      <c r="E16" s="45"/>
      <c r="F16" s="45"/>
      <c r="G16" s="45"/>
    </row>
    <row r="17" spans="1:7" x14ac:dyDescent="0.3">
      <c r="A17" s="11" t="s">
        <v>76</v>
      </c>
      <c r="B17" s="6" t="s">
        <v>17</v>
      </c>
      <c r="C17" s="6" t="s">
        <v>11</v>
      </c>
      <c r="D17" s="6"/>
      <c r="E17" s="6"/>
      <c r="F17" s="6"/>
      <c r="G17" s="6"/>
    </row>
    <row r="18" spans="1:7" x14ac:dyDescent="0.3">
      <c r="A18" s="11"/>
      <c r="B18" s="6" t="s">
        <v>32</v>
      </c>
      <c r="C18" s="6" t="str">
        <f>VLOOKUP(B18,$A$2:$G$11,3,FALSE)</f>
        <v>Finance</v>
      </c>
      <c r="D18" s="6"/>
      <c r="E18" s="6"/>
      <c r="F18" s="6"/>
      <c r="G18" s="6"/>
    </row>
    <row r="19" spans="1:7" x14ac:dyDescent="0.3">
      <c r="A19" s="11"/>
      <c r="B19" s="6" t="s">
        <v>46</v>
      </c>
      <c r="C19" s="6" t="str">
        <f t="shared" ref="C19:C21" si="0">VLOOKUP(B19,$A$2:$G$11,3,FALSE)</f>
        <v>Operations</v>
      </c>
      <c r="D19" s="6"/>
      <c r="E19" s="6"/>
      <c r="F19" s="6"/>
      <c r="G19" s="6"/>
    </row>
    <row r="20" spans="1:7" x14ac:dyDescent="0.3">
      <c r="A20" s="11"/>
      <c r="B20" s="6" t="s">
        <v>57</v>
      </c>
      <c r="C20" s="6" t="str">
        <f t="shared" si="0"/>
        <v>HR</v>
      </c>
      <c r="D20" s="6"/>
      <c r="E20" s="6"/>
      <c r="F20" s="6"/>
      <c r="G20" s="6"/>
    </row>
    <row r="21" spans="1:7" x14ac:dyDescent="0.3">
      <c r="A21" s="11"/>
      <c r="B21" s="6" t="s">
        <v>54</v>
      </c>
      <c r="C21" s="6" t="str">
        <f t="shared" si="0"/>
        <v>IT</v>
      </c>
      <c r="D21" s="6"/>
      <c r="E21" s="6"/>
      <c r="F21" s="6"/>
      <c r="G21" s="6"/>
    </row>
    <row r="22" spans="1:7" x14ac:dyDescent="0.3">
      <c r="A22" s="12" t="s">
        <v>77</v>
      </c>
      <c r="B22" s="46" t="s">
        <v>80</v>
      </c>
      <c r="C22" s="46"/>
      <c r="D22" s="46"/>
      <c r="E22" s="46"/>
      <c r="F22" s="46"/>
      <c r="G22" s="46"/>
    </row>
    <row r="23" spans="1:7" x14ac:dyDescent="0.3">
      <c r="A23" s="8" t="s">
        <v>14</v>
      </c>
      <c r="B23" s="45" t="s">
        <v>81</v>
      </c>
      <c r="C23" s="45"/>
      <c r="D23" s="45"/>
      <c r="E23" s="45"/>
      <c r="F23" s="45"/>
      <c r="G23" s="45"/>
    </row>
    <row r="24" spans="1:7" x14ac:dyDescent="0.3">
      <c r="A24" s="11" t="s">
        <v>76</v>
      </c>
      <c r="B24" s="9" t="s">
        <v>17</v>
      </c>
      <c r="C24" s="6" t="s">
        <v>22</v>
      </c>
      <c r="D24" s="6"/>
      <c r="E24" s="6"/>
      <c r="F24" s="6"/>
      <c r="G24" s="6"/>
    </row>
    <row r="25" spans="1:7" x14ac:dyDescent="0.3">
      <c r="A25" s="11"/>
      <c r="B25" s="6" t="s">
        <v>32</v>
      </c>
      <c r="C25" s="6">
        <f>VLOOKUP(B25,$A$2:$G$11,7,FALSE)</f>
        <v>61000</v>
      </c>
      <c r="D25" s="6"/>
      <c r="E25" s="6"/>
      <c r="F25" s="6"/>
      <c r="G25" s="6"/>
    </row>
    <row r="26" spans="1:7" x14ac:dyDescent="0.3">
      <c r="A26" s="11"/>
      <c r="B26" s="6" t="s">
        <v>46</v>
      </c>
      <c r="C26" s="6">
        <f t="shared" ref="C26:C28" si="1">VLOOKUP(B26,$A$2:$G$11,7,FALSE)</f>
        <v>58000</v>
      </c>
      <c r="D26" s="6"/>
      <c r="E26" s="6"/>
      <c r="F26" s="6"/>
      <c r="G26" s="6"/>
    </row>
    <row r="27" spans="1:7" x14ac:dyDescent="0.3">
      <c r="A27" s="11"/>
      <c r="B27" s="6" t="s">
        <v>57</v>
      </c>
      <c r="C27" s="6">
        <f t="shared" si="1"/>
        <v>78000</v>
      </c>
      <c r="D27" s="6"/>
      <c r="E27" s="6"/>
      <c r="F27" s="6"/>
      <c r="G27" s="6"/>
    </row>
    <row r="28" spans="1:7" x14ac:dyDescent="0.3">
      <c r="A28" s="11"/>
      <c r="B28" s="6" t="s">
        <v>54</v>
      </c>
      <c r="C28" s="6">
        <f t="shared" si="1"/>
        <v>96000</v>
      </c>
      <c r="D28" s="6"/>
      <c r="E28" s="6"/>
      <c r="F28" s="6"/>
      <c r="G28" s="6"/>
    </row>
    <row r="29" spans="1:7" x14ac:dyDescent="0.3">
      <c r="A29" s="12" t="s">
        <v>77</v>
      </c>
      <c r="B29" s="46" t="s">
        <v>82</v>
      </c>
      <c r="C29" s="46"/>
      <c r="D29" s="46"/>
      <c r="E29" s="46"/>
      <c r="F29" s="46"/>
      <c r="G29" s="46"/>
    </row>
    <row r="30" spans="1:7" x14ac:dyDescent="0.3">
      <c r="A30" s="8" t="s">
        <v>15</v>
      </c>
      <c r="B30" s="45" t="s">
        <v>83</v>
      </c>
      <c r="C30" s="45"/>
      <c r="D30" s="45"/>
      <c r="E30" s="45"/>
      <c r="F30" s="45"/>
      <c r="G30" s="45"/>
    </row>
    <row r="31" spans="1:7" x14ac:dyDescent="0.3">
      <c r="A31" s="14" t="s">
        <v>76</v>
      </c>
      <c r="B31" s="15" t="str">
        <f>VLOOKUP("EMP008",A2:G11,4,FALSE)</f>
        <v>Senior Developer</v>
      </c>
      <c r="C31" s="5"/>
      <c r="D31" s="5"/>
      <c r="E31" s="5"/>
      <c r="F31" s="5"/>
      <c r="G31" s="5"/>
    </row>
    <row r="32" spans="1:7" x14ac:dyDescent="0.3">
      <c r="A32" s="12" t="s">
        <v>77</v>
      </c>
      <c r="B32" s="15" t="s">
        <v>84</v>
      </c>
      <c r="C32" s="5"/>
      <c r="D32" s="5"/>
      <c r="E32" s="5"/>
      <c r="F32" s="5"/>
      <c r="G32" s="5"/>
    </row>
    <row r="33" spans="1:7" x14ac:dyDescent="0.3">
      <c r="A33" s="8" t="s">
        <v>16</v>
      </c>
      <c r="B33" s="45" t="s">
        <v>85</v>
      </c>
      <c r="C33" s="45"/>
      <c r="D33" s="45"/>
      <c r="E33" s="45"/>
      <c r="F33" s="45"/>
      <c r="G33" s="45"/>
    </row>
    <row r="34" spans="1:7" x14ac:dyDescent="0.3">
      <c r="A34" s="14" t="s">
        <v>76</v>
      </c>
      <c r="B34" s="15" t="str">
        <f>VLOOKUP("EMP004",A2:G11,5,FALSE)</f>
        <v>Bangalore</v>
      </c>
      <c r="C34" s="15"/>
      <c r="D34" s="15"/>
      <c r="E34" s="15"/>
      <c r="F34" s="15"/>
      <c r="G34" s="15"/>
    </row>
    <row r="35" spans="1:7" x14ac:dyDescent="0.3">
      <c r="A35" s="16" t="s">
        <v>77</v>
      </c>
      <c r="B35" s="15" t="s">
        <v>86</v>
      </c>
      <c r="C35" s="15"/>
      <c r="D35" s="15"/>
      <c r="E35" s="15"/>
      <c r="F35" s="15"/>
      <c r="G35" s="15"/>
    </row>
  </sheetData>
  <mergeCells count="8">
    <mergeCell ref="B30:G30"/>
    <mergeCell ref="B33:G33"/>
    <mergeCell ref="B13:G13"/>
    <mergeCell ref="B15:G15"/>
    <mergeCell ref="B16:G16"/>
    <mergeCell ref="B22:G22"/>
    <mergeCell ref="B23:G23"/>
    <mergeCell ref="B29:G2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579F-C4D3-4AB4-AE1A-2E9173893DE7}">
  <dimension ref="A1:G21"/>
  <sheetViews>
    <sheetView zoomScale="280" zoomScaleNormal="280" workbookViewId="0">
      <selection activeCell="H2" sqref="H2"/>
    </sheetView>
  </sheetViews>
  <sheetFormatPr defaultRowHeight="14.4" x14ac:dyDescent="0.3"/>
  <cols>
    <col min="1" max="1" width="7.44140625" bestFit="1" customWidth="1"/>
    <col min="2" max="4" width="4" bestFit="1" customWidth="1"/>
    <col min="5" max="5" width="4" customWidth="1"/>
  </cols>
  <sheetData>
    <row r="1" spans="1:7" x14ac:dyDescent="0.3">
      <c r="A1" s="31" t="s">
        <v>68</v>
      </c>
      <c r="B1" s="32" t="s">
        <v>69</v>
      </c>
      <c r="C1" s="32" t="s">
        <v>70</v>
      </c>
      <c r="D1" s="32" t="s">
        <v>71</v>
      </c>
      <c r="E1" s="33" t="s">
        <v>72</v>
      </c>
    </row>
    <row r="2" spans="1:7" x14ac:dyDescent="0.3">
      <c r="A2" s="34" t="s">
        <v>8</v>
      </c>
      <c r="B2" s="30">
        <v>120</v>
      </c>
      <c r="C2" s="30">
        <v>150</v>
      </c>
      <c r="D2" s="30">
        <v>180</v>
      </c>
      <c r="E2" s="35">
        <v>170</v>
      </c>
    </row>
    <row r="3" spans="1:7" x14ac:dyDescent="0.3">
      <c r="A3" s="34" t="s">
        <v>73</v>
      </c>
      <c r="B3" s="30">
        <v>200</v>
      </c>
      <c r="C3" s="30">
        <v>240</v>
      </c>
      <c r="D3" s="30">
        <v>230</v>
      </c>
      <c r="E3" s="35">
        <v>260</v>
      </c>
    </row>
    <row r="4" spans="1:7" x14ac:dyDescent="0.3">
      <c r="A4" s="34" t="s">
        <v>9</v>
      </c>
      <c r="B4" s="30">
        <v>80</v>
      </c>
      <c r="C4" s="30">
        <v>95</v>
      </c>
      <c r="D4" s="30">
        <v>110</v>
      </c>
      <c r="E4" s="35">
        <v>105</v>
      </c>
    </row>
    <row r="5" spans="1:7" ht="15" thickBot="1" x14ac:dyDescent="0.35">
      <c r="A5" s="36" t="s">
        <v>10</v>
      </c>
      <c r="B5" s="37">
        <v>140</v>
      </c>
      <c r="C5" s="37">
        <v>150</v>
      </c>
      <c r="D5" s="37">
        <v>165</v>
      </c>
      <c r="E5" s="38">
        <v>180</v>
      </c>
    </row>
    <row r="7" spans="1:7" x14ac:dyDescent="0.3">
      <c r="A7" s="27" t="s">
        <v>74</v>
      </c>
      <c r="B7" s="47" t="s">
        <v>88</v>
      </c>
      <c r="C7" s="47"/>
      <c r="D7" s="47"/>
      <c r="E7" s="47"/>
      <c r="F7" s="47"/>
      <c r="G7" s="47"/>
    </row>
    <row r="8" spans="1:7" x14ac:dyDescent="0.3">
      <c r="A8" s="29" t="s">
        <v>87</v>
      </c>
      <c r="B8" s="48">
        <f>HLOOKUP("Q3",A1:E5,2,FALSE)</f>
        <v>180</v>
      </c>
      <c r="C8" s="48"/>
      <c r="D8" s="48"/>
      <c r="E8" s="48"/>
      <c r="F8" s="48"/>
      <c r="G8" s="48"/>
    </row>
    <row r="9" spans="1:7" x14ac:dyDescent="0.3">
      <c r="A9" s="28" t="s">
        <v>77</v>
      </c>
      <c r="B9" s="48" t="s">
        <v>89</v>
      </c>
      <c r="C9" s="48"/>
      <c r="D9" s="48"/>
      <c r="E9" s="48"/>
      <c r="F9" s="48"/>
      <c r="G9" s="48"/>
    </row>
    <row r="10" spans="1:7" x14ac:dyDescent="0.3">
      <c r="A10" s="27" t="s">
        <v>13</v>
      </c>
      <c r="B10" s="47" t="s">
        <v>90</v>
      </c>
      <c r="C10" s="47"/>
      <c r="D10" s="47"/>
      <c r="E10" s="47"/>
      <c r="F10" s="47"/>
      <c r="G10" s="47"/>
    </row>
    <row r="11" spans="1:7" x14ac:dyDescent="0.3">
      <c r="A11" s="29" t="s">
        <v>87</v>
      </c>
      <c r="B11" s="48">
        <f>HLOOKUP("Q4",A1:E5,3,FALSE)</f>
        <v>260</v>
      </c>
      <c r="C11" s="48"/>
      <c r="D11" s="48"/>
      <c r="E11" s="48"/>
      <c r="F11" s="48"/>
      <c r="G11" s="48"/>
    </row>
    <row r="12" spans="1:7" x14ac:dyDescent="0.3">
      <c r="A12" s="28" t="s">
        <v>77</v>
      </c>
      <c r="B12" s="48" t="s">
        <v>94</v>
      </c>
      <c r="C12" s="48"/>
      <c r="D12" s="48"/>
      <c r="E12" s="48"/>
      <c r="F12" s="48"/>
      <c r="G12" s="48"/>
    </row>
    <row r="13" spans="1:7" x14ac:dyDescent="0.3">
      <c r="A13" s="27" t="s">
        <v>14</v>
      </c>
      <c r="B13" s="47" t="s">
        <v>91</v>
      </c>
      <c r="C13" s="47"/>
      <c r="D13" s="47"/>
      <c r="E13" s="47"/>
      <c r="F13" s="47"/>
      <c r="G13" s="47"/>
    </row>
    <row r="14" spans="1:7" x14ac:dyDescent="0.3">
      <c r="A14" s="29" t="s">
        <v>87</v>
      </c>
      <c r="B14" s="48">
        <f>HLOOKUP("Q2",A1:E5,4,FALSE)</f>
        <v>95</v>
      </c>
      <c r="C14" s="48"/>
      <c r="D14" s="48"/>
      <c r="E14" s="48"/>
      <c r="F14" s="48"/>
      <c r="G14" s="48"/>
    </row>
    <row r="15" spans="1:7" x14ac:dyDescent="0.3">
      <c r="A15" s="28" t="s">
        <v>77</v>
      </c>
      <c r="B15" s="48" t="s">
        <v>95</v>
      </c>
      <c r="C15" s="48"/>
      <c r="D15" s="48"/>
      <c r="E15" s="48"/>
      <c r="F15" s="48"/>
      <c r="G15" s="48"/>
    </row>
    <row r="16" spans="1:7" ht="28.8" x14ac:dyDescent="0.3">
      <c r="A16" s="27" t="s">
        <v>15</v>
      </c>
      <c r="B16" s="47" t="s">
        <v>92</v>
      </c>
      <c r="C16" s="47"/>
      <c r="D16" s="47"/>
      <c r="E16" s="47"/>
      <c r="F16" s="47"/>
      <c r="G16" s="47"/>
    </row>
    <row r="17" spans="1:7" x14ac:dyDescent="0.3">
      <c r="A17" s="29" t="s">
        <v>87</v>
      </c>
      <c r="B17" s="48">
        <f>HLOOKUP("Q1",A1:E5,5,FALSE)</f>
        <v>140</v>
      </c>
      <c r="C17" s="48"/>
      <c r="D17" s="48"/>
      <c r="E17" s="48"/>
      <c r="F17" s="48"/>
      <c r="G17" s="48"/>
    </row>
    <row r="18" spans="1:7" x14ac:dyDescent="0.3">
      <c r="A18" s="28" t="s">
        <v>77</v>
      </c>
      <c r="B18" s="48" t="s">
        <v>96</v>
      </c>
      <c r="C18" s="48"/>
      <c r="D18" s="48"/>
      <c r="E18" s="48"/>
      <c r="F18" s="48"/>
      <c r="G18" s="48"/>
    </row>
    <row r="19" spans="1:7" ht="28.8" x14ac:dyDescent="0.3">
      <c r="A19" s="27" t="s">
        <v>16</v>
      </c>
      <c r="B19" s="47" t="s">
        <v>93</v>
      </c>
      <c r="C19" s="47"/>
      <c r="D19" s="47"/>
      <c r="E19" s="47"/>
      <c r="F19" s="47"/>
      <c r="G19" s="47"/>
    </row>
    <row r="20" spans="1:7" x14ac:dyDescent="0.3">
      <c r="A20" s="29" t="s">
        <v>87</v>
      </c>
      <c r="B20" s="48">
        <f>HLOOKUP("Q4",A1:E5,4,FALSE)</f>
        <v>105</v>
      </c>
      <c r="C20" s="48"/>
      <c r="D20" s="48"/>
      <c r="E20" s="48"/>
      <c r="F20" s="48"/>
      <c r="G20" s="48"/>
    </row>
    <row r="21" spans="1:7" x14ac:dyDescent="0.3">
      <c r="A21" s="28" t="s">
        <v>77</v>
      </c>
      <c r="B21" s="48" t="s">
        <v>97</v>
      </c>
      <c r="C21" s="48"/>
      <c r="D21" s="48"/>
      <c r="E21" s="48"/>
      <c r="F21" s="48"/>
      <c r="G21" s="48"/>
    </row>
  </sheetData>
  <mergeCells count="15">
    <mergeCell ref="B12:G12"/>
    <mergeCell ref="B9:G9"/>
    <mergeCell ref="B8:G8"/>
    <mergeCell ref="B7:G7"/>
    <mergeCell ref="B10:G10"/>
    <mergeCell ref="B11:G11"/>
    <mergeCell ref="B19:G19"/>
    <mergeCell ref="B20:G20"/>
    <mergeCell ref="B21:G21"/>
    <mergeCell ref="B13:G13"/>
    <mergeCell ref="B14:G14"/>
    <mergeCell ref="B15:G15"/>
    <mergeCell ref="B16:G16"/>
    <mergeCell ref="B17:G17"/>
    <mergeCell ref="B18:G1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DD191-4F36-4DCB-ADD9-6B282B0CAA6C}">
  <dimension ref="A1:G27"/>
  <sheetViews>
    <sheetView topLeftCell="A15" zoomScale="160" zoomScaleNormal="160" workbookViewId="0">
      <selection activeCell="B27" sqref="A1:G27"/>
    </sheetView>
  </sheetViews>
  <sheetFormatPr defaultRowHeight="14.4" x14ac:dyDescent="0.3"/>
  <cols>
    <col min="1" max="1" width="12.44140625" bestFit="1" customWidth="1"/>
    <col min="2" max="2" width="15.77734375" bestFit="1" customWidth="1"/>
    <col min="3" max="3" width="11.5546875" bestFit="1" customWidth="1"/>
    <col min="4" max="4" width="15.44140625" bestFit="1" customWidth="1"/>
    <col min="5" max="5" width="10.21875" bestFit="1" customWidth="1"/>
    <col min="6" max="6" width="11.109375" bestFit="1" customWidth="1"/>
    <col min="7" max="7" width="6.21875" bestFit="1" customWidth="1"/>
  </cols>
  <sheetData>
    <row r="1" spans="1:7" x14ac:dyDescent="0.3">
      <c r="A1" s="18" t="s">
        <v>17</v>
      </c>
      <c r="B1" s="19" t="s">
        <v>18</v>
      </c>
      <c r="C1" s="19" t="s">
        <v>11</v>
      </c>
      <c r="D1" s="19" t="s">
        <v>19</v>
      </c>
      <c r="E1" s="19" t="s">
        <v>20</v>
      </c>
      <c r="F1" s="19" t="s">
        <v>21</v>
      </c>
      <c r="G1" s="20" t="s">
        <v>22</v>
      </c>
    </row>
    <row r="2" spans="1:7" x14ac:dyDescent="0.3">
      <c r="A2" s="21" t="s">
        <v>23</v>
      </c>
      <c r="B2" s="17" t="s">
        <v>1</v>
      </c>
      <c r="C2" s="17" t="s">
        <v>0</v>
      </c>
      <c r="D2" s="17" t="s">
        <v>24</v>
      </c>
      <c r="E2" s="17" t="s">
        <v>25</v>
      </c>
      <c r="F2" s="17" t="s">
        <v>26</v>
      </c>
      <c r="G2" s="22">
        <v>45000</v>
      </c>
    </row>
    <row r="3" spans="1:7" x14ac:dyDescent="0.3">
      <c r="A3" s="21" t="s">
        <v>27</v>
      </c>
      <c r="B3" s="17" t="s">
        <v>2</v>
      </c>
      <c r="C3" s="17" t="s">
        <v>28</v>
      </c>
      <c r="D3" s="17" t="s">
        <v>29</v>
      </c>
      <c r="E3" s="17" t="s">
        <v>30</v>
      </c>
      <c r="F3" s="17" t="s">
        <v>31</v>
      </c>
      <c r="G3" s="22">
        <v>52000</v>
      </c>
    </row>
    <row r="4" spans="1:7" x14ac:dyDescent="0.3">
      <c r="A4" s="21" t="s">
        <v>32</v>
      </c>
      <c r="B4" s="17" t="s">
        <v>3</v>
      </c>
      <c r="C4" s="17" t="s">
        <v>33</v>
      </c>
      <c r="D4" s="17" t="s">
        <v>34</v>
      </c>
      <c r="E4" s="17" t="s">
        <v>35</v>
      </c>
      <c r="F4" s="17" t="s">
        <v>36</v>
      </c>
      <c r="G4" s="22">
        <v>61000</v>
      </c>
    </row>
    <row r="5" spans="1:7" x14ac:dyDescent="0.3">
      <c r="A5" s="21" t="s">
        <v>37</v>
      </c>
      <c r="B5" s="17" t="s">
        <v>4</v>
      </c>
      <c r="C5" s="17" t="s">
        <v>38</v>
      </c>
      <c r="D5" s="17" t="s">
        <v>39</v>
      </c>
      <c r="E5" s="17" t="s">
        <v>40</v>
      </c>
      <c r="F5" s="17" t="s">
        <v>41</v>
      </c>
      <c r="G5" s="22">
        <v>75000</v>
      </c>
    </row>
    <row r="6" spans="1:7" x14ac:dyDescent="0.3">
      <c r="A6" s="21" t="s">
        <v>42</v>
      </c>
      <c r="B6" s="17" t="s">
        <v>5</v>
      </c>
      <c r="C6" s="17" t="s">
        <v>43</v>
      </c>
      <c r="D6" s="17" t="s">
        <v>24</v>
      </c>
      <c r="E6" s="17" t="s">
        <v>44</v>
      </c>
      <c r="F6" s="17" t="s">
        <v>45</v>
      </c>
      <c r="G6" s="22">
        <v>48000</v>
      </c>
    </row>
    <row r="7" spans="1:7" x14ac:dyDescent="0.3">
      <c r="A7" s="21" t="s">
        <v>46</v>
      </c>
      <c r="B7" s="17" t="s">
        <v>47</v>
      </c>
      <c r="C7" s="17" t="s">
        <v>48</v>
      </c>
      <c r="D7" s="17" t="s">
        <v>34</v>
      </c>
      <c r="E7" s="17" t="s">
        <v>49</v>
      </c>
      <c r="F7" s="17" t="s">
        <v>50</v>
      </c>
      <c r="G7" s="22">
        <v>58000</v>
      </c>
    </row>
    <row r="8" spans="1:7" x14ac:dyDescent="0.3">
      <c r="A8" s="21" t="s">
        <v>51</v>
      </c>
      <c r="B8" s="17" t="s">
        <v>52</v>
      </c>
      <c r="C8" s="17" t="s">
        <v>0</v>
      </c>
      <c r="D8" s="17" t="s">
        <v>53</v>
      </c>
      <c r="E8" s="17" t="s">
        <v>25</v>
      </c>
      <c r="F8" s="17" t="s">
        <v>26</v>
      </c>
      <c r="G8" s="22">
        <v>82000</v>
      </c>
    </row>
    <row r="9" spans="1:7" x14ac:dyDescent="0.3">
      <c r="A9" s="21" t="s">
        <v>54</v>
      </c>
      <c r="B9" s="17" t="s">
        <v>12</v>
      </c>
      <c r="C9" s="17" t="s">
        <v>38</v>
      </c>
      <c r="D9" s="17" t="s">
        <v>55</v>
      </c>
      <c r="E9" s="17" t="s">
        <v>40</v>
      </c>
      <c r="F9" s="17" t="s">
        <v>41</v>
      </c>
      <c r="G9" s="22">
        <v>96000</v>
      </c>
    </row>
    <row r="10" spans="1:7" x14ac:dyDescent="0.3">
      <c r="A10" s="21" t="s">
        <v>56</v>
      </c>
      <c r="B10" s="17" t="s">
        <v>6</v>
      </c>
      <c r="C10" s="17" t="s">
        <v>33</v>
      </c>
      <c r="D10" s="17" t="s">
        <v>53</v>
      </c>
      <c r="E10" s="17" t="s">
        <v>35</v>
      </c>
      <c r="F10" s="17" t="s">
        <v>36</v>
      </c>
      <c r="G10" s="22">
        <v>90000</v>
      </c>
    </row>
    <row r="11" spans="1:7" ht="15" thickBot="1" x14ac:dyDescent="0.35">
      <c r="A11" s="23" t="s">
        <v>57</v>
      </c>
      <c r="B11" s="24" t="s">
        <v>7</v>
      </c>
      <c r="C11" s="24" t="s">
        <v>28</v>
      </c>
      <c r="D11" s="24" t="s">
        <v>58</v>
      </c>
      <c r="E11" s="24" t="s">
        <v>30</v>
      </c>
      <c r="F11" s="24" t="s">
        <v>31</v>
      </c>
      <c r="G11" s="25">
        <v>78000</v>
      </c>
    </row>
    <row r="13" spans="1:7" x14ac:dyDescent="0.3">
      <c r="A13" s="39" t="s">
        <v>74</v>
      </c>
      <c r="B13" s="45" t="s">
        <v>98</v>
      </c>
      <c r="C13" s="45"/>
      <c r="D13" s="45"/>
      <c r="E13" s="45"/>
      <c r="F13" s="45"/>
      <c r="G13" s="45"/>
    </row>
    <row r="14" spans="1:7" x14ac:dyDescent="0.3">
      <c r="A14" s="41" t="s">
        <v>87</v>
      </c>
      <c r="B14" s="48">
        <f>_xlfn.XLOOKUP("EMP003",A2:A11,G2:G11,"Not Found",0)</f>
        <v>61000</v>
      </c>
      <c r="C14" s="48"/>
      <c r="D14" s="48"/>
      <c r="E14" s="48"/>
      <c r="F14" s="48"/>
      <c r="G14" s="48"/>
    </row>
    <row r="15" spans="1:7" x14ac:dyDescent="0.3">
      <c r="A15" s="40" t="s">
        <v>77</v>
      </c>
      <c r="B15" s="48" t="s">
        <v>99</v>
      </c>
      <c r="C15" s="48"/>
      <c r="D15" s="48"/>
      <c r="E15" s="48"/>
      <c r="F15" s="48"/>
      <c r="G15" s="48"/>
    </row>
    <row r="16" spans="1:7" x14ac:dyDescent="0.3">
      <c r="A16" s="39" t="s">
        <v>13</v>
      </c>
      <c r="B16" s="45" t="s">
        <v>100</v>
      </c>
      <c r="C16" s="45"/>
      <c r="D16" s="45"/>
      <c r="E16" s="45"/>
      <c r="F16" s="45"/>
      <c r="G16" s="45"/>
    </row>
    <row r="17" spans="1:7" x14ac:dyDescent="0.3">
      <c r="A17" s="41" t="s">
        <v>87</v>
      </c>
      <c r="B17" s="48" t="str">
        <f>_xlfn.XLOOKUP("EMP009",A2:A11,C2:C11,"Not Found",0)</f>
        <v>Finance</v>
      </c>
      <c r="C17" s="48"/>
      <c r="D17" s="48"/>
      <c r="E17" s="48"/>
      <c r="F17" s="48"/>
      <c r="G17" s="48"/>
    </row>
    <row r="18" spans="1:7" x14ac:dyDescent="0.3">
      <c r="A18" s="40" t="s">
        <v>77</v>
      </c>
      <c r="B18" s="48" t="s">
        <v>101</v>
      </c>
      <c r="C18" s="48"/>
      <c r="D18" s="48"/>
      <c r="E18" s="48"/>
      <c r="F18" s="48"/>
      <c r="G18" s="48"/>
    </row>
    <row r="19" spans="1:7" x14ac:dyDescent="0.3">
      <c r="A19" s="39" t="s">
        <v>14</v>
      </c>
      <c r="B19" s="45" t="s">
        <v>102</v>
      </c>
      <c r="C19" s="45"/>
      <c r="D19" s="45"/>
      <c r="E19" s="45"/>
      <c r="F19" s="45"/>
      <c r="G19" s="45"/>
    </row>
    <row r="20" spans="1:7" x14ac:dyDescent="0.3">
      <c r="A20" s="41" t="s">
        <v>87</v>
      </c>
      <c r="B20" s="48" t="str">
        <f>_xlfn.XLOOKUP("EMP012",A2:A11,B2:B11,"Employee Not Found",0)</f>
        <v>Employee Not Found</v>
      </c>
      <c r="C20" s="48"/>
      <c r="D20" s="48"/>
      <c r="E20" s="48"/>
      <c r="F20" s="48"/>
      <c r="G20" s="48"/>
    </row>
    <row r="21" spans="1:7" x14ac:dyDescent="0.3">
      <c r="A21" s="40" t="s">
        <v>77</v>
      </c>
      <c r="B21" s="48" t="s">
        <v>103</v>
      </c>
      <c r="C21" s="48"/>
      <c r="D21" s="48"/>
      <c r="E21" s="48"/>
      <c r="F21" s="48"/>
      <c r="G21" s="48"/>
    </row>
    <row r="22" spans="1:7" x14ac:dyDescent="0.3">
      <c r="A22" s="39" t="s">
        <v>15</v>
      </c>
      <c r="B22" s="45" t="s">
        <v>104</v>
      </c>
      <c r="C22" s="45"/>
      <c r="D22" s="45"/>
      <c r="E22" s="45"/>
      <c r="F22" s="45"/>
      <c r="G22" s="45"/>
    </row>
    <row r="23" spans="1:7" x14ac:dyDescent="0.3">
      <c r="A23" s="41" t="s">
        <v>87</v>
      </c>
      <c r="B23" s="48" t="str">
        <f>_xlfn.XLOOKUP("EMP003",A2:A11,F2:F11,"Not Found",0)</f>
        <v>MGR103</v>
      </c>
      <c r="C23" s="48"/>
      <c r="D23" s="48"/>
      <c r="E23" s="48"/>
      <c r="F23" s="48"/>
      <c r="G23" s="48"/>
    </row>
    <row r="24" spans="1:7" x14ac:dyDescent="0.3">
      <c r="A24" s="40" t="s">
        <v>77</v>
      </c>
      <c r="B24" s="48" t="s">
        <v>105</v>
      </c>
      <c r="C24" s="48"/>
      <c r="D24" s="48"/>
      <c r="E24" s="48"/>
      <c r="F24" s="48"/>
      <c r="G24" s="48"/>
    </row>
    <row r="25" spans="1:7" x14ac:dyDescent="0.3">
      <c r="A25" s="39" t="s">
        <v>16</v>
      </c>
      <c r="B25" s="45" t="s">
        <v>106</v>
      </c>
      <c r="C25" s="45"/>
      <c r="D25" s="45"/>
      <c r="E25" s="45"/>
      <c r="F25" s="45"/>
      <c r="G25" s="45"/>
    </row>
    <row r="26" spans="1:7" x14ac:dyDescent="0.3">
      <c r="A26" s="41" t="s">
        <v>87</v>
      </c>
      <c r="B26" s="48" t="str">
        <f>_xlfn.XLOOKUP("EMP006",A2:A11,B2:B11,"Not Found",0)</f>
        <v>Arjun Sen</v>
      </c>
      <c r="C26" s="48"/>
      <c r="D26" s="48"/>
      <c r="E26" s="48"/>
      <c r="F26" s="48"/>
      <c r="G26" s="48"/>
    </row>
    <row r="27" spans="1:7" x14ac:dyDescent="0.3">
      <c r="A27" s="40" t="s">
        <v>77</v>
      </c>
      <c r="B27" s="48" t="s">
        <v>107</v>
      </c>
      <c r="C27" s="48"/>
      <c r="D27" s="48"/>
      <c r="E27" s="48"/>
      <c r="F27" s="48"/>
      <c r="G27" s="48"/>
    </row>
  </sheetData>
  <mergeCells count="15">
    <mergeCell ref="B18:G18"/>
    <mergeCell ref="B13:G13"/>
    <mergeCell ref="B15:G15"/>
    <mergeCell ref="B14:G14"/>
    <mergeCell ref="B16:G16"/>
    <mergeCell ref="B17:G17"/>
    <mergeCell ref="B25:G25"/>
    <mergeCell ref="B26:G26"/>
    <mergeCell ref="B27:G27"/>
    <mergeCell ref="B19:G19"/>
    <mergeCell ref="B20:G20"/>
    <mergeCell ref="B21:G21"/>
    <mergeCell ref="B22:G22"/>
    <mergeCell ref="B23:G23"/>
    <mergeCell ref="B24:G2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93095-0941-49CB-87AB-81250722DC90}">
  <dimension ref="A1:G27"/>
  <sheetViews>
    <sheetView zoomScale="145" zoomScaleNormal="145" workbookViewId="0">
      <selection sqref="A1:G27"/>
    </sheetView>
  </sheetViews>
  <sheetFormatPr defaultRowHeight="14.4" x14ac:dyDescent="0.3"/>
  <cols>
    <col min="1" max="1" width="11.88671875" bestFit="1" customWidth="1"/>
    <col min="2" max="2" width="15.109375" bestFit="1" customWidth="1"/>
    <col min="3" max="3" width="11" bestFit="1" customWidth="1"/>
    <col min="4" max="4" width="14.6640625" bestFit="1" customWidth="1"/>
    <col min="5" max="5" width="9.77734375" bestFit="1" customWidth="1"/>
    <col min="6" max="6" width="10.6640625" bestFit="1" customWidth="1"/>
    <col min="7" max="7" width="6.21875" bestFit="1" customWidth="1"/>
  </cols>
  <sheetData>
    <row r="1" spans="1:7" x14ac:dyDescent="0.3">
      <c r="A1" s="18" t="s">
        <v>17</v>
      </c>
      <c r="B1" s="19" t="s">
        <v>18</v>
      </c>
      <c r="C1" s="19" t="s">
        <v>11</v>
      </c>
      <c r="D1" s="19" t="s">
        <v>19</v>
      </c>
      <c r="E1" s="19" t="s">
        <v>20</v>
      </c>
      <c r="F1" s="19" t="s">
        <v>21</v>
      </c>
      <c r="G1" s="20" t="s">
        <v>22</v>
      </c>
    </row>
    <row r="2" spans="1:7" x14ac:dyDescent="0.3">
      <c r="A2" s="21" t="s">
        <v>23</v>
      </c>
      <c r="B2" s="17" t="s">
        <v>1</v>
      </c>
      <c r="C2" s="17" t="s">
        <v>0</v>
      </c>
      <c r="D2" s="17" t="s">
        <v>24</v>
      </c>
      <c r="E2" s="17" t="s">
        <v>25</v>
      </c>
      <c r="F2" s="17" t="s">
        <v>26</v>
      </c>
      <c r="G2" s="22">
        <v>45000</v>
      </c>
    </row>
    <row r="3" spans="1:7" x14ac:dyDescent="0.3">
      <c r="A3" s="21" t="s">
        <v>27</v>
      </c>
      <c r="B3" s="17" t="s">
        <v>2</v>
      </c>
      <c r="C3" s="17" t="s">
        <v>28</v>
      </c>
      <c r="D3" s="17" t="s">
        <v>29</v>
      </c>
      <c r="E3" s="17" t="s">
        <v>30</v>
      </c>
      <c r="F3" s="17" t="s">
        <v>31</v>
      </c>
      <c r="G3" s="22">
        <v>52000</v>
      </c>
    </row>
    <row r="4" spans="1:7" x14ac:dyDescent="0.3">
      <c r="A4" s="21" t="s">
        <v>32</v>
      </c>
      <c r="B4" s="17" t="s">
        <v>3</v>
      </c>
      <c r="C4" s="17" t="s">
        <v>33</v>
      </c>
      <c r="D4" s="17" t="s">
        <v>34</v>
      </c>
      <c r="E4" s="17" t="s">
        <v>35</v>
      </c>
      <c r="F4" s="17" t="s">
        <v>36</v>
      </c>
      <c r="G4" s="22">
        <v>61000</v>
      </c>
    </row>
    <row r="5" spans="1:7" x14ac:dyDescent="0.3">
      <c r="A5" s="21" t="s">
        <v>37</v>
      </c>
      <c r="B5" s="17" t="s">
        <v>4</v>
      </c>
      <c r="C5" s="17" t="s">
        <v>38</v>
      </c>
      <c r="D5" s="17" t="s">
        <v>39</v>
      </c>
      <c r="E5" s="17" t="s">
        <v>40</v>
      </c>
      <c r="F5" s="17" t="s">
        <v>41</v>
      </c>
      <c r="G5" s="22">
        <v>75000</v>
      </c>
    </row>
    <row r="6" spans="1:7" x14ac:dyDescent="0.3">
      <c r="A6" s="21" t="s">
        <v>42</v>
      </c>
      <c r="B6" s="17" t="s">
        <v>5</v>
      </c>
      <c r="C6" s="17" t="s">
        <v>43</v>
      </c>
      <c r="D6" s="17" t="s">
        <v>24</v>
      </c>
      <c r="E6" s="17" t="s">
        <v>44</v>
      </c>
      <c r="F6" s="17" t="s">
        <v>45</v>
      </c>
      <c r="G6" s="22">
        <v>48000</v>
      </c>
    </row>
    <row r="7" spans="1:7" x14ac:dyDescent="0.3">
      <c r="A7" s="21" t="s">
        <v>46</v>
      </c>
      <c r="B7" s="17" t="s">
        <v>47</v>
      </c>
      <c r="C7" s="17" t="s">
        <v>48</v>
      </c>
      <c r="D7" s="17" t="s">
        <v>34</v>
      </c>
      <c r="E7" s="17" t="s">
        <v>49</v>
      </c>
      <c r="F7" s="17" t="s">
        <v>50</v>
      </c>
      <c r="G7" s="22">
        <v>58000</v>
      </c>
    </row>
    <row r="8" spans="1:7" x14ac:dyDescent="0.3">
      <c r="A8" s="21" t="s">
        <v>51</v>
      </c>
      <c r="B8" s="17" t="s">
        <v>52</v>
      </c>
      <c r="C8" s="17" t="s">
        <v>0</v>
      </c>
      <c r="D8" s="17" t="s">
        <v>53</v>
      </c>
      <c r="E8" s="17" t="s">
        <v>25</v>
      </c>
      <c r="F8" s="17" t="s">
        <v>26</v>
      </c>
      <c r="G8" s="22">
        <v>82000</v>
      </c>
    </row>
    <row r="9" spans="1:7" x14ac:dyDescent="0.3">
      <c r="A9" s="21" t="s">
        <v>54</v>
      </c>
      <c r="B9" s="17" t="s">
        <v>12</v>
      </c>
      <c r="C9" s="17" t="s">
        <v>38</v>
      </c>
      <c r="D9" s="17" t="s">
        <v>55</v>
      </c>
      <c r="E9" s="17" t="s">
        <v>40</v>
      </c>
      <c r="F9" s="17" t="s">
        <v>41</v>
      </c>
      <c r="G9" s="22">
        <v>96000</v>
      </c>
    </row>
    <row r="10" spans="1:7" x14ac:dyDescent="0.3">
      <c r="A10" s="21" t="s">
        <v>56</v>
      </c>
      <c r="B10" s="17" t="s">
        <v>6</v>
      </c>
      <c r="C10" s="17" t="s">
        <v>33</v>
      </c>
      <c r="D10" s="17" t="s">
        <v>53</v>
      </c>
      <c r="E10" s="17" t="s">
        <v>35</v>
      </c>
      <c r="F10" s="17" t="s">
        <v>36</v>
      </c>
      <c r="G10" s="22">
        <v>90000</v>
      </c>
    </row>
    <row r="11" spans="1:7" ht="15" thickBot="1" x14ac:dyDescent="0.35">
      <c r="A11" s="23" t="s">
        <v>57</v>
      </c>
      <c r="B11" s="24" t="s">
        <v>7</v>
      </c>
      <c r="C11" s="24" t="s">
        <v>28</v>
      </c>
      <c r="D11" s="24" t="s">
        <v>58</v>
      </c>
      <c r="E11" s="24" t="s">
        <v>30</v>
      </c>
      <c r="F11" s="24" t="s">
        <v>31</v>
      </c>
      <c r="G11" s="25">
        <v>78000</v>
      </c>
    </row>
    <row r="13" spans="1:7" x14ac:dyDescent="0.3">
      <c r="A13" s="7" t="s">
        <v>74</v>
      </c>
      <c r="B13" s="45" t="s">
        <v>108</v>
      </c>
      <c r="C13" s="45"/>
      <c r="D13" s="45"/>
      <c r="E13" s="45"/>
      <c r="F13" s="45"/>
      <c r="G13" s="45"/>
    </row>
    <row r="14" spans="1:7" x14ac:dyDescent="0.3">
      <c r="A14" s="42" t="s">
        <v>87</v>
      </c>
      <c r="B14" s="48">
        <f>INDEX(G2:G11,MATCH("EMP004",A2:A11,0))</f>
        <v>75000</v>
      </c>
      <c r="C14" s="48"/>
      <c r="D14" s="48"/>
      <c r="E14" s="48"/>
      <c r="F14" s="48"/>
      <c r="G14" s="48"/>
    </row>
    <row r="15" spans="1:7" x14ac:dyDescent="0.3">
      <c r="A15" s="43" t="s">
        <v>77</v>
      </c>
      <c r="B15" s="48" t="s">
        <v>109</v>
      </c>
      <c r="C15" s="48"/>
      <c r="D15" s="48"/>
      <c r="E15" s="48"/>
      <c r="F15" s="48"/>
      <c r="G15" s="48"/>
    </row>
    <row r="16" spans="1:7" x14ac:dyDescent="0.3">
      <c r="A16" s="7" t="s">
        <v>13</v>
      </c>
      <c r="B16" s="45" t="s">
        <v>110</v>
      </c>
      <c r="C16" s="45"/>
      <c r="D16" s="45"/>
      <c r="E16" s="45"/>
      <c r="F16" s="45"/>
      <c r="G16" s="45"/>
    </row>
    <row r="17" spans="1:7" x14ac:dyDescent="0.3">
      <c r="A17" s="42" t="s">
        <v>87</v>
      </c>
      <c r="B17" s="48" t="str">
        <f>INDEX(C2:C11,MATCH("EMP004",A2:A11,0))</f>
        <v>IT</v>
      </c>
      <c r="C17" s="48"/>
      <c r="D17" s="48"/>
      <c r="E17" s="48"/>
      <c r="F17" s="48"/>
      <c r="G17" s="48"/>
    </row>
    <row r="18" spans="1:7" x14ac:dyDescent="0.3">
      <c r="A18" s="43" t="s">
        <v>77</v>
      </c>
      <c r="B18" s="48" t="s">
        <v>111</v>
      </c>
      <c r="C18" s="48"/>
      <c r="D18" s="48"/>
      <c r="E18" s="48"/>
      <c r="F18" s="48"/>
      <c r="G18" s="48"/>
    </row>
    <row r="19" spans="1:7" x14ac:dyDescent="0.3">
      <c r="A19" s="7" t="s">
        <v>14</v>
      </c>
      <c r="B19" s="45" t="s">
        <v>112</v>
      </c>
      <c r="C19" s="45"/>
      <c r="D19" s="45"/>
      <c r="E19" s="45"/>
      <c r="F19" s="45"/>
      <c r="G19" s="45"/>
    </row>
    <row r="20" spans="1:7" x14ac:dyDescent="0.3">
      <c r="A20" s="42" t="s">
        <v>87</v>
      </c>
      <c r="B20" s="48" t="str">
        <f>INDEX(D2:D11,MATCH("EMP004",A2:A11,0))</f>
        <v>Developer</v>
      </c>
      <c r="C20" s="48"/>
      <c r="D20" s="48"/>
      <c r="E20" s="48"/>
      <c r="F20" s="48"/>
      <c r="G20" s="48"/>
    </row>
    <row r="21" spans="1:7" x14ac:dyDescent="0.3">
      <c r="A21" s="43" t="s">
        <v>77</v>
      </c>
      <c r="B21" s="48" t="s">
        <v>113</v>
      </c>
      <c r="C21" s="48"/>
      <c r="D21" s="48"/>
      <c r="E21" s="48"/>
      <c r="F21" s="48"/>
      <c r="G21" s="48"/>
    </row>
    <row r="22" spans="1:7" x14ac:dyDescent="0.3">
      <c r="A22" s="7" t="s">
        <v>15</v>
      </c>
      <c r="B22" s="45" t="s">
        <v>114</v>
      </c>
      <c r="C22" s="45"/>
      <c r="D22" s="45"/>
      <c r="E22" s="45"/>
      <c r="F22" s="45"/>
      <c r="G22" s="45"/>
    </row>
    <row r="23" spans="1:7" x14ac:dyDescent="0.3">
      <c r="A23" s="42" t="s">
        <v>87</v>
      </c>
      <c r="B23" s="48" t="str">
        <f>INDEX(E2:E11,MATCH("EMP004",A2:A11,0))</f>
        <v>Bangalore</v>
      </c>
      <c r="C23" s="48"/>
      <c r="D23" s="48"/>
      <c r="E23" s="48"/>
      <c r="F23" s="48"/>
      <c r="G23" s="48"/>
    </row>
    <row r="24" spans="1:7" x14ac:dyDescent="0.3">
      <c r="A24" s="43" t="s">
        <v>77</v>
      </c>
      <c r="B24" s="48" t="s">
        <v>116</v>
      </c>
      <c r="C24" s="48"/>
      <c r="D24" s="48"/>
      <c r="E24" s="48"/>
      <c r="F24" s="48"/>
      <c r="G24" s="48"/>
    </row>
    <row r="25" spans="1:7" x14ac:dyDescent="0.3">
      <c r="A25" s="7" t="s">
        <v>16</v>
      </c>
      <c r="B25" s="45" t="s">
        <v>115</v>
      </c>
      <c r="C25" s="45"/>
      <c r="D25" s="45"/>
      <c r="E25" s="45"/>
      <c r="F25" s="45"/>
      <c r="G25" s="45"/>
    </row>
    <row r="26" spans="1:7" x14ac:dyDescent="0.3">
      <c r="A26" s="42" t="s">
        <v>87</v>
      </c>
      <c r="B26" s="48" t="str">
        <f>INDEX(B2:B11,MATCH("EMP004",A2:A11,0))</f>
        <v>Sneha Ghosh</v>
      </c>
      <c r="C26" s="48"/>
      <c r="D26" s="48"/>
      <c r="E26" s="48"/>
      <c r="F26" s="48"/>
      <c r="G26" s="48"/>
    </row>
    <row r="27" spans="1:7" x14ac:dyDescent="0.3">
      <c r="A27" s="43" t="s">
        <v>77</v>
      </c>
      <c r="B27" s="48" t="s">
        <v>117</v>
      </c>
      <c r="C27" s="48"/>
      <c r="D27" s="48"/>
      <c r="E27" s="48"/>
      <c r="F27" s="48"/>
      <c r="G27" s="48"/>
    </row>
  </sheetData>
  <mergeCells count="15">
    <mergeCell ref="B13:G13"/>
    <mergeCell ref="B15:G15"/>
    <mergeCell ref="B14:G14"/>
    <mergeCell ref="B16:G16"/>
    <mergeCell ref="B17:G17"/>
    <mergeCell ref="B24:G24"/>
    <mergeCell ref="B25:G25"/>
    <mergeCell ref="B26:G26"/>
    <mergeCell ref="B27:G27"/>
    <mergeCell ref="B18:G18"/>
    <mergeCell ref="B19:G19"/>
    <mergeCell ref="B20:G20"/>
    <mergeCell ref="B21:G21"/>
    <mergeCell ref="B22:G22"/>
    <mergeCell ref="B23:G2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EC69-63CD-43C8-B943-BBD7148F5427}">
  <dimension ref="A1:I76"/>
  <sheetViews>
    <sheetView tabSelected="1" zoomScale="70" zoomScaleNormal="70" workbookViewId="0">
      <selection activeCell="O25" sqref="O25"/>
    </sheetView>
  </sheetViews>
  <sheetFormatPr defaultRowHeight="14.4" x14ac:dyDescent="0.3"/>
  <cols>
    <col min="1" max="2" width="15.109375" bestFit="1" customWidth="1"/>
    <col min="3" max="3" width="17.33203125" bestFit="1" customWidth="1"/>
    <col min="4" max="4" width="10.21875" bestFit="1" customWidth="1"/>
  </cols>
  <sheetData>
    <row r="1" spans="1:9" x14ac:dyDescent="0.3">
      <c r="A1" s="51" t="s">
        <v>119</v>
      </c>
      <c r="B1" s="51"/>
      <c r="C1" s="51"/>
      <c r="D1" s="51"/>
      <c r="E1" s="51"/>
      <c r="F1" s="51"/>
      <c r="G1" s="51"/>
      <c r="H1" s="51"/>
      <c r="I1" s="51"/>
    </row>
    <row r="2" spans="1:9" x14ac:dyDescent="0.3">
      <c r="A2" s="49" t="s">
        <v>118</v>
      </c>
      <c r="B2" s="49"/>
      <c r="C2" s="49"/>
      <c r="D2" s="49"/>
      <c r="E2" s="49"/>
      <c r="F2" s="49"/>
      <c r="G2" s="49"/>
      <c r="H2" s="49"/>
      <c r="I2" s="49"/>
    </row>
    <row r="3" spans="1:9" x14ac:dyDescent="0.3">
      <c r="A3" s="51"/>
      <c r="B3" s="51"/>
      <c r="C3" s="51"/>
      <c r="D3" s="51"/>
      <c r="E3" s="51"/>
      <c r="F3" s="51"/>
      <c r="G3" s="51"/>
      <c r="H3" s="51"/>
      <c r="I3" s="51"/>
    </row>
    <row r="4" spans="1:9" s="26" customFormat="1" x14ac:dyDescent="0.3">
      <c r="A4" s="44" t="s">
        <v>18</v>
      </c>
      <c r="B4" s="44" t="s">
        <v>21</v>
      </c>
      <c r="C4" s="44" t="s">
        <v>59</v>
      </c>
      <c r="D4" s="44"/>
      <c r="E4" s="44"/>
      <c r="F4" s="44"/>
      <c r="G4" s="44"/>
      <c r="H4" s="44"/>
      <c r="I4" s="44"/>
    </row>
    <row r="5" spans="1:9" s="26" customFormat="1" x14ac:dyDescent="0.3">
      <c r="A5" s="4" t="s">
        <v>1</v>
      </c>
      <c r="B5" s="4" t="s">
        <v>26</v>
      </c>
      <c r="C5" s="55" t="str">
        <f>_xlfn.XLOOKUP(B5,'Manager Details'!A:A,'Manager Details'!B:B,"No Manager",0)</f>
        <v>Suman Roy</v>
      </c>
      <c r="D5" s="44"/>
      <c r="E5" s="44"/>
      <c r="F5" s="44"/>
      <c r="G5" s="44"/>
      <c r="H5" s="44"/>
      <c r="I5" s="44"/>
    </row>
    <row r="6" spans="1:9" s="26" customFormat="1" x14ac:dyDescent="0.3">
      <c r="A6" s="4" t="s">
        <v>2</v>
      </c>
      <c r="B6" s="4" t="s">
        <v>31</v>
      </c>
      <c r="C6" s="55" t="str">
        <f>_xlfn.XLOOKUP(B6,'Manager Details'!A:A,'Manager Details'!B:B,"No Manager",0)</f>
        <v>Ritu Sharma</v>
      </c>
      <c r="D6" s="44"/>
      <c r="E6" s="44"/>
      <c r="F6" s="44"/>
      <c r="G6" s="44"/>
      <c r="H6" s="44"/>
      <c r="I6" s="44"/>
    </row>
    <row r="7" spans="1:9" s="26" customFormat="1" x14ac:dyDescent="0.3">
      <c r="A7" s="4" t="s">
        <v>3</v>
      </c>
      <c r="B7" s="4" t="s">
        <v>36</v>
      </c>
      <c r="C7" s="55" t="str">
        <f>_xlfn.XLOOKUP(B7,'Manager Details'!A:A,'Manager Details'!B:B,"No Manager",0)</f>
        <v>Abhishek Jain</v>
      </c>
      <c r="D7" s="44"/>
      <c r="E7" s="44"/>
      <c r="F7" s="44"/>
      <c r="G7" s="44"/>
      <c r="H7" s="44"/>
      <c r="I7" s="44"/>
    </row>
    <row r="8" spans="1:9" s="26" customFormat="1" x14ac:dyDescent="0.3">
      <c r="A8" s="4" t="s">
        <v>4</v>
      </c>
      <c r="B8" s="4" t="s">
        <v>41</v>
      </c>
      <c r="C8" s="55" t="str">
        <f>_xlfn.XLOOKUP(B8,'Manager Details'!A:A,'Manager Details'!B:B,"No Manager",0)</f>
        <v>Kunal Mehta</v>
      </c>
      <c r="D8" s="57" t="s">
        <v>129</v>
      </c>
      <c r="E8" s="56" t="s">
        <v>128</v>
      </c>
      <c r="F8" s="56"/>
      <c r="G8" s="56"/>
      <c r="H8" s="56"/>
      <c r="I8" s="56"/>
    </row>
    <row r="9" spans="1:9" s="26" customFormat="1" x14ac:dyDescent="0.3">
      <c r="A9" s="4" t="s">
        <v>5</v>
      </c>
      <c r="B9" s="4" t="s">
        <v>45</v>
      </c>
      <c r="C9" s="55" t="str">
        <f>_xlfn.XLOOKUP(B9,'Manager Details'!A:A,'Manager Details'!B:B,"No Manager",0)</f>
        <v>Meera Das</v>
      </c>
      <c r="D9" s="57"/>
      <c r="E9" s="56"/>
      <c r="F9" s="56"/>
      <c r="G9" s="56"/>
      <c r="H9" s="56"/>
      <c r="I9" s="56"/>
    </row>
    <row r="10" spans="1:9" s="26" customFormat="1" x14ac:dyDescent="0.3">
      <c r="A10" s="4" t="s">
        <v>47</v>
      </c>
      <c r="B10" s="4" t="s">
        <v>50</v>
      </c>
      <c r="C10" s="55" t="str">
        <f>_xlfn.XLOOKUP(B10,'Manager Details'!A:A,'Manager Details'!B:B,"No Manager",0)</f>
        <v>Sanjay Gupta</v>
      </c>
      <c r="D10" s="44"/>
      <c r="E10" s="44"/>
      <c r="F10" s="44"/>
      <c r="G10" s="44"/>
      <c r="H10" s="44"/>
      <c r="I10" s="44"/>
    </row>
    <row r="11" spans="1:9" s="26" customFormat="1" x14ac:dyDescent="0.3">
      <c r="A11" s="4" t="s">
        <v>52</v>
      </c>
      <c r="B11" s="4" t="s">
        <v>26</v>
      </c>
      <c r="C11" s="55" t="str">
        <f>_xlfn.XLOOKUP(B11,'Manager Details'!A:A,'Manager Details'!B:B,"No Manager",0)</f>
        <v>Suman Roy</v>
      </c>
      <c r="D11" s="44"/>
      <c r="E11" s="44"/>
      <c r="F11" s="44"/>
      <c r="G11" s="44"/>
      <c r="H11" s="44"/>
      <c r="I11" s="44"/>
    </row>
    <row r="12" spans="1:9" s="26" customFormat="1" x14ac:dyDescent="0.3">
      <c r="A12" s="4" t="s">
        <v>12</v>
      </c>
      <c r="B12" s="4" t="s">
        <v>41</v>
      </c>
      <c r="C12" s="55" t="str">
        <f>_xlfn.XLOOKUP(B12,'Manager Details'!A:A,'Manager Details'!B:B,"No Manager",0)</f>
        <v>Kunal Mehta</v>
      </c>
      <c r="D12" s="44"/>
      <c r="E12" s="44"/>
      <c r="F12" s="44"/>
      <c r="G12" s="44"/>
      <c r="H12" s="44"/>
      <c r="I12" s="44"/>
    </row>
    <row r="13" spans="1:9" s="26" customFormat="1" x14ac:dyDescent="0.3">
      <c r="A13" s="4" t="s">
        <v>6</v>
      </c>
      <c r="B13" s="4" t="s">
        <v>36</v>
      </c>
      <c r="C13" s="55" t="str">
        <f>_xlfn.XLOOKUP(B13,'Manager Details'!A:A,'Manager Details'!B:B,"No Manager",0)</f>
        <v>Abhishek Jain</v>
      </c>
      <c r="D13" s="44"/>
      <c r="E13" s="44"/>
      <c r="F13" s="44"/>
      <c r="G13" s="44"/>
      <c r="H13" s="44"/>
      <c r="I13" s="44"/>
    </row>
    <row r="14" spans="1:9" s="26" customFormat="1" x14ac:dyDescent="0.3">
      <c r="A14" s="4" t="s">
        <v>7</v>
      </c>
      <c r="B14" s="4" t="s">
        <v>31</v>
      </c>
      <c r="C14" s="55" t="str">
        <f>_xlfn.XLOOKUP(B14,'Manager Details'!A:A,'Manager Details'!B:B,"No Manager",0)</f>
        <v>Ritu Sharma</v>
      </c>
      <c r="D14" s="44"/>
      <c r="E14" s="44"/>
      <c r="F14" s="44"/>
      <c r="G14" s="44"/>
      <c r="H14" s="44"/>
      <c r="I14" s="44"/>
    </row>
    <row r="15" spans="1:9" s="26" customFormat="1" x14ac:dyDescent="0.3">
      <c r="A15" s="51"/>
      <c r="B15" s="51"/>
      <c r="C15" s="51"/>
      <c r="D15" s="51"/>
      <c r="E15" s="51"/>
      <c r="F15" s="51"/>
      <c r="G15" s="51"/>
      <c r="H15" s="51"/>
      <c r="I15" s="51"/>
    </row>
    <row r="16" spans="1:9" x14ac:dyDescent="0.3">
      <c r="A16" s="51" t="s">
        <v>120</v>
      </c>
      <c r="B16" s="51"/>
      <c r="C16" s="51"/>
      <c r="D16" s="51"/>
      <c r="E16" s="51"/>
      <c r="F16" s="51"/>
      <c r="G16" s="51"/>
      <c r="H16" s="51"/>
      <c r="I16" s="51"/>
    </row>
    <row r="17" spans="1:9" x14ac:dyDescent="0.3">
      <c r="A17" s="49" t="s">
        <v>121</v>
      </c>
      <c r="B17" s="49"/>
      <c r="C17" s="49"/>
      <c r="D17" s="49"/>
      <c r="E17" s="49"/>
      <c r="F17" s="49"/>
      <c r="G17" s="49"/>
      <c r="H17" s="49"/>
      <c r="I17" s="49"/>
    </row>
    <row r="18" spans="1:9" x14ac:dyDescent="0.3">
      <c r="A18" s="51"/>
      <c r="B18" s="51"/>
      <c r="C18" s="51"/>
      <c r="D18" s="51"/>
      <c r="E18" s="51"/>
      <c r="F18" s="51"/>
      <c r="G18" s="51"/>
      <c r="H18" s="51"/>
      <c r="I18" s="51"/>
    </row>
    <row r="19" spans="1:9" s="26" customFormat="1" x14ac:dyDescent="0.3">
      <c r="A19" s="44" t="s">
        <v>18</v>
      </c>
      <c r="B19" s="44" t="s">
        <v>21</v>
      </c>
      <c r="C19" s="44" t="s">
        <v>130</v>
      </c>
      <c r="D19" s="44"/>
      <c r="E19" s="44"/>
      <c r="F19" s="44"/>
      <c r="G19" s="44"/>
      <c r="H19" s="44"/>
      <c r="I19" s="44"/>
    </row>
    <row r="20" spans="1:9" s="26" customFormat="1" x14ac:dyDescent="0.3">
      <c r="A20" s="4" t="s">
        <v>1</v>
      </c>
      <c r="B20" s="4" t="s">
        <v>26</v>
      </c>
      <c r="C20" s="55">
        <f>_xlfn.XLOOKUP(B20,'Manager Details'!A:A,'Manager Details'!C:C,0)</f>
        <v>12</v>
      </c>
      <c r="D20" s="44"/>
      <c r="E20" s="44"/>
      <c r="F20" s="44"/>
      <c r="G20" s="44"/>
      <c r="H20" s="44"/>
      <c r="I20" s="44"/>
    </row>
    <row r="21" spans="1:9" s="26" customFormat="1" x14ac:dyDescent="0.3">
      <c r="A21" s="4" t="s">
        <v>2</v>
      </c>
      <c r="B21" s="4" t="s">
        <v>31</v>
      </c>
      <c r="C21" s="55">
        <f>_xlfn.XLOOKUP(B21,'Manager Details'!A:A,'Manager Details'!C:C,0)</f>
        <v>10</v>
      </c>
      <c r="D21" s="44"/>
      <c r="E21" s="44"/>
      <c r="F21" s="44"/>
      <c r="G21" s="44"/>
      <c r="H21" s="44"/>
      <c r="I21" s="44"/>
    </row>
    <row r="22" spans="1:9" s="26" customFormat="1" x14ac:dyDescent="0.3">
      <c r="A22" s="4" t="s">
        <v>3</v>
      </c>
      <c r="B22" s="4" t="s">
        <v>36</v>
      </c>
      <c r="C22" s="55">
        <f>_xlfn.XLOOKUP(B22,'Manager Details'!A:A,'Manager Details'!C:C,0)</f>
        <v>15</v>
      </c>
      <c r="D22" s="44"/>
      <c r="E22" s="44"/>
      <c r="F22" s="44"/>
      <c r="G22" s="44"/>
      <c r="H22" s="44"/>
      <c r="I22" s="44"/>
    </row>
    <row r="23" spans="1:9" s="26" customFormat="1" x14ac:dyDescent="0.3">
      <c r="A23" s="4" t="s">
        <v>4</v>
      </c>
      <c r="B23" s="4" t="s">
        <v>41</v>
      </c>
      <c r="C23" s="55">
        <f>_xlfn.XLOOKUP(B23,'Manager Details'!A:A,'Manager Details'!C:C,0)</f>
        <v>11</v>
      </c>
      <c r="D23" s="57" t="s">
        <v>129</v>
      </c>
      <c r="E23" s="56" t="s">
        <v>131</v>
      </c>
      <c r="F23" s="56"/>
      <c r="G23" s="56"/>
      <c r="H23" s="56"/>
      <c r="I23" s="56"/>
    </row>
    <row r="24" spans="1:9" s="26" customFormat="1" x14ac:dyDescent="0.3">
      <c r="A24" s="4" t="s">
        <v>5</v>
      </c>
      <c r="B24" s="4" t="s">
        <v>45</v>
      </c>
      <c r="C24" s="55">
        <f>_xlfn.XLOOKUP(B24,'Manager Details'!A:A,'Manager Details'!C:C,0)</f>
        <v>9</v>
      </c>
      <c r="D24" s="57"/>
      <c r="E24" s="56"/>
      <c r="F24" s="56"/>
      <c r="G24" s="56"/>
      <c r="H24" s="56"/>
      <c r="I24" s="56"/>
    </row>
    <row r="25" spans="1:9" s="26" customFormat="1" x14ac:dyDescent="0.3">
      <c r="A25" s="4" t="s">
        <v>47</v>
      </c>
      <c r="B25" s="4" t="s">
        <v>50</v>
      </c>
      <c r="C25" s="55">
        <f>_xlfn.XLOOKUP(B25,'Manager Details'!A:A,'Manager Details'!C:C,0)</f>
        <v>13</v>
      </c>
      <c r="D25" s="44"/>
      <c r="E25" s="44"/>
      <c r="F25" s="44"/>
      <c r="G25" s="44"/>
      <c r="H25" s="44"/>
      <c r="I25" s="44"/>
    </row>
    <row r="26" spans="1:9" s="26" customFormat="1" x14ac:dyDescent="0.3">
      <c r="A26" s="4" t="s">
        <v>52</v>
      </c>
      <c r="B26" s="4" t="s">
        <v>26</v>
      </c>
      <c r="C26" s="55">
        <f>_xlfn.XLOOKUP(B26,'Manager Details'!A:A,'Manager Details'!C:C,0)</f>
        <v>12</v>
      </c>
      <c r="D26" s="44"/>
      <c r="E26" s="44"/>
      <c r="F26" s="44"/>
      <c r="G26" s="44"/>
      <c r="H26" s="44"/>
      <c r="I26" s="44"/>
    </row>
    <row r="27" spans="1:9" s="26" customFormat="1" x14ac:dyDescent="0.3">
      <c r="A27" s="4" t="s">
        <v>12</v>
      </c>
      <c r="B27" s="4" t="s">
        <v>41</v>
      </c>
      <c r="C27" s="55">
        <f>_xlfn.XLOOKUP(B27,'Manager Details'!A:A,'Manager Details'!C:C,0)</f>
        <v>11</v>
      </c>
      <c r="D27" s="44"/>
      <c r="E27" s="44"/>
      <c r="F27" s="44"/>
      <c r="G27" s="44"/>
      <c r="H27" s="44"/>
      <c r="I27" s="44"/>
    </row>
    <row r="28" spans="1:9" s="26" customFormat="1" x14ac:dyDescent="0.3">
      <c r="A28" s="4" t="s">
        <v>6</v>
      </c>
      <c r="B28" s="4" t="s">
        <v>36</v>
      </c>
      <c r="C28" s="55">
        <f>_xlfn.XLOOKUP(B28,'Manager Details'!A:A,'Manager Details'!C:C,0)</f>
        <v>15</v>
      </c>
      <c r="D28" s="44"/>
      <c r="E28" s="44"/>
      <c r="F28" s="44"/>
      <c r="G28" s="44"/>
      <c r="H28" s="44"/>
      <c r="I28" s="44"/>
    </row>
    <row r="29" spans="1:9" s="26" customFormat="1" x14ac:dyDescent="0.3">
      <c r="A29" s="4" t="s">
        <v>7</v>
      </c>
      <c r="B29" s="4" t="s">
        <v>31</v>
      </c>
      <c r="C29" s="55">
        <f>_xlfn.XLOOKUP(B29,'Manager Details'!A:A,'Manager Details'!C:C,0)</f>
        <v>10</v>
      </c>
      <c r="D29" s="44"/>
      <c r="E29" s="44"/>
      <c r="F29" s="44"/>
      <c r="G29" s="44"/>
      <c r="H29" s="44"/>
      <c r="I29" s="44"/>
    </row>
    <row r="31" spans="1:9" s="26" customFormat="1" x14ac:dyDescent="0.3">
      <c r="A31" s="51"/>
      <c r="B31" s="51"/>
      <c r="C31" s="51"/>
      <c r="D31" s="51"/>
      <c r="E31" s="51"/>
      <c r="F31" s="51"/>
      <c r="G31" s="51"/>
      <c r="H31" s="51"/>
      <c r="I31" s="51"/>
    </row>
    <row r="32" spans="1:9" x14ac:dyDescent="0.3">
      <c r="A32" s="51" t="s">
        <v>122</v>
      </c>
      <c r="B32" s="51"/>
      <c r="C32" s="51"/>
      <c r="D32" s="51"/>
      <c r="E32" s="51"/>
      <c r="F32" s="51"/>
      <c r="G32" s="51"/>
      <c r="H32" s="51"/>
      <c r="I32" s="51"/>
    </row>
    <row r="33" spans="1:9" x14ac:dyDescent="0.3">
      <c r="A33" s="52" t="s">
        <v>123</v>
      </c>
      <c r="B33" s="52"/>
      <c r="C33" s="52"/>
      <c r="D33" s="52"/>
      <c r="E33" s="52"/>
      <c r="F33" s="52"/>
      <c r="G33" s="52"/>
      <c r="H33" s="52"/>
      <c r="I33" s="52"/>
    </row>
    <row r="34" spans="1:9" x14ac:dyDescent="0.3">
      <c r="A34" s="57"/>
      <c r="B34" s="57"/>
      <c r="C34" s="57"/>
      <c r="D34" s="57"/>
      <c r="E34" s="57"/>
      <c r="F34" s="57"/>
      <c r="G34" s="57"/>
      <c r="H34" s="57"/>
      <c r="I34" s="57"/>
    </row>
    <row r="35" spans="1:9" s="26" customFormat="1" x14ac:dyDescent="0.3">
      <c r="A35" s="44" t="s">
        <v>18</v>
      </c>
      <c r="B35" s="44" t="s">
        <v>21</v>
      </c>
      <c r="C35" s="44" t="s">
        <v>132</v>
      </c>
      <c r="D35" s="44"/>
      <c r="E35" s="44"/>
      <c r="F35" s="44"/>
      <c r="G35" s="44"/>
      <c r="H35" s="44"/>
      <c r="I35" s="44"/>
    </row>
    <row r="36" spans="1:9" s="26" customFormat="1" x14ac:dyDescent="0.3">
      <c r="A36" s="4" t="s">
        <v>1</v>
      </c>
      <c r="B36" s="4" t="s">
        <v>26</v>
      </c>
      <c r="C36" s="55" t="str">
        <f>_xlfn.XLOOKUP(B36,'Manager Details'!A:A,'Manager Details'!D:D,0)</f>
        <v>Kolkata</v>
      </c>
      <c r="D36" s="44"/>
      <c r="E36" s="44"/>
      <c r="F36" s="44"/>
      <c r="G36" s="44"/>
      <c r="H36" s="44"/>
      <c r="I36" s="44"/>
    </row>
    <row r="37" spans="1:9" s="26" customFormat="1" x14ac:dyDescent="0.3">
      <c r="A37" s="4" t="s">
        <v>2</v>
      </c>
      <c r="B37" s="4" t="s">
        <v>31</v>
      </c>
      <c r="C37" s="55" t="str">
        <f>_xlfn.XLOOKUP(B37,'Manager Details'!A:A,'Manager Details'!D:D,0)</f>
        <v>Delhi</v>
      </c>
      <c r="D37" s="44"/>
      <c r="E37" s="44"/>
      <c r="F37" s="44"/>
      <c r="G37" s="44"/>
      <c r="H37" s="44"/>
      <c r="I37" s="44"/>
    </row>
    <row r="38" spans="1:9" s="26" customFormat="1" x14ac:dyDescent="0.3">
      <c r="A38" s="4" t="s">
        <v>3</v>
      </c>
      <c r="B38" s="4" t="s">
        <v>36</v>
      </c>
      <c r="C38" s="55" t="str">
        <f>_xlfn.XLOOKUP(B38,'Manager Details'!A:A,'Manager Details'!D:D,0)</f>
        <v>Mumbai</v>
      </c>
      <c r="D38" s="44"/>
      <c r="E38" s="44"/>
      <c r="F38" s="44"/>
      <c r="G38" s="44"/>
      <c r="H38" s="44"/>
      <c r="I38" s="44"/>
    </row>
    <row r="39" spans="1:9" s="26" customFormat="1" x14ac:dyDescent="0.3">
      <c r="A39" s="4" t="s">
        <v>4</v>
      </c>
      <c r="B39" s="4" t="s">
        <v>41</v>
      </c>
      <c r="C39" s="55" t="str">
        <f>_xlfn.XLOOKUP(B39,'Manager Details'!A:A,'Manager Details'!D:D,0)</f>
        <v>Bangalore</v>
      </c>
      <c r="D39" s="57" t="s">
        <v>77</v>
      </c>
      <c r="E39" s="56" t="s">
        <v>133</v>
      </c>
      <c r="F39" s="56"/>
      <c r="G39" s="56"/>
      <c r="H39" s="56"/>
      <c r="I39" s="56"/>
    </row>
    <row r="40" spans="1:9" s="26" customFormat="1" x14ac:dyDescent="0.3">
      <c r="A40" s="4" t="s">
        <v>5</v>
      </c>
      <c r="B40" s="4" t="s">
        <v>45</v>
      </c>
      <c r="C40" s="55" t="str">
        <f>_xlfn.XLOOKUP(B40,'Manager Details'!A:A,'Manager Details'!D:D,0)</f>
        <v>Pune</v>
      </c>
      <c r="D40" s="57"/>
      <c r="E40" s="56"/>
      <c r="F40" s="56"/>
      <c r="G40" s="56"/>
      <c r="H40" s="56"/>
      <c r="I40" s="56"/>
    </row>
    <row r="41" spans="1:9" s="26" customFormat="1" x14ac:dyDescent="0.3">
      <c r="A41" s="4" t="s">
        <v>47</v>
      </c>
      <c r="B41" s="4" t="s">
        <v>50</v>
      </c>
      <c r="C41" s="55" t="str">
        <f>_xlfn.XLOOKUP(B41,'Manager Details'!A:A,'Manager Details'!D:D,0)</f>
        <v>Hyderabad</v>
      </c>
      <c r="D41" s="44"/>
      <c r="E41" s="44"/>
      <c r="F41" s="44"/>
      <c r="G41" s="44"/>
      <c r="H41" s="44"/>
      <c r="I41" s="44"/>
    </row>
    <row r="42" spans="1:9" s="26" customFormat="1" x14ac:dyDescent="0.3">
      <c r="A42" s="4" t="s">
        <v>52</v>
      </c>
      <c r="B42" s="4" t="s">
        <v>26</v>
      </c>
      <c r="C42" s="55" t="str">
        <f>_xlfn.XLOOKUP(B42,'Manager Details'!A:A,'Manager Details'!D:D,0)</f>
        <v>Kolkata</v>
      </c>
      <c r="D42" s="44"/>
      <c r="E42" s="44"/>
      <c r="F42" s="44"/>
      <c r="G42" s="44"/>
      <c r="H42" s="44"/>
      <c r="I42" s="44"/>
    </row>
    <row r="43" spans="1:9" s="26" customFormat="1" x14ac:dyDescent="0.3">
      <c r="A43" s="4" t="s">
        <v>12</v>
      </c>
      <c r="B43" s="4" t="s">
        <v>41</v>
      </c>
      <c r="C43" s="55" t="str">
        <f>_xlfn.XLOOKUP(B43,'Manager Details'!A:A,'Manager Details'!D:D,0)</f>
        <v>Bangalore</v>
      </c>
      <c r="D43" s="44"/>
      <c r="E43" s="44"/>
      <c r="F43" s="44"/>
      <c r="G43" s="44"/>
      <c r="H43" s="44"/>
      <c r="I43" s="44"/>
    </row>
    <row r="44" spans="1:9" s="26" customFormat="1" x14ac:dyDescent="0.3">
      <c r="A44" s="4" t="s">
        <v>6</v>
      </c>
      <c r="B44" s="4" t="s">
        <v>36</v>
      </c>
      <c r="C44" s="55" t="str">
        <f>_xlfn.XLOOKUP(B44,'Manager Details'!A:A,'Manager Details'!D:D,0)</f>
        <v>Mumbai</v>
      </c>
      <c r="D44" s="44"/>
      <c r="E44" s="44"/>
      <c r="F44" s="44"/>
      <c r="G44" s="44"/>
      <c r="H44" s="44"/>
      <c r="I44" s="44"/>
    </row>
    <row r="45" spans="1:9" s="26" customFormat="1" x14ac:dyDescent="0.3">
      <c r="A45" s="4" t="s">
        <v>7</v>
      </c>
      <c r="B45" s="4" t="s">
        <v>31</v>
      </c>
      <c r="C45" s="55" t="str">
        <f>_xlfn.XLOOKUP(B45,'Manager Details'!A:A,'Manager Details'!D:D,0)</f>
        <v>Delhi</v>
      </c>
      <c r="D45" s="44"/>
      <c r="E45" s="44"/>
      <c r="F45" s="44"/>
      <c r="G45" s="44"/>
      <c r="H45" s="44"/>
      <c r="I45" s="44"/>
    </row>
    <row r="46" spans="1:9" s="26" customFormat="1" x14ac:dyDescent="0.3">
      <c r="A46" s="58"/>
      <c r="B46" s="58"/>
      <c r="C46" s="58"/>
      <c r="D46" s="58"/>
      <c r="E46" s="58"/>
      <c r="F46" s="58"/>
      <c r="G46" s="58"/>
      <c r="H46" s="58"/>
      <c r="I46" s="58"/>
    </row>
    <row r="47" spans="1:9" x14ac:dyDescent="0.3">
      <c r="A47" s="53" t="s">
        <v>124</v>
      </c>
      <c r="B47" s="53"/>
      <c r="C47" s="53"/>
      <c r="D47" s="53"/>
      <c r="E47" s="53"/>
      <c r="F47" s="53"/>
      <c r="G47" s="53"/>
      <c r="H47" s="53"/>
      <c r="I47" s="53"/>
    </row>
    <row r="48" spans="1:9" ht="48" customHeight="1" x14ac:dyDescent="0.3">
      <c r="A48" s="54" t="s">
        <v>125</v>
      </c>
      <c r="B48" s="49"/>
      <c r="C48" s="49"/>
      <c r="D48" s="49"/>
      <c r="E48" s="49"/>
      <c r="F48" s="49"/>
      <c r="G48" s="49"/>
      <c r="H48" s="49"/>
      <c r="I48" s="49"/>
    </row>
    <row r="49" spans="1:9" x14ac:dyDescent="0.3">
      <c r="A49" s="51"/>
      <c r="B49" s="51"/>
      <c r="C49" s="51"/>
      <c r="D49" s="51"/>
      <c r="E49" s="51"/>
      <c r="F49" s="51"/>
      <c r="G49" s="51"/>
      <c r="H49" s="51"/>
      <c r="I49" s="51"/>
    </row>
    <row r="50" spans="1:9" s="26" customFormat="1" x14ac:dyDescent="0.3">
      <c r="A50" s="44" t="s">
        <v>17</v>
      </c>
      <c r="B50" s="44" t="s">
        <v>18</v>
      </c>
      <c r="C50" s="44" t="s">
        <v>19</v>
      </c>
      <c r="D50" s="44" t="s">
        <v>20</v>
      </c>
      <c r="E50" s="51" t="s">
        <v>134</v>
      </c>
      <c r="F50" s="51"/>
      <c r="G50" s="51"/>
      <c r="H50" s="51"/>
      <c r="I50" s="51"/>
    </row>
    <row r="51" spans="1:9" s="26" customFormat="1" x14ac:dyDescent="0.3">
      <c r="A51" s="4" t="s">
        <v>23</v>
      </c>
      <c r="B51" s="59" t="str">
        <f>_xlfn.XLOOKUP(A51,'Employee Master'!A:A,'Employee Master'!B:B,0)</f>
        <v>Amit Sharma</v>
      </c>
      <c r="C51" s="59" t="str">
        <f>_xlfn.XLOOKUP(A51,'Employee Master'!A:A,'Employee Master'!D:D,0)</f>
        <v>Executive</v>
      </c>
      <c r="D51" s="59" t="str">
        <f>_xlfn.XLOOKUP(A51,'Employee Master'!A:A,'Employee Master'!E:E,0)</f>
        <v>Kolkata</v>
      </c>
      <c r="E51" s="60" t="str">
        <f>_xlfn.TEXTJOIN(" - ",TRUE,B51,C51,D51)</f>
        <v>Amit Sharma - Executive - Kolkata</v>
      </c>
      <c r="F51" s="60"/>
      <c r="G51" s="60"/>
      <c r="H51" s="60"/>
      <c r="I51" s="60"/>
    </row>
    <row r="52" spans="1:9" s="26" customFormat="1" x14ac:dyDescent="0.3">
      <c r="A52" s="4" t="s">
        <v>27</v>
      </c>
      <c r="B52" s="59" t="str">
        <f>_xlfn.XLOOKUP(A52,'Employee Master'!A:A,'Employee Master'!B:B,0)</f>
        <v>Priya Das</v>
      </c>
      <c r="C52" s="59" t="str">
        <f>_xlfn.XLOOKUP(A52,'Employee Master'!A:A,'Employee Master'!D:D,0)</f>
        <v>Recruiter</v>
      </c>
      <c r="D52" s="59" t="str">
        <f>_xlfn.XLOOKUP(A52,'Employee Master'!A:A,'Employee Master'!E:E,0)</f>
        <v>Delhi</v>
      </c>
      <c r="E52" s="60" t="str">
        <f t="shared" ref="E52:E60" si="0">_xlfn.TEXTJOIN(" - ",TRUE,B52,C52,D52)</f>
        <v>Priya Das - Recruiter - Delhi</v>
      </c>
      <c r="F52" s="60"/>
      <c r="G52" s="60"/>
      <c r="H52" s="60"/>
      <c r="I52" s="60"/>
    </row>
    <row r="53" spans="1:9" s="26" customFormat="1" x14ac:dyDescent="0.3">
      <c r="A53" s="4" t="s">
        <v>32</v>
      </c>
      <c r="B53" s="59" t="str">
        <f>_xlfn.XLOOKUP(A53,'Employee Master'!A:A,'Employee Master'!B:B,0)</f>
        <v>Rahul Roy</v>
      </c>
      <c r="C53" s="59" t="str">
        <f>_xlfn.XLOOKUP(A53,'Employee Master'!A:A,'Employee Master'!D:D,0)</f>
        <v>Analyst</v>
      </c>
      <c r="D53" s="59" t="str">
        <f>_xlfn.XLOOKUP(A53,'Employee Master'!A:A,'Employee Master'!E:E,0)</f>
        <v>Mumbai</v>
      </c>
      <c r="E53" s="60" t="str">
        <f t="shared" si="0"/>
        <v>Rahul Roy - Analyst - Mumbai</v>
      </c>
      <c r="F53" s="60"/>
      <c r="G53" s="60"/>
      <c r="H53" s="60"/>
      <c r="I53" s="60"/>
    </row>
    <row r="54" spans="1:9" s="26" customFormat="1" x14ac:dyDescent="0.3">
      <c r="A54" s="4" t="s">
        <v>37</v>
      </c>
      <c r="B54" s="59" t="str">
        <f>_xlfn.XLOOKUP(A54,'Employee Master'!A:A,'Employee Master'!B:B,0)</f>
        <v>Sneha Ghosh</v>
      </c>
      <c r="C54" s="59" t="str">
        <f>_xlfn.XLOOKUP(A54,'Employee Master'!A:A,'Employee Master'!D:D,0)</f>
        <v>Developer</v>
      </c>
      <c r="D54" s="59" t="str">
        <f>_xlfn.XLOOKUP(A54,'Employee Master'!A:A,'Employee Master'!E:E,0)</f>
        <v>Bangalore</v>
      </c>
      <c r="E54" s="60" t="str">
        <f t="shared" si="0"/>
        <v>Sneha Ghosh - Developer - Bangalore</v>
      </c>
      <c r="F54" s="60"/>
      <c r="G54" s="60"/>
      <c r="H54" s="60"/>
      <c r="I54" s="60"/>
    </row>
    <row r="55" spans="1:9" s="26" customFormat="1" x14ac:dyDescent="0.3">
      <c r="A55" s="4" t="s">
        <v>42</v>
      </c>
      <c r="B55" s="59" t="str">
        <f>_xlfn.XLOOKUP(A55,'Employee Master'!A:A,'Employee Master'!B:B,0)</f>
        <v>Neha Singh</v>
      </c>
      <c r="C55" s="59" t="str">
        <f>_xlfn.XLOOKUP(A55,'Employee Master'!A:A,'Employee Master'!D:D,0)</f>
        <v>Executive</v>
      </c>
      <c r="D55" s="59" t="str">
        <f>_xlfn.XLOOKUP(A55,'Employee Master'!A:A,'Employee Master'!E:E,0)</f>
        <v>Pune</v>
      </c>
      <c r="E55" s="60" t="str">
        <f t="shared" si="0"/>
        <v>Neha Singh - Executive - Pune</v>
      </c>
      <c r="F55" s="60"/>
      <c r="G55" s="60"/>
      <c r="H55" s="60"/>
      <c r="I55" s="60"/>
    </row>
    <row r="56" spans="1:9" s="26" customFormat="1" x14ac:dyDescent="0.3">
      <c r="A56" s="4" t="s">
        <v>46</v>
      </c>
      <c r="B56" s="59" t="str">
        <f>_xlfn.XLOOKUP(A56,'Employee Master'!A:A,'Employee Master'!B:B,0)</f>
        <v>Arjun Sen</v>
      </c>
      <c r="C56" s="59" t="str">
        <f>_xlfn.XLOOKUP(A56,'Employee Master'!A:A,'Employee Master'!D:D,0)</f>
        <v>Analyst</v>
      </c>
      <c r="D56" s="59" t="str">
        <f>_xlfn.XLOOKUP(A56,'Employee Master'!A:A,'Employee Master'!E:E,0)</f>
        <v>Hyderabad</v>
      </c>
      <c r="E56" s="60" t="str">
        <f t="shared" si="0"/>
        <v>Arjun Sen - Analyst - Hyderabad</v>
      </c>
      <c r="F56" s="60"/>
      <c r="G56" s="60"/>
      <c r="H56" s="60"/>
      <c r="I56" s="60"/>
    </row>
    <row r="57" spans="1:9" s="26" customFormat="1" x14ac:dyDescent="0.3">
      <c r="A57" s="4" t="s">
        <v>51</v>
      </c>
      <c r="B57" s="59" t="str">
        <f>_xlfn.XLOOKUP(A57,'Employee Master'!A:A,'Employee Master'!B:B,0)</f>
        <v>Rohit Das</v>
      </c>
      <c r="C57" s="59" t="str">
        <f>_xlfn.XLOOKUP(A57,'Employee Master'!A:A,'Employee Master'!D:D,0)</f>
        <v>Manager</v>
      </c>
      <c r="D57" s="59" t="str">
        <f>_xlfn.XLOOKUP(A57,'Employee Master'!A:A,'Employee Master'!E:E,0)</f>
        <v>Kolkata</v>
      </c>
      <c r="E57" s="60" t="str">
        <f t="shared" si="0"/>
        <v>Rohit Das - Manager - Kolkata</v>
      </c>
      <c r="F57" s="60"/>
      <c r="G57" s="60"/>
      <c r="H57" s="60"/>
      <c r="I57" s="60"/>
    </row>
    <row r="58" spans="1:9" s="26" customFormat="1" x14ac:dyDescent="0.3">
      <c r="A58" s="4" t="s">
        <v>54</v>
      </c>
      <c r="B58" s="59" t="str">
        <f>_xlfn.XLOOKUP(A58,'Employee Master'!A:A,'Employee Master'!B:B,0)</f>
        <v>Karan Patel</v>
      </c>
      <c r="C58" s="59" t="str">
        <f>_xlfn.XLOOKUP(A58,'Employee Master'!A:A,'Employee Master'!D:D,0)</f>
        <v>Senior Developer</v>
      </c>
      <c r="D58" s="59" t="str">
        <f>_xlfn.XLOOKUP(A58,'Employee Master'!A:A,'Employee Master'!E:E,0)</f>
        <v>Bangalore</v>
      </c>
      <c r="E58" s="60" t="str">
        <f t="shared" si="0"/>
        <v>Karan Patel - Senior Developer - Bangalore</v>
      </c>
      <c r="F58" s="60"/>
      <c r="G58" s="60"/>
      <c r="H58" s="60"/>
      <c r="I58" s="60"/>
    </row>
    <row r="59" spans="1:9" s="26" customFormat="1" x14ac:dyDescent="0.3">
      <c r="A59" s="4" t="s">
        <v>56</v>
      </c>
      <c r="B59" s="59" t="str">
        <f>_xlfn.XLOOKUP(A59,'Employee Master'!A:A,'Employee Master'!B:B,0)</f>
        <v>Vikram Shah</v>
      </c>
      <c r="C59" s="59" t="str">
        <f>_xlfn.XLOOKUP(A59,'Employee Master'!A:A,'Employee Master'!D:D,0)</f>
        <v>Manager</v>
      </c>
      <c r="D59" s="59" t="str">
        <f>_xlfn.XLOOKUP(A59,'Employee Master'!A:A,'Employee Master'!E:E,0)</f>
        <v>Mumbai</v>
      </c>
      <c r="E59" s="60" t="str">
        <f t="shared" si="0"/>
        <v>Vikram Shah - Manager - Mumbai</v>
      </c>
      <c r="F59" s="60"/>
      <c r="G59" s="60"/>
      <c r="H59" s="60"/>
      <c r="I59" s="60"/>
    </row>
    <row r="60" spans="1:9" s="26" customFormat="1" x14ac:dyDescent="0.3">
      <c r="A60" s="4" t="s">
        <v>57</v>
      </c>
      <c r="B60" s="59" t="str">
        <f>_xlfn.XLOOKUP(A60,'Employee Master'!A:A,'Employee Master'!B:B,0)</f>
        <v>Anjali Roy</v>
      </c>
      <c r="C60" s="59" t="str">
        <f>_xlfn.XLOOKUP(A60,'Employee Master'!A:A,'Employee Master'!D:D,0)</f>
        <v>HRBP</v>
      </c>
      <c r="D60" s="59" t="str">
        <f>_xlfn.XLOOKUP(A60,'Employee Master'!A:A,'Employee Master'!E:E,0)</f>
        <v>Delhi</v>
      </c>
      <c r="E60" s="60" t="str">
        <f t="shared" si="0"/>
        <v>Anjali Roy - HRBP - Delhi</v>
      </c>
      <c r="F60" s="60"/>
      <c r="G60" s="60"/>
      <c r="H60" s="60"/>
      <c r="I60" s="60"/>
    </row>
    <row r="61" spans="1:9" s="26" customFormat="1" x14ac:dyDescent="0.3">
      <c r="A61" s="58"/>
      <c r="B61" s="58"/>
      <c r="C61" s="58"/>
      <c r="D61" s="58"/>
      <c r="E61" s="58"/>
      <c r="F61" s="58"/>
      <c r="G61" s="58"/>
      <c r="H61" s="58"/>
      <c r="I61" s="58"/>
    </row>
    <row r="62" spans="1:9" x14ac:dyDescent="0.3">
      <c r="A62" s="51" t="s">
        <v>126</v>
      </c>
      <c r="B62" s="51"/>
      <c r="C62" s="51"/>
      <c r="D62" s="51"/>
      <c r="E62" s="51"/>
      <c r="F62" s="51"/>
      <c r="G62" s="51"/>
      <c r="H62" s="51"/>
      <c r="I62" s="51"/>
    </row>
    <row r="63" spans="1:9" x14ac:dyDescent="0.3">
      <c r="A63" s="49" t="s">
        <v>127</v>
      </c>
      <c r="B63" s="49"/>
      <c r="C63" s="49"/>
      <c r="D63" s="49"/>
      <c r="E63" s="49"/>
      <c r="F63" s="49"/>
      <c r="G63" s="49"/>
      <c r="H63" s="49"/>
      <c r="I63" s="49"/>
    </row>
    <row r="64" spans="1:9" x14ac:dyDescent="0.3">
      <c r="A64" s="50"/>
      <c r="B64" s="50"/>
      <c r="C64" s="50"/>
      <c r="D64" s="50"/>
      <c r="E64" s="50"/>
      <c r="F64" s="50"/>
      <c r="G64" s="50"/>
      <c r="H64" s="50"/>
      <c r="I64" s="50"/>
    </row>
    <row r="65" spans="1:9" x14ac:dyDescent="0.3">
      <c r="A65" s="44" t="s">
        <v>17</v>
      </c>
      <c r="B65" s="44" t="s">
        <v>22</v>
      </c>
    </row>
    <row r="66" spans="1:9" x14ac:dyDescent="0.3">
      <c r="A66" s="4" t="s">
        <v>23</v>
      </c>
      <c r="B66" s="61">
        <f>_xlfn.XLOOKUP(A66,'Employee Master'!A:A,'Employee Master'!G:G,"Not Available",0)</f>
        <v>45000</v>
      </c>
    </row>
    <row r="67" spans="1:9" x14ac:dyDescent="0.3">
      <c r="A67" s="4" t="s">
        <v>27</v>
      </c>
      <c r="B67" s="61">
        <f>_xlfn.XLOOKUP(A67,'Employee Master'!A:A,'Employee Master'!G:G,"Not Available",0)</f>
        <v>52000</v>
      </c>
    </row>
    <row r="68" spans="1:9" s="26" customFormat="1" x14ac:dyDescent="0.3">
      <c r="A68" s="4" t="s">
        <v>135</v>
      </c>
      <c r="B68" s="61" t="str">
        <f>_xlfn.XLOOKUP(A68,'Employee Master'!A:A,'Employee Master'!G:G,"Not Available",0)</f>
        <v>Not Available</v>
      </c>
    </row>
    <row r="69" spans="1:9" x14ac:dyDescent="0.3">
      <c r="A69" s="4" t="s">
        <v>32</v>
      </c>
      <c r="B69" s="61">
        <f>_xlfn.XLOOKUP(A69,'Employee Master'!A:A,'Employee Master'!G:G,"Not Available",0)</f>
        <v>61000</v>
      </c>
    </row>
    <row r="70" spans="1:9" x14ac:dyDescent="0.3">
      <c r="A70" s="4" t="s">
        <v>37</v>
      </c>
      <c r="B70" s="61">
        <f>_xlfn.XLOOKUP(A70,'Employee Master'!A:A,'Employee Master'!G:G,"Not Available",0)</f>
        <v>75000</v>
      </c>
      <c r="C70" s="57" t="s">
        <v>129</v>
      </c>
      <c r="D70" s="56" t="s">
        <v>138</v>
      </c>
      <c r="E70" s="62"/>
      <c r="F70" s="62"/>
      <c r="G70" s="62"/>
      <c r="H70" s="62"/>
      <c r="I70" s="62"/>
    </row>
    <row r="71" spans="1:9" x14ac:dyDescent="0.3">
      <c r="A71" s="4" t="s">
        <v>42</v>
      </c>
      <c r="B71" s="61">
        <f>_xlfn.XLOOKUP(A71,'Employee Master'!A:A,'Employee Master'!G:G,"Not Available",0)</f>
        <v>48000</v>
      </c>
      <c r="C71" s="57"/>
      <c r="D71" s="62"/>
      <c r="E71" s="62"/>
      <c r="F71" s="62"/>
      <c r="G71" s="62"/>
      <c r="H71" s="62"/>
      <c r="I71" s="62"/>
    </row>
    <row r="72" spans="1:9" s="26" customFormat="1" x14ac:dyDescent="0.3">
      <c r="A72" s="4" t="s">
        <v>136</v>
      </c>
      <c r="B72" s="61" t="str">
        <f>_xlfn.XLOOKUP(A72,'Employee Master'!A:A,'Employee Master'!G:G,"Not Available",0)</f>
        <v>Not Available</v>
      </c>
    </row>
    <row r="73" spans="1:9" x14ac:dyDescent="0.3">
      <c r="A73" s="4" t="s">
        <v>46</v>
      </c>
      <c r="B73" s="61">
        <f>_xlfn.XLOOKUP(A73,'Employee Master'!A:A,'Employee Master'!G:G,"Not Available",0)</f>
        <v>58000</v>
      </c>
    </row>
    <row r="74" spans="1:9" x14ac:dyDescent="0.3">
      <c r="A74" s="4" t="s">
        <v>51</v>
      </c>
      <c r="B74" s="61">
        <f>_xlfn.XLOOKUP(A74,'Employee Master'!A:A,'Employee Master'!G:G,"Not Available",0)</f>
        <v>82000</v>
      </c>
    </row>
    <row r="75" spans="1:9" x14ac:dyDescent="0.3">
      <c r="A75" s="4" t="s">
        <v>137</v>
      </c>
      <c r="B75" s="61" t="str">
        <f>_xlfn.XLOOKUP(A75,'Employee Master'!A:A,'Employee Master'!G:G,"Not Available",0)</f>
        <v>Not Available</v>
      </c>
    </row>
    <row r="76" spans="1:9" x14ac:dyDescent="0.3">
      <c r="A76" s="4" t="s">
        <v>56</v>
      </c>
      <c r="B76" s="61">
        <f>_xlfn.XLOOKUP(A76,'Employee Master'!A:A,'Employee Master'!G:G,"Not Available",0)</f>
        <v>90000</v>
      </c>
    </row>
  </sheetData>
  <mergeCells count="38">
    <mergeCell ref="E50:I50"/>
    <mergeCell ref="A61:I61"/>
    <mergeCell ref="D70:I71"/>
    <mergeCell ref="C70:C71"/>
    <mergeCell ref="E56:I56"/>
    <mergeCell ref="E57:I57"/>
    <mergeCell ref="E58:I58"/>
    <mergeCell ref="E59:I59"/>
    <mergeCell ref="E60:I60"/>
    <mergeCell ref="A1:I1"/>
    <mergeCell ref="A17:I17"/>
    <mergeCell ref="A32:I32"/>
    <mergeCell ref="A33:I33"/>
    <mergeCell ref="A47:I47"/>
    <mergeCell ref="A3:I3"/>
    <mergeCell ref="A15:I15"/>
    <mergeCell ref="E8:I9"/>
    <mergeCell ref="D8:D9"/>
    <mergeCell ref="A18:I18"/>
    <mergeCell ref="A31:I31"/>
    <mergeCell ref="D23:D24"/>
    <mergeCell ref="E23:I24"/>
    <mergeCell ref="A46:I46"/>
    <mergeCell ref="A63:I63"/>
    <mergeCell ref="A16:I16"/>
    <mergeCell ref="A64:I64"/>
    <mergeCell ref="A2:I2"/>
    <mergeCell ref="A48:I48"/>
    <mergeCell ref="A62:I62"/>
    <mergeCell ref="E39:I40"/>
    <mergeCell ref="D39:D40"/>
    <mergeCell ref="A34:I34"/>
    <mergeCell ref="A49:I49"/>
    <mergeCell ref="E51:I51"/>
    <mergeCell ref="E52:I52"/>
    <mergeCell ref="E53:I53"/>
    <mergeCell ref="E54:I54"/>
    <mergeCell ref="E55:I5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Employee Master</vt:lpstr>
      <vt:lpstr>Manager Details</vt:lpstr>
      <vt:lpstr>Quarterly Sales (For HLOOKUP)</vt:lpstr>
      <vt:lpstr>VLOOKUP</vt:lpstr>
      <vt:lpstr>HLOOKUP</vt:lpstr>
      <vt:lpstr>XLOOKUP</vt:lpstr>
      <vt:lpstr>INDEX-MATCH</vt:lpstr>
      <vt:lpstr>Challenge-Problems</vt:lpstr>
      <vt:lpstr>'Challenge-Problems'!Print_Area</vt:lpstr>
      <vt:lpstr>HLOOKUP!Print_Area</vt:lpstr>
      <vt:lpstr>'INDEX-MATCH'!Print_Area</vt:lpstr>
      <vt:lpstr>VLOOKUP!Print_Area</vt:lpstr>
      <vt:lpstr>XLOOKUP!Print_Area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cp:lastPrinted>2026-07-22T19:03:43Z</cp:lastPrinted>
  <dcterms:created xsi:type="dcterms:W3CDTF">2026-07-22T05:54:30Z</dcterms:created>
  <dcterms:modified xsi:type="dcterms:W3CDTF">2026-07-22T19:03:47Z</dcterms:modified>
</cp:coreProperties>
</file>